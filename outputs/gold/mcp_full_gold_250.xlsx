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0e2009f7a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ld 250" sheetId="1" r:id="Re169a347d0234dbc"/>
    <x:sheet xmlns:r="http://schemas.openxmlformats.org/officeDocument/2006/relationships" name="Summary" sheetId="2" r:id="Rdb564030c9724c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########"/>
    <x:numFmt numFmtId="201" formatCode="#,##0.##########"/>
    <x:numFmt numFmtId="202" formatCode="#,##0"/>
    <x:numFmt numFmtId="203" formatCode="@"/>
  </x:numFmts>
  <x:fonts count="6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  <x:font>
      <x:b/>
      <x:sz val="11"/>
      <x:color rgb="FF17365D"/>
      <x:name val="Carlito"/>
    </x:font>
    <x:font>
      <x:i/>
      <x:sz val="11"/>
      <x:color rgb="FF7C57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FF4CC"/>
      </x:patternFill>
    </x:fill>
  </x:fills>
  <x:borders count="26">
    <x:border/>
    <x:border/>
    <x:border>
      <x:left style="thin">
        <x:color rgb="FF0F243E"/>
      </x:left>
      <x:top style="thin">
        <x:color rgb="FF0F243E"/>
      </x:top>
      <x:bottom style="thin">
        <x:color rgb="FF0F243E"/>
      </x:bottom>
    </x:border>
    <x:border>
      <x:top style="thin">
        <x:color rgb="FF0F243E"/>
      </x:top>
      <x:bottom style="thin">
        <x:color rgb="FF0F243E"/>
      </x:bottom>
    </x:border>
    <x:border>
      <x:right style="thin">
        <x:color rgb="FF0F243E"/>
      </x:right>
      <x:top style="thin">
        <x:color rgb="FF0F243E"/>
      </x:top>
      <x:bottom style="thin">
        <x:color rgb="FF0F243E"/>
      </x:bottom>
    </x:border>
    <x:border>
      <x:left style="thin">
        <x:color rgb="FF0F243E"/>
      </x:left>
      <x:top style="thin">
        <x:color rgb="FF0F243E"/>
      </x:top>
      <x:bottom style="thin">
        <x:color rgb="FF0F243E"/>
      </x:bottom>
    </x:border>
    <x:border>
      <x:top style="thin">
        <x:color rgb="FF0F243E"/>
      </x:top>
      <x:bottom style="thin">
        <x:color rgb="FF0F243E"/>
      </x:bottom>
    </x:border>
    <x:border>
      <x:right style="thin">
        <x:color rgb="FF0F243E"/>
      </x:right>
      <x:top style="thin">
        <x:color rgb="FF0F243E"/>
      </x:top>
      <x:bottom style="thin">
        <x:color rgb="FF0F243E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FBAD0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FBAD0"/>
      </x:bottom>
    </x:border>
    <x:border>
      <x:top style="thin">
        <x:color rgb="FFD9E2F3"/>
      </x:top>
    </x:border>
    <x:border>
      <x:top style="thin">
        <x:color rgb="FFD9E2F3"/>
      </x:top>
    </x:border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/>
    </x:xf>
    <x:xf numFmtId="0" fontId="2" fillId="2" borderId="5" xfId="0" applyNumberFormat="1" applyFont="1" applyFill="1" applyBorder="1" applyAlignment="1">
      <x:alignment vertical="top"/>
    </x:xf>
    <x:xf numFmtId="0" fontId="2" fillId="2" borderId="6" xfId="0" applyNumberFormat="1" applyFont="1" applyFill="1" applyBorder="1" applyAlignment="1">
      <x:alignment vertical="top"/>
    </x:xf>
    <x:xf numFmtId="0" fontId="2" fillId="2" borderId="7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200" fontId="1" fillId="0" borderId="1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1" fontId="1" fillId="0" borderId="1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 wrapText="1"/>
    </x:xf>
    <x:xf numFmtId="200" fontId="1" fillId="0" borderId="8" xfId="0" applyNumberFormat="1" applyFont="1" applyFill="1" applyBorder="1" applyAlignment="1">
      <x:alignment vertical="top"/>
    </x:xf>
    <x:xf numFmtId="201" fontId="1" fillId="0" borderId="8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 wrapText="1"/>
    </x:xf>
    <x:xf numFmtId="200" fontId="1" fillId="0" borderId="9" xfId="0" applyNumberFormat="1" applyFont="1" applyFill="1" applyBorder="1" applyAlignment="1">
      <x:alignment vertical="top"/>
    </x:xf>
    <x:xf numFmtId="201" fontId="1" fillId="0" borderId="9" xfId="0" applyNumberFormat="1" applyFont="1" applyFill="1" applyBorder="1" applyAlignment="1">
      <x:alignment vertical="top"/>
    </x:xf>
    <x:xf numFmtId="0" fontId="1" fillId="0" borderId="10" xfId="0" applyNumberFormat="1" applyFont="1" applyFill="1" applyBorder="1" applyAlignment="1">
      <x:alignment vertical="top"/>
    </x:xf>
    <x:xf numFmtId="0" fontId="1" fillId="0" borderId="10" xfId="0" applyNumberFormat="1" applyFont="1" applyFill="1" applyBorder="1" applyAlignment="1">
      <x:alignment vertical="top" wrapText="1"/>
    </x:xf>
    <x:xf numFmtId="200" fontId="1" fillId="0" borderId="10" xfId="0" applyNumberFormat="1" applyFont="1" applyFill="1" applyBorder="1" applyAlignment="1">
      <x:alignment vertical="top"/>
    </x:xf>
    <x:xf numFmtId="201" fontId="1" fillId="0" borderId="10" xfId="0" applyNumberFormat="1" applyFont="1" applyFill="1" applyBorder="1" applyAlignment="1">
      <x:alignment vertical="top"/>
    </x:xf>
    <x:xf numFmtId="0" fontId="1" fillId="0" borderId="11" xfId="0" applyNumberFormat="1" applyFont="1" applyFill="1" applyBorder="1" applyAlignment="1">
      <x:alignment vertical="top"/>
    </x:xf>
    <x:xf numFmtId="0" fontId="1" fillId="0" borderId="11" xfId="0" applyNumberFormat="1" applyFont="1" applyFill="1" applyBorder="1" applyAlignment="1">
      <x:alignment vertical="top" wrapText="1"/>
    </x:xf>
    <x:xf numFmtId="200" fontId="1" fillId="0" borderId="11" xfId="0" applyNumberFormat="1" applyFont="1" applyFill="1" applyBorder="1" applyAlignment="1">
      <x:alignment vertical="top"/>
    </x:xf>
    <x:xf numFmtId="201" fontId="1" fillId="0" borderId="11" xfId="0" applyNumberFormat="1" applyFont="1" applyFill="1" applyBorder="1" applyAlignment="1">
      <x:alignment vertical="top"/>
    </x:xf>
    <x:xf numFmtId="0" fontId="1" fillId="0" borderId="12" xfId="0" applyNumberFormat="1" applyFont="1" applyFill="1" applyBorder="1" applyAlignment="1">
      <x:alignment vertical="top"/>
    </x:xf>
    <x:xf numFmtId="0" fontId="1" fillId="0" borderId="12" xfId="0" applyNumberFormat="1" applyFont="1" applyFill="1" applyBorder="1" applyAlignment="1">
      <x:alignment vertical="top" wrapText="1"/>
    </x:xf>
    <x:xf numFmtId="200" fontId="1" fillId="0" borderId="12" xfId="0" applyNumberFormat="1" applyFont="1" applyFill="1" applyBorder="1" applyAlignment="1">
      <x:alignment vertical="top"/>
    </x:xf>
    <x:xf numFmtId="201" fontId="1" fillId="0" borderId="12" xfId="0" applyNumberFormat="1" applyFont="1" applyFill="1" applyBorder="1" applyAlignment="1">
      <x:alignment vertical="top"/>
    </x:xf>
    <x:xf numFmtId="0" fontId="1" fillId="0" borderId="13" xfId="0" applyNumberFormat="1" applyFont="1" applyFill="1" applyBorder="1" applyAlignment="1">
      <x:alignment vertical="top"/>
    </x:xf>
    <x:xf numFmtId="0" fontId="1" fillId="0" borderId="13" xfId="0" applyNumberFormat="1" applyFont="1" applyFill="1" applyBorder="1" applyAlignment="1">
      <x:alignment vertical="top" wrapText="1"/>
    </x:xf>
    <x:xf numFmtId="200" fontId="1" fillId="0" borderId="13" xfId="0" applyNumberFormat="1" applyFont="1" applyFill="1" applyBorder="1" applyAlignment="1">
      <x:alignment vertical="top"/>
    </x:xf>
    <x:xf numFmtId="201" fontId="1" fillId="0" borderId="13" xfId="0" applyNumberFormat="1" applyFont="1" applyFill="1" applyBorder="1" applyAlignment="1">
      <x:alignment vertical="top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4" xfId="0" applyNumberFormat="1" applyFont="1" applyFill="1" applyBorder="1"/>
    <x:xf numFmtId="0" fontId="4" fillId="3" borderId="15" xfId="0" applyNumberFormat="1" applyFont="1" applyFill="1" applyBorder="1"/>
    <x:xf numFmtId="0" fontId="4" fillId="3" borderId="16" xfId="0" applyNumberFormat="1" applyFont="1" applyFill="1" applyBorder="1"/>
    <x:xf numFmtId="0" fontId="4" fillId="3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2" fontId="0" fillId="0" borderId="18" xfId="0" applyNumberFormat="1" applyFont="1" applyFill="1" applyBorder="1"/>
    <x:xf numFmtId="202" fontId="0" fillId="0" borderId="19" xfId="0" applyNumberFormat="1" applyFont="1" applyFill="1" applyBorder="1"/>
    <x:xf numFmtId="202" fontId="0" fillId="0" borderId="20" xfId="0" applyNumberFormat="1" applyFont="1" applyFill="1" applyBorder="1"/>
    <x:xf numFmtId="202" fontId="0" fillId="0" borderId="21" xfId="0" applyNumberFormat="1" applyFont="1" applyFill="1" applyBorder="1"/>
    <x:xf numFmtId="202" fontId="0" fillId="0" borderId="22" xfId="0" applyNumberFormat="1" applyFont="1" applyFill="1" applyBorder="1"/>
    <x:xf numFmtId="202" fontId="0" fillId="0" borderId="23" xfId="0" applyNumberFormat="1" applyFont="1" applyFill="1" applyBorder="1"/>
    <x:xf numFmtId="202" fontId="4" fillId="0" borderId="18" xfId="0" applyNumberFormat="1" applyFont="1" applyFill="1" applyBorder="1"/>
    <x:xf numFmtId="202" fontId="4" fillId="0" borderId="19" xfId="0" applyNumberFormat="1" applyFont="1" applyFill="1" applyBorder="1"/>
    <x:xf numFmtId="202" fontId="4" fillId="0" borderId="20" xfId="0" applyNumberFormat="1" applyFont="1" applyFill="1" applyBorder="1"/>
    <x:xf numFmtId="202" fontId="4" fillId="0" borderId="21" xfId="0" applyNumberFormat="1" applyFont="1" applyFill="1" applyBorder="1"/>
    <x:xf numFmtId="202" fontId="4" fillId="0" borderId="22" xfId="0" applyNumberFormat="1" applyFont="1" applyFill="1" applyBorder="1"/>
    <x:xf numFmtId="202" fontId="4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202" fontId="0" fillId="0" borderId="24" xfId="0" applyNumberFormat="1" applyFont="1" applyFill="1" applyBorder="1"/>
    <x:xf numFmtId="202" fontId="0" fillId="0" borderId="25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203" fontId="1" fillId="0" borderId="8" xfId="0" applyNumberFormat="1" applyFont="1" applyFill="1" applyBorder="1" applyAlignment="1">
      <x:alignment vertical="top"/>
    </x:xf>
    <x:xf numFmtId="203" fontId="1" fillId="0" borderId="9" xfId="0" applyNumberFormat="1" applyFont="1" applyFill="1" applyBorder="1" applyAlignment="1">
      <x:alignment vertical="top"/>
    </x:xf>
    <x:xf numFmtId="203" fontId="1" fillId="0" borderId="1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db271c2b5247e5" /><Relationship Type="http://schemas.openxmlformats.org/officeDocument/2006/relationships/theme" Target="/xl/theme/theme1.xml" Id="R072d8c34195d4953" /><Relationship Type="http://schemas.openxmlformats.org/officeDocument/2006/relationships/sharedStrings" Target="/xl/sharedStrings.xml" Id="R1e4638318bbf45db" /><Relationship Type="http://schemas.openxmlformats.org/officeDocument/2006/relationships/worksheet" Target="/xl/worksheets/sheet1.xml" Id="Re169a347d0234dbc" /><Relationship Type="http://schemas.openxmlformats.org/officeDocument/2006/relationships/worksheet" Target="/xl/worksheets/sheet2.xml" Id="Rdb564030c9724cff" /></Relationships>
</file>

<file path=xl/tables/table1.xml><?xml version="1.0" encoding="utf-8"?>
<x:table xmlns:x="http://schemas.openxmlformats.org/spreadsheetml/2006/main" id="1" name="McpFullGold250Table" displayName="McpFullGold250Table" ref="A1:AJ251" headerRowCount="1" totalsRowCount="0" totalsRowShown="0">
  <x:autoFilter ref="A1:AJ251"/>
  <x:tableColumns count="36">
    <x:tableColumn id="1" name="gold_id"/>
    <x:tableColumn id="2" name="claim_id"/>
    <x:tableColumn id="3" name="article_id"/>
    <x:tableColumn id="4" name="title"/>
    <x:tableColumn id="5" name="date"/>
    <x:tableColumn id="6" name="url"/>
    <x:tableColumn id="7" name="claim_text"/>
    <x:tableColumn id="8" name="claim_type"/>
    <x:tableColumn id="9" name="claim_value"/>
    <x:tableColumn id="10" name="claim_unit"/>
    <x:tableColumn id="11" name="gold_label"/>
    <x:tableColumn id="12" name="gold_label_tier"/>
    <x:tableColumn id="13" name="gold_verifiable"/>
    <x:tableColumn id="14" name="gold_ready"/>
    <x:tableColumn id="15" name="human_reviewed"/>
    <x:tableColumn id="16" name="gold_org_id"/>
    <x:tableColumn id="17" name="gold_tbl_id"/>
    <x:tableColumn id="18" name="gold_tbl_name"/>
    <x:tableColumn id="19" name="gold_obj_l1"/>
    <x:tableColumn id="20" name="gold_obj_l2"/>
    <x:tableColumn id="21" name="gold_itm_id"/>
    <x:tableColumn id="22" name="gold_item_name"/>
    <x:tableColumn id="23" name="gold_category_name"/>
    <x:tableColumn id="24" name="gold_prd_se"/>
    <x:tableColumn id="25" name="gold_period"/>
    <x:tableColumn id="26" name="gold_previous_period"/>
    <x:tableColumn id="27" name="gold_source_value"/>
    <x:tableColumn id="28" name="gold_previous_source_value"/>
    <x:tableColumn id="29" name="gold_source_unit"/>
    <x:tableColumn id="30" name="gold_actual_value"/>
    <x:tableColumn id="31" name="gold_derivation_method"/>
    <x:tableColumn id="32" name="gold_coordinate_status"/>
    <x:tableColumn id="33" name="gold_label_source"/>
    <x:tableColumn id="34" name="gold_evidence_url"/>
    <x:tableColumn id="35" name="gold_evidence_batch"/>
    <x:tableColumn id="36" name="gold_retriev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1c04254a604f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6" hidden="0" customWidth="1"/>
    <x:col min="5" max="5" width="12" hidden="0" customWidth="1"/>
    <x:col min="6" max="6" width="38" hidden="0" customWidth="1"/>
    <x:col min="7" max="7" width="5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30" hidden="0" customWidth="1"/>
    <x:col min="34" max="34" width="30" hidden="0" customWidth="1"/>
    <x:col min="35" max="35" width="30" hidden="0" customWidth="1"/>
    <x:col min="36" max="36" width="30" hidden="0" customWidth="1"/>
  </x:cols>
  <x:sheetData>
    <x:row r="1" ht="42" customHeight="1">
      <x:c r="A1" s="22" t="str">
        <x:v>gold_id</x:v>
      </x:c>
      <x:c r="B1" s="23" t="str">
        <x:v>claim_id</x:v>
      </x:c>
      <x:c r="C1" s="23" t="str">
        <x:v>article_id</x:v>
      </x:c>
      <x:c r="D1" s="23" t="str">
        <x:v>title</x:v>
      </x:c>
      <x:c r="E1" s="23" t="str">
        <x:v>date</x:v>
      </x:c>
      <x:c r="F1" s="23" t="str">
        <x:v>url</x:v>
      </x:c>
      <x:c r="G1" s="23" t="str">
        <x:v>claim_text</x:v>
      </x:c>
      <x:c r="H1" s="23" t="str">
        <x:v>claim_type</x:v>
      </x:c>
      <x:c r="I1" s="23" t="str">
        <x:v>claim_value</x:v>
      </x:c>
      <x:c r="J1" s="23" t="str">
        <x:v>claim_unit</x:v>
      </x:c>
      <x:c r="K1" s="23" t="str">
        <x:v>gold_label</x:v>
      </x:c>
      <x:c r="L1" s="23" t="str">
        <x:v>gold_label_tier</x:v>
      </x:c>
      <x:c r="M1" s="23" t="str">
        <x:v>gold_verifiable</x:v>
      </x:c>
      <x:c r="N1" s="23" t="str">
        <x:v>gold_ready</x:v>
      </x:c>
      <x:c r="O1" s="23" t="str">
        <x:v>human_reviewed</x:v>
      </x:c>
      <x:c r="P1" s="23" t="str">
        <x:v>gold_org_id</x:v>
      </x:c>
      <x:c r="Q1" s="23" t="str">
        <x:v>gold_tbl_id</x:v>
      </x:c>
      <x:c r="R1" s="23" t="str">
        <x:v>gold_tbl_name</x:v>
      </x:c>
      <x:c r="S1" s="23" t="str">
        <x:v>gold_obj_l1</x:v>
      </x:c>
      <x:c r="T1" s="23" t="str">
        <x:v>gold_obj_l2</x:v>
      </x:c>
      <x:c r="U1" s="23" t="str">
        <x:v>gold_itm_id</x:v>
      </x:c>
      <x:c r="V1" s="23" t="str">
        <x:v>gold_item_name</x:v>
      </x:c>
      <x:c r="W1" s="23" t="str">
        <x:v>gold_category_name</x:v>
      </x:c>
      <x:c r="X1" s="23" t="str">
        <x:v>gold_prd_se</x:v>
      </x:c>
      <x:c r="Y1" s="23" t="str">
        <x:v>gold_period</x:v>
      </x:c>
      <x:c r="Z1" s="23" t="str">
        <x:v>gold_previous_period</x:v>
      </x:c>
      <x:c r="AA1" s="23" t="str">
        <x:v>gold_source_value</x:v>
      </x:c>
      <x:c r="AB1" s="23" t="str">
        <x:v>gold_previous_source_value</x:v>
      </x:c>
      <x:c r="AC1" s="23" t="str">
        <x:v>gold_source_unit</x:v>
      </x:c>
      <x:c r="AD1" s="23" t="str">
        <x:v>gold_actual_value</x:v>
      </x:c>
      <x:c r="AE1" s="23" t="str">
        <x:v>gold_derivation_method</x:v>
      </x:c>
      <x:c r="AF1" s="23" t="str">
        <x:v>gold_coordinate_status</x:v>
      </x:c>
      <x:c r="AG1" s="23" t="str">
        <x:v>gold_label_source</x:v>
      </x:c>
      <x:c r="AH1" s="23" t="str">
        <x:v>gold_evidence_url</x:v>
      </x:c>
      <x:c r="AI1" s="23" t="str">
        <x:v>gold_evidence_batch</x:v>
      </x:c>
      <x:c r="AJ1" s="24" t="str">
        <x:v>gold_retrieved_at</x:v>
      </x:c>
    </x:row>
    <x:row r="2">
      <x:c r="A2" s="34" t="str">
        <x:v>MCPG-001</x:v>
      </x:c>
      <x:c r="B2" s="34" t="str">
        <x:v>C00078</x:v>
      </x:c>
      <x:c r="C2" s="101" t="str">
        <x:v>A0006</x:v>
      </x:c>
      <x:c r="D2" s="35" t="str">
        <x:v>2024년 수출, 6838억달러로 ‘역대 최대’ 경신</x:v>
      </x:c>
      <x:c r="E2" s="35" t="str">
        <x:v>2025-01-01</x:v>
      </x:c>
      <x:c r="F2" s="35" t="str">
        <x:v>https://www.chosun.com/economy/industry-company/2025/01/01/2UPTGREAPRAWRG4XUBRMLONSKY</x:v>
      </x:c>
      <x:c r="G2" s="35" t="str">
        <x:v>24 한국의 2024년 수출이 6838억 달러를 기록해 역대 최대실적을 달성했다고 1일 산업통상자원부가 밝혔다.</x:v>
      </x:c>
      <x:c r="H2" s="34" t="str">
        <x:v>LEVEL</x:v>
      </x:c>
      <x:c r="I2" s="36" t="str">
        <x:v>6838.0</x:v>
      </x:c>
      <x:c r="J2" s="34" t="str">
        <x:v>['년', '일']</x:v>
      </x:c>
      <x:c r="K2" s="34" t="str">
        <x:v>SUPPORTS</x:v>
      </x:c>
      <x:c r="L2" s="34" t="str">
        <x:v>FULL_KOSIS_MCP</x:v>
      </x:c>
      <x:c r="M2" s="34" t="str">
        <x:v>Y</x:v>
      </x:c>
      <x:c r="N2" s="34" t="str">
        <x:v>Y</x:v>
      </x:c>
      <x:c r="O2" s="34" t="str">
        <x:v>N</x:v>
      </x:c>
      <x:c r="P2" s="34" t="str">
        <x:v>360</x:v>
      </x:c>
      <x:c r="Q2" s="34" t="str">
        <x:v>DT_1R11001_FRM101</x:v>
      </x:c>
      <x:c r="R2" s="34" t="str">
        <x:v>품목별 수출액 수입액</x:v>
      </x:c>
      <x:c r="S2" s="34" t="str">
        <x:v>13102112831A.A</x:v>
      </x:c>
      <x:c r="T2" s="34" t="str">
        <x:v>N/A</x:v>
      </x:c>
      <x:c r="U2" s="34" t="str">
        <x:v>13103112831T1</x:v>
      </x:c>
      <x:c r="V2" s="34" t="str">
        <x:v>수출액</x:v>
      </x:c>
      <x:c r="W2" s="34" t="str">
        <x:v>총액</x:v>
      </x:c>
      <x:c r="X2" s="34" t="str">
        <x:v>Y</x:v>
      </x:c>
      <x:c r="Y2" s="34" t="str">
        <x:v>2024</x:v>
      </x:c>
      <x:c r="Z2" s="34" t="str">
        <x:v>N/A</x:v>
      </x:c>
      <x:c r="AA2" s="37" t="str">
        <x:v>683609488.0</x:v>
      </x:c>
      <x:c r="AB2" s="37" t="str">
        <x:v>N/A</x:v>
      </x:c>
      <x:c r="AC2" s="37" t="str">
        <x:v>천달러</x:v>
      </x:c>
      <x:c r="AD2" s="37" t="str">
        <x:v>6836.09488</x:v>
      </x:c>
      <x:c r="AE2" s="35" t="str">
        <x:v>MCP current value × source unit scale (1e-05)</x:v>
      </x:c>
      <x:c r="AF2" s="35" t="str">
        <x:v>MCP_ACTUAL_VALUE_CONFIRMED</x:v>
      </x:c>
      <x:c r="AG2" s="35" t="str">
        <x:v>KOSIS_MCP_GET_DATA</x:v>
      </x:c>
      <x:c r="AH2" s="35" t="str">
        <x:v>https://kosis.kr/statHtml/statHtml.do?orgId=360&amp;tblId=DT_1R11001_FRM101&amp;vw_cd=MT_ZTITLE&amp;list_id=&amp;seqNo=&amp;lang_mode=ko&amp;language=kor&amp;obj_var_id=&amp;itm_id=&amp;conn_path=MT_ZTITLE</x:v>
      </x:c>
      <x:c r="AI2" s="34" t="str">
        <x:v>241-269</x:v>
      </x:c>
      <x:c r="AJ2" s="34" t="n">
        <x:v>46240.03102354167</x:v>
      </x:c>
    </x:row>
    <x:row r="3">
      <x:c r="A3" s="38" t="str">
        <x:v>MCPG-002</x:v>
      </x:c>
      <x:c r="B3" s="38" t="str">
        <x:v>C00090</x:v>
      </x:c>
      <x:c r="C3" s="102" t="str">
        <x:v>A0006</x:v>
      </x:c>
      <x:c r="D3" s="39" t="str">
        <x:v>2024년 수출, 6838억달러로 ‘역대 최대’ 경신</x:v>
      </x:c>
      <x:c r="E3" s="39" t="str">
        <x:v>2025-01-01</x:v>
      </x:c>
      <x:c r="F3" s="39" t="str">
        <x:v>https://www.chosun.com/economy/industry-company/2025/01/01/2UPTGREAPRAWRG4XUBRMLONSKY</x:v>
      </x:c>
      <x:c r="G3" s="39" t="str">
        <x:v>◇12월 수출 6.6% 늘어난 614억달러...수출 증가율 5개월 만에 반등 한편 이날 동시에 발표된 지난 12월 수출액은 614억달러로 전년 동월 대비 6.6% 증가했다.</x:v>
      </x:c>
      <x:c r="H3" s="38" t="str">
        <x:v>CHANGE_RATE</x:v>
      </x:c>
      <x:c r="I3" s="40" t="str">
        <x:v>6.6</x:v>
      </x:c>
      <x:c r="J3" s="38" t="str">
        <x:v>['월', '%', '개', '월', '%']</x:v>
      </x:c>
      <x:c r="K3" s="38" t="str">
        <x:v>SUPPORTS</x:v>
      </x:c>
      <x:c r="L3" s="38" t="str">
        <x:v>FULL_KOSIS_MCP</x:v>
      </x:c>
      <x:c r="M3" s="38" t="str">
        <x:v>Y</x:v>
      </x:c>
      <x:c r="N3" s="38" t="str">
        <x:v>Y</x:v>
      </x:c>
      <x:c r="O3" s="38" t="str">
        <x:v>N</x:v>
      </x:c>
      <x:c r="P3" s="38" t="str">
        <x:v>360</x:v>
      </x:c>
      <x:c r="Q3" s="38" t="str">
        <x:v>DT_1R11001_FRM101</x:v>
      </x:c>
      <x:c r="R3" s="38" t="str">
        <x:v>품목별 수출액 수입액</x:v>
      </x:c>
      <x:c r="S3" s="38" t="str">
        <x:v>13102112831A.A</x:v>
      </x:c>
      <x:c r="T3" s="38" t="str">
        <x:v>N/A</x:v>
      </x:c>
      <x:c r="U3" s="38" t="str">
        <x:v>13103112831T1</x:v>
      </x:c>
      <x:c r="V3" s="38" t="str">
        <x:v>수출액</x:v>
      </x:c>
      <x:c r="W3" s="38" t="str">
        <x:v>총액</x:v>
      </x:c>
      <x:c r="X3" s="38" t="str">
        <x:v>M</x:v>
      </x:c>
      <x:c r="Y3" s="38" t="str">
        <x:v>202412</x:v>
      </x:c>
      <x:c r="Z3" s="38" t="str">
        <x:v>202312</x:v>
      </x:c>
      <x:c r="AA3" s="41" t="str">
        <x:v>61359250.0</x:v>
      </x:c>
      <x:c r="AB3" s="41" t="str">
        <x:v>57573193.0</x:v>
      </x:c>
      <x:c r="AC3" s="41" t="str">
        <x:v>천달러</x:v>
      </x:c>
      <x:c r="AD3" s="41" t="str">
        <x:v>6.576076126262444</x:v>
      </x:c>
      <x:c r="AE3" s="39" t="str">
        <x:v>(MCP current − MCP previous) / |MCP previous| × 100</x:v>
      </x:c>
      <x:c r="AF3" s="39" t="str">
        <x:v>MCP_ACTUAL_VALUE_CONFIRMED</x:v>
      </x:c>
      <x:c r="AG3" s="39" t="str">
        <x:v>KOSIS_MCP_GET_DATA</x:v>
      </x:c>
      <x:c r="AH3" s="39" t="str">
        <x:v>https://kosis.kr/statHtml/statHtml.do?orgId=360&amp;tblId=DT_1R11001_FRM101&amp;vw_cd=MT_ZTITLE&amp;list_id=&amp;seqNo=&amp;lang_mode=ko&amp;language=kor&amp;obj_var_id=&amp;itm_id=&amp;conn_path=MT_ZTITLE</x:v>
      </x:c>
      <x:c r="AI3" s="38" t="str">
        <x:v>241-269</x:v>
      </x:c>
      <x:c r="AJ3" s="38" t="n">
        <x:v>46240.03102354167</x:v>
      </x:c>
    </x:row>
    <x:row r="4">
      <x:c r="A4" s="38" t="str">
        <x:v>MCPG-003</x:v>
      </x:c>
      <x:c r="B4" s="38" t="str">
        <x:v>C00093</x:v>
      </x:c>
      <x:c r="C4" s="102" t="str">
        <x:v>A0006</x:v>
      </x:c>
      <x:c r="D4" s="39" t="str">
        <x:v>2024년 수출, 6838억달러로 ‘역대 최대’ 경신</x:v>
      </x:c>
      <x:c r="E4" s="39" t="str">
        <x:v>2025-01-01</x:v>
      </x:c>
      <x:c r="F4" s="39" t="str">
        <x:v>https://www.chosun.com/economy/industry-company/2025/01/01/2UPTGREAPRAWRG4XUBRMLONSKY</x:v>
      </x:c>
      <x:c r="G4" s="39" t="str">
        <x:v>전년 대비 월간 수출 증가율은 8월(11%), 9월(7.5%), 10월(4.6%), 11월(1.4%)로 계속 감소 중이었으나, 12월에 6.6%로 반등에 성공한 것이다.</x:v>
      </x:c>
      <x:c r="H4" s="38" t="str">
        <x:v>CHANGE_RATE</x:v>
      </x:c>
      <x:c r="I4" s="40" t="str">
        <x:v>6.6</x:v>
      </x:c>
      <x:c r="J4" s="38" t="str">
        <x:v>['월', '%', '월', '%', '월', '%', '월', '%', '월', '%']</x:v>
      </x:c>
      <x:c r="K4" s="38" t="str">
        <x:v>SUPPORTS</x:v>
      </x:c>
      <x:c r="L4" s="38" t="str">
        <x:v>FULL_KOSIS_MCP</x:v>
      </x:c>
      <x:c r="M4" s="38" t="str">
        <x:v>Y</x:v>
      </x:c>
      <x:c r="N4" s="38" t="str">
        <x:v>Y</x:v>
      </x:c>
      <x:c r="O4" s="38" t="str">
        <x:v>N</x:v>
      </x:c>
      <x:c r="P4" s="38" t="str">
        <x:v>360</x:v>
      </x:c>
      <x:c r="Q4" s="38" t="str">
        <x:v>DT_1R11001_FRM101</x:v>
      </x:c>
      <x:c r="R4" s="38" t="str">
        <x:v>품목별 수출액 수입액</x:v>
      </x:c>
      <x:c r="S4" s="38" t="str">
        <x:v>13102112831A.A</x:v>
      </x:c>
      <x:c r="T4" s="38" t="str">
        <x:v>N/A</x:v>
      </x:c>
      <x:c r="U4" s="38" t="str">
        <x:v>13103112831T1</x:v>
      </x:c>
      <x:c r="V4" s="38" t="str">
        <x:v>수출액</x:v>
      </x:c>
      <x:c r="W4" s="38" t="str">
        <x:v>총액</x:v>
      </x:c>
      <x:c r="X4" s="38" t="str">
        <x:v>M</x:v>
      </x:c>
      <x:c r="Y4" s="38" t="str">
        <x:v>202412</x:v>
      </x:c>
      <x:c r="Z4" s="38" t="str">
        <x:v>202312</x:v>
      </x:c>
      <x:c r="AA4" s="41" t="str">
        <x:v>61359250.0</x:v>
      </x:c>
      <x:c r="AB4" s="41" t="str">
        <x:v>57573193.0</x:v>
      </x:c>
      <x:c r="AC4" s="41" t="str">
        <x:v>천달러</x:v>
      </x:c>
      <x:c r="AD4" s="41" t="str">
        <x:v>6.576076126262444</x:v>
      </x:c>
      <x:c r="AE4" s="39" t="str">
        <x:v>(MCP current − MCP previous) / |MCP previous| × 100</x:v>
      </x:c>
      <x:c r="AF4" s="39" t="str">
        <x:v>MCP_ACTUAL_VALUE_CONFIRMED</x:v>
      </x:c>
      <x:c r="AG4" s="39" t="str">
        <x:v>KOSIS_MCP_GET_DATA</x:v>
      </x:c>
      <x:c r="AH4" s="39" t="str">
        <x:v>https://kosis.kr/statHtml/statHtml.do?orgId=360&amp;tblId=DT_1R11001_FRM101&amp;vw_cd=MT_ZTITLE&amp;list_id=&amp;seqNo=&amp;lang_mode=ko&amp;language=kor&amp;obj_var_id=&amp;itm_id=&amp;conn_path=MT_ZTITLE</x:v>
      </x:c>
      <x:c r="AI4" s="38" t="str">
        <x:v>241-269</x:v>
      </x:c>
      <x:c r="AJ4" s="38" t="n">
        <x:v>46240.03102354167</x:v>
      </x:c>
    </x:row>
    <x:row r="5">
      <x:c r="A5" s="38" t="str">
        <x:v>MCPG-004</x:v>
      </x:c>
      <x:c r="B5" s="38" t="str">
        <x:v>C00381</x:v>
      </x:c>
      <x:c r="C5" s="102" t="str">
        <x:v>A0041</x:v>
      </x:c>
      <x:c r="D5" s="39" t="str">
        <x:v>치솟는 환율에 식품 물가도 급등</x:v>
      </x:c>
      <x:c r="E5" s="39" t="str">
        <x:v>2025-01-04</x:v>
      </x:c>
      <x:c r="F5" s="39" t="str">
        <x:v>https://www.chosun.com/economy/economy_general/2025/01/04/7SPGFC4RFZEDLDPFTQHVDM2K2E</x:v>
      </x:c>
      <x:c r="G5" s="39" t="str">
        <x:v>175개 품목의 평균 물가 상승폭은 3.9%로, 지난해 연간 소비자물가지수 상승폭(2.3%)을 뛰어넘었다.</x:v>
      </x:c>
      <x:c r="H5" s="38" t="str">
        <x:v>CHANGE_RATE</x:v>
      </x:c>
      <x:c r="I5" s="40" t="str">
        <x:v>2.3</x:v>
      </x:c>
      <x:c r="J5" s="38" t="str">
        <x:v>['개', '%', '%']</x:v>
      </x:c>
      <x:c r="K5" s="38" t="str">
        <x:v>SUPPORTS</x:v>
      </x:c>
      <x:c r="L5" s="38" t="str">
        <x:v>FULL_KOSIS_MCP</x:v>
      </x:c>
      <x:c r="M5" s="38" t="str">
        <x:v>Y</x:v>
      </x:c>
      <x:c r="N5" s="38" t="str">
        <x:v>Y</x:v>
      </x:c>
      <x:c r="O5" s="38" t="str">
        <x:v>N</x:v>
      </x:c>
      <x:c r="P5" s="38" t="str">
        <x:v>101</x:v>
      </x:c>
      <x:c r="Q5" s="38" t="str">
        <x:v>DT_1J22003</x:v>
      </x:c>
      <x:c r="R5" s="38" t="str">
        <x:v>소비자물가지수(2020＝100)</x:v>
      </x:c>
      <x:c r="S5" s="38" t="str">
        <x:v>T10</x:v>
      </x:c>
      <x:c r="T5" s="38" t="str">
        <x:v>N/A</x:v>
      </x:c>
      <x:c r="U5" s="38" t="str">
        <x:v>T</x:v>
      </x:c>
      <x:c r="V5" s="38" t="str">
        <x:v>소비자물가지수(총지수)</x:v>
      </x:c>
      <x:c r="W5" s="38" t="str">
        <x:v>전국</x:v>
      </x:c>
      <x:c r="X5" s="38" t="str">
        <x:v>Y</x:v>
      </x:c>
      <x:c r="Y5" s="38" t="str">
        <x:v>2024</x:v>
      </x:c>
      <x:c r="Z5" s="38" t="str">
        <x:v>2023</x:v>
      </x:c>
      <x:c r="AA5" s="41" t="str">
        <x:v>114.18</x:v>
      </x:c>
      <x:c r="AB5" s="41" t="str">
        <x:v>111.59</x:v>
      </x:c>
      <x:c r="AC5" s="41" t="str">
        <x:v>2020＝100</x:v>
      </x:c>
      <x:c r="AD5" s="41" t="str">
        <x:v>2.3209965050631807</x:v>
      </x:c>
      <x:c r="AE5" s="39" t="str">
        <x:v>(MCP current − MCP previous) / |MCP previous| × 100</x:v>
      </x:c>
      <x:c r="AF5" s="39" t="str">
        <x:v>MCP_ACTUAL_VALUE_CONFIRMED</x:v>
      </x:c>
      <x:c r="AG5" s="39" t="str">
        <x:v>KOSIS_MCP_GET_DATA</x:v>
      </x:c>
      <x:c r="AH5" s="39" t="str">
        <x:v>https://kosis.kr/statHtml/statHtml.do?orgId=101&amp;tblId=DT_1J22003&amp;vw_cd=MT_ZTITLE&amp;list_id=&amp;seqNo=&amp;lang_mode=ko&amp;language=kor&amp;obj_var_id=&amp;itm_id=&amp;conn_path=MT_ZTITLE</x:v>
      </x:c>
      <x:c r="AI5" s="38" t="str">
        <x:v>241-269</x:v>
      </x:c>
      <x:c r="AJ5" s="38" t="n">
        <x:v>46240.03102354167</x:v>
      </x:c>
    </x:row>
    <x:row r="6">
      <x:c r="A6" s="38" t="str">
        <x:v>MCPG-005</x:v>
      </x:c>
      <x:c r="B6" s="38" t="str">
        <x:v>C01375</x:v>
      </x:c>
      <x:c r="C6" s="102" t="str">
        <x:v>A0191</x:v>
      </x:c>
      <x:c r="D6" s="39" t="str">
        <x:v>“트럼프 2기 출범 후 일괄 관세 부과하면 한국 수출 큰 타격”</x:v>
      </x:c>
      <x:c r="E6" s="39" t="str">
        <x:v>2025-01-15</x:v>
      </x:c>
      <x:c r="F6" s="39" t="str">
        <x:v>https://www.chosun.com/economy/economy_general/2025/01/15/NGXOCXC67ZDMXJGBKFCDZHY77Q</x:v>
      </x:c>
      <x:c r="G6" s="39" t="str">
        <x:v>한국의 수출 증가율(전년 동월 대비)은 지난해 7월 13.5%를 기록한 이후 계속해서 떨어져 지난 11월에는 1.4%로 둔화됐다.</x:v>
      </x:c>
      <x:c r="H6" s="38" t="str">
        <x:v>CHANGE_RATE</x:v>
      </x:c>
      <x:c r="I6" s="40" t="str">
        <x:v>1.4</x:v>
      </x:c>
      <x:c r="J6" s="38" t="str">
        <x:v>['월', '%', '월', '%']</x:v>
      </x:c>
      <x:c r="K6" s="38" t="str">
        <x:v>SUPPORTS</x:v>
      </x:c>
      <x:c r="L6" s="38" t="str">
        <x:v>FULL_KOSIS_MCP</x:v>
      </x:c>
      <x:c r="M6" s="38" t="str">
        <x:v>Y</x:v>
      </x:c>
      <x:c r="N6" s="38" t="str">
        <x:v>Y</x:v>
      </x:c>
      <x:c r="O6" s="38" t="str">
        <x:v>N</x:v>
      </x:c>
      <x:c r="P6" s="38" t="str">
        <x:v>360</x:v>
      </x:c>
      <x:c r="Q6" s="38" t="str">
        <x:v>DT_1R11001_FRM101</x:v>
      </x:c>
      <x:c r="R6" s="38" t="str">
        <x:v>품목별 수출액 수입액</x:v>
      </x:c>
      <x:c r="S6" s="38" t="str">
        <x:v>13102112831A.A</x:v>
      </x:c>
      <x:c r="T6" s="38" t="str">
        <x:v>N/A</x:v>
      </x:c>
      <x:c r="U6" s="38" t="str">
        <x:v>13103112831T1</x:v>
      </x:c>
      <x:c r="V6" s="38" t="str">
        <x:v>수출액</x:v>
      </x:c>
      <x:c r="W6" s="38" t="str">
        <x:v>총액</x:v>
      </x:c>
      <x:c r="X6" s="38" t="str">
        <x:v>M</x:v>
      </x:c>
      <x:c r="Y6" s="38" t="str">
        <x:v>202411</x:v>
      </x:c>
      <x:c r="Z6" s="38" t="str">
        <x:v>202311</x:v>
      </x:c>
      <x:c r="AA6" s="41" t="str">
        <x:v>56288629.0</x:v>
      </x:c>
      <x:c r="AB6" s="41" t="str">
        <x:v>55561090.0</x:v>
      </x:c>
      <x:c r="AC6" s="41" t="str">
        <x:v>천달러</x:v>
      </x:c>
      <x:c r="AD6" s="41" t="str">
        <x:v>1.3094397536117452</x:v>
      </x:c>
      <x:c r="AE6" s="39" t="str">
        <x:v>(MCP current − MCP previous) / |MCP previous| × 100</x:v>
      </x:c>
      <x:c r="AF6" s="39" t="str">
        <x:v>MCP_ACTUAL_VALUE_CONFIRMED</x:v>
      </x:c>
      <x:c r="AG6" s="39" t="str">
        <x:v>KOSIS_MCP_GET_DATA</x:v>
      </x:c>
      <x:c r="AH6" s="39" t="str">
        <x:v>https://kosis.kr/statHtml/statHtml.do?orgId=360&amp;tblId=DT_1R11001_FRM101&amp;vw_cd=MT_ZTITLE&amp;list_id=&amp;seqNo=&amp;lang_mode=ko&amp;language=kor&amp;obj_var_id=&amp;itm_id=&amp;conn_path=MT_ZTITLE</x:v>
      </x:c>
      <x:c r="AI6" s="38" t="str">
        <x:v>241-269</x:v>
      </x:c>
      <x:c r="AJ6" s="38" t="n">
        <x:v>46240.03102354167</x:v>
      </x:c>
    </x:row>
    <x:row r="7">
      <x:c r="A7" s="38" t="str">
        <x:v>MCPG-006</x:v>
      </x:c>
      <x:c r="B7" s="38" t="str">
        <x:v>C01924</x:v>
      </x:c>
      <x:c r="C7" s="102" t="str">
        <x:v>A0268</x:v>
      </x:c>
      <x:c r="D7" s="39" t="str">
        <x:v>새해 첫 20일 수출 5.1%↓ 엿새 설 연휴로 1월 전체 수출 감소 가능성</x:v>
      </x:c>
      <x:c r="E7" s="39" t="str">
        <x:v>2025-01-21</x:v>
      </x:c>
      <x:c r="F7" s="39" t="str">
        <x:v>https://www.chosun.com/economy/economy_general/2025/01/21/I6KIDJTHINBDZJKIJQNJX7YJ5Q</x:v>
      </x:c>
      <x:c r="G7" s="39" t="str">
        <x:v>그 결과 작년 한 해 전체 수출액은 6838억달러로 1년 전 대비 8.2% 증가했고, 기존 역대 최대 규모였던 2022년 기록(6836억달러)을 깨고 역대 최대 수출 실적을 달성했다.</x:v>
      </x:c>
      <x:c r="H7" s="38" t="str">
        <x:v>CHANGE_RATE</x:v>
      </x:c>
      <x:c r="I7" s="40" t="str">
        <x:v>8.2</x:v>
      </x:c>
      <x:c r="J7" s="38" t="str">
        <x:v>['년', '%', '년']</x:v>
      </x:c>
      <x:c r="K7" s="38" t="str">
        <x:v>SUPPORTS</x:v>
      </x:c>
      <x:c r="L7" s="38" t="str">
        <x:v>FULL_KOSIS_MCP</x:v>
      </x:c>
      <x:c r="M7" s="38" t="str">
        <x:v>Y</x:v>
      </x:c>
      <x:c r="N7" s="38" t="str">
        <x:v>Y</x:v>
      </x:c>
      <x:c r="O7" s="38" t="str">
        <x:v>N</x:v>
      </x:c>
      <x:c r="P7" s="38" t="str">
        <x:v>360</x:v>
      </x:c>
      <x:c r="Q7" s="38" t="str">
        <x:v>DT_1R11001_FRM101</x:v>
      </x:c>
      <x:c r="R7" s="38" t="str">
        <x:v>품목별 수출액 수입액</x:v>
      </x:c>
      <x:c r="S7" s="38" t="str">
        <x:v>13102112831A.A</x:v>
      </x:c>
      <x:c r="T7" s="38" t="str">
        <x:v>N/A</x:v>
      </x:c>
      <x:c r="U7" s="38" t="str">
        <x:v>13103112831T1</x:v>
      </x:c>
      <x:c r="V7" s="38" t="str">
        <x:v>수출액</x:v>
      </x:c>
      <x:c r="W7" s="38" t="str">
        <x:v>총액</x:v>
      </x:c>
      <x:c r="X7" s="38" t="str">
        <x:v>Y</x:v>
      </x:c>
      <x:c r="Y7" s="38" t="str">
        <x:v>2024</x:v>
      </x:c>
      <x:c r="Z7" s="38" t="str">
        <x:v>2023</x:v>
      </x:c>
      <x:c r="AA7" s="41" t="str">
        <x:v>683609488.0</x:v>
      </x:c>
      <x:c r="AB7" s="41" t="str">
        <x:v>632225824.0</x:v>
      </x:c>
      <x:c r="AC7" s="41" t="str">
        <x:v>천달러</x:v>
      </x:c>
      <x:c r="AD7" s="41" t="str">
        <x:v>8.127422520469521</x:v>
      </x:c>
      <x:c r="AE7" s="39" t="str">
        <x:v>(MCP current − MCP previous) / |MCP previous| × 100</x:v>
      </x:c>
      <x:c r="AF7" s="39" t="str">
        <x:v>MCP_ACTUAL_VALUE_CONFIRMED</x:v>
      </x:c>
      <x:c r="AG7" s="39" t="str">
        <x:v>KOSIS_MCP_GET_DATA</x:v>
      </x:c>
      <x:c r="AH7" s="39" t="str">
        <x:v>https://kosis.kr/statHtml/statHtml.do?orgId=360&amp;tblId=DT_1R11001_FRM101&amp;vw_cd=MT_ZTITLE&amp;list_id=&amp;seqNo=&amp;lang_mode=ko&amp;language=kor&amp;obj_var_id=&amp;itm_id=&amp;conn_path=MT_ZTITLE</x:v>
      </x:c>
      <x:c r="AI7" s="38" t="str">
        <x:v>241-269</x:v>
      </x:c>
      <x:c r="AJ7" s="38" t="n">
        <x:v>46240.03102354167</x:v>
      </x:c>
    </x:row>
    <x:row r="8">
      <x:c r="A8" s="38" t="str">
        <x:v>MCPG-007</x:v>
      </x:c>
      <x:c r="B8" s="38" t="str">
        <x:v>C02005</x:v>
      </x:c>
      <x:c r="C8" s="102" t="str">
        <x:v>A0279</x:v>
      </x:c>
      <x:c r="D8" s="39" t="str">
        <x:v>작년 11월 출생아 14.6% 증가...2010년 이후 최대폭</x:v>
      </x:c>
      <x:c r="E8" s="39" t="str">
        <x:v>2025-01-22</x:v>
      </x:c>
      <x:c r="F8" s="39" t="str">
        <x:v>https://www.chosun.com/economy/economy_general/2025/01/22/HAHTAVPQ75BJXM4GWC4SNRKAZA</x:v>
      </x:c>
      <x:c r="G8" s="39" t="str">
        <x:v>출생아 수는 2015년 0.7% 증가했다가 2016년(-7.3%)부터 2023년(-7.7%)까지 8년 연속 감소했었다.</x:v>
      </x:c>
      <x:c r="H8" s="38" t="str">
        <x:v>CHANGE_RATE</x:v>
      </x:c>
      <x:c r="I8" s="40" t="str">
        <x:v>-7.7</x:v>
      </x:c>
      <x:c r="J8" s="38" t="str">
        <x:v>['년', '%', '년', '%', '년', '%', '년']</x:v>
      </x:c>
      <x:c r="K8" s="38" t="str">
        <x:v>SUPPORTS</x:v>
      </x:c>
      <x:c r="L8" s="38" t="str">
        <x:v>FULL_KOSIS_MCP</x:v>
      </x:c>
      <x:c r="M8" s="38" t="str">
        <x:v>Y</x:v>
      </x:c>
      <x:c r="N8" s="38" t="str">
        <x:v>Y</x:v>
      </x:c>
      <x:c r="O8" s="38" t="str">
        <x:v>N</x:v>
      </x:c>
      <x:c r="P8" s="38" t="str">
        <x:v>101</x:v>
      </x:c>
      <x:c r="Q8" s="38" t="str">
        <x:v>INH_1B8000F_01</x:v>
      </x:c>
      <x:c r="R8" s="38" t="str">
        <x:v>출생아수 합계출산율 자연증가 등</x:v>
      </x:c>
      <x:c r="S8" s="38" t="str">
        <x:v>11</x:v>
      </x:c>
      <x:c r="T8" s="38" t="str">
        <x:v>N/A</x:v>
      </x:c>
      <x:c r="U8" s="38" t="str">
        <x:v>T1</x:v>
      </x:c>
      <x:c r="V8" s="38" t="str">
        <x:v>인구동태건수 및 동태율 추이</x:v>
      </x:c>
      <x:c r="W8" s="38" t="str">
        <x:v>출생아수(명)</x:v>
      </x:c>
      <x:c r="X8" s="38" t="str">
        <x:v>Y</x:v>
      </x:c>
      <x:c r="Y8" s="38" t="str">
        <x:v>2023</x:v>
      </x:c>
      <x:c r="Z8" s="38" t="str">
        <x:v>2022</x:v>
      </x:c>
      <x:c r="AA8" s="41" t="str">
        <x:v>230028.0</x:v>
      </x:c>
      <x:c r="AB8" s="41" t="str">
        <x:v>249186.0</x:v>
      </x:c>
      <x:c r="AC8" s="41" t="str">
        <x:v>명</x:v>
      </x:c>
      <x:c r="AD8" s="41" t="str">
        <x:v>-7.68823288627772</x:v>
      </x:c>
      <x:c r="AE8" s="39" t="str">
        <x:v>(MCP current − MCP previous) / |MCP previous| × 100</x:v>
      </x:c>
      <x:c r="AF8" s="39" t="str">
        <x:v>MCP_ACTUAL_VALUE_CONFIRMED</x:v>
      </x:c>
      <x:c r="AG8" s="39" t="str">
        <x:v>KOSIS_MCP_GET_DATA</x:v>
      </x:c>
      <x:c r="AH8" s="39" t="str">
        <x:v>https://kosis.kr/statHtml/statHtml.do?orgId=101&amp;tblId=INH_1B8000F_01&amp;vw_cd=MT_ZTITLE&amp;list_id=&amp;seqNo=&amp;lang_mode=ko&amp;language=kor&amp;obj_var_id=&amp;itm_id=&amp;conn_path=MT_ZTITLE</x:v>
      </x:c>
      <x:c r="AI8" s="38" t="str">
        <x:v>241-269</x:v>
      </x:c>
      <x:c r="AJ8" s="38" t="n">
        <x:v>46240.03102354167</x:v>
      </x:c>
    </x:row>
    <x:row r="9">
      <x:c r="A9" s="38" t="str">
        <x:v>MCPG-008</x:v>
      </x:c>
      <x:c r="B9" s="38" t="str">
        <x:v>C02110</x:v>
      </x:c>
      <x:c r="C9" s="102" t="str">
        <x:v>A0292</x:v>
      </x:c>
      <x:c r="D9" s="39" t="str">
        <x:v>11월 출생아 수 증가율 14.6%… 14년 만에 최고</x:v>
      </x:c>
      <x:c r="E9" s="39" t="str">
        <x:v>2025-01-23</x:v>
      </x:c>
      <x:c r="F9" s="39" t="str">
        <x:v>https://www.chosun.com/economy/economy_general/2025/01/23/JUAXRZRN6NBLFGZUGXBFXGPKOU</x:v>
      </x:c>
      <x:c r="G9" s="39" t="str">
        <x:v>연간 출생아 수는 2015년 0.7% 증가한 것을 마지막으로 2016년(-7.3%)부터 2023년(-7.7%)까지 8년 연속 감소했다.</x:v>
      </x:c>
      <x:c r="H9" s="38" t="str">
        <x:v>CHANGE_RATE</x:v>
      </x:c>
      <x:c r="I9" s="40" t="str">
        <x:v>-7.7</x:v>
      </x:c>
      <x:c r="J9" s="38" t="str">
        <x:v>['년', '%', '년', '%', '년', '%', '년']</x:v>
      </x:c>
      <x:c r="K9" s="38" t="str">
        <x:v>SUPPORTS</x:v>
      </x:c>
      <x:c r="L9" s="38" t="str">
        <x:v>FULL_KOSIS_MCP</x:v>
      </x:c>
      <x:c r="M9" s="38" t="str">
        <x:v>Y</x:v>
      </x:c>
      <x:c r="N9" s="38" t="str">
        <x:v>Y</x:v>
      </x:c>
      <x:c r="O9" s="38" t="str">
        <x:v>N</x:v>
      </x:c>
      <x:c r="P9" s="38" t="str">
        <x:v>101</x:v>
      </x:c>
      <x:c r="Q9" s="38" t="str">
        <x:v>INH_1B8000F_01</x:v>
      </x:c>
      <x:c r="R9" s="38" t="str">
        <x:v>출생아수 합계출산율 자연증가 등</x:v>
      </x:c>
      <x:c r="S9" s="38" t="str">
        <x:v>11</x:v>
      </x:c>
      <x:c r="T9" s="38" t="str">
        <x:v>N/A</x:v>
      </x:c>
      <x:c r="U9" s="38" t="str">
        <x:v>T1</x:v>
      </x:c>
      <x:c r="V9" s="38" t="str">
        <x:v>인구동태건수 및 동태율 추이</x:v>
      </x:c>
      <x:c r="W9" s="38" t="str">
        <x:v>출생아수(명)</x:v>
      </x:c>
      <x:c r="X9" s="38" t="str">
        <x:v>Y</x:v>
      </x:c>
      <x:c r="Y9" s="38" t="str">
        <x:v>2023</x:v>
      </x:c>
      <x:c r="Z9" s="38" t="str">
        <x:v>2022</x:v>
      </x:c>
      <x:c r="AA9" s="41" t="str">
        <x:v>230028.0</x:v>
      </x:c>
      <x:c r="AB9" s="41" t="str">
        <x:v>249186.0</x:v>
      </x:c>
      <x:c r="AC9" s="41" t="str">
        <x:v>명</x:v>
      </x:c>
      <x:c r="AD9" s="41" t="str">
        <x:v>-7.68823288627772</x:v>
      </x:c>
      <x:c r="AE9" s="39" t="str">
        <x:v>(MCP current − MCP previous) / |MCP previous| × 100</x:v>
      </x:c>
      <x:c r="AF9" s="39" t="str">
        <x:v>MCP_ACTUAL_VALUE_CONFIRMED</x:v>
      </x:c>
      <x:c r="AG9" s="39" t="str">
        <x:v>KOSIS_MCP_GET_DATA</x:v>
      </x:c>
      <x:c r="AH9" s="39" t="str">
        <x:v>https://kosis.kr/statHtml/statHtml.do?orgId=101&amp;tblId=INH_1B8000F_01&amp;vw_cd=MT_ZTITLE&amp;list_id=&amp;seqNo=&amp;lang_mode=ko&amp;language=kor&amp;obj_var_id=&amp;itm_id=&amp;conn_path=MT_ZTITLE</x:v>
      </x:c>
      <x:c r="AI9" s="38" t="str">
        <x:v>241-269</x:v>
      </x:c>
      <x:c r="AJ9" s="38" t="n">
        <x:v>46240.03102354167</x:v>
      </x:c>
    </x:row>
    <x:row r="10">
      <x:c r="A10" s="38" t="str">
        <x:v>MCPG-009</x:v>
      </x:c>
      <x:c r="B10" s="38" t="str">
        <x:v>C02892</x:v>
      </x:c>
      <x:c r="C10" s="102" t="str">
        <x:v>A0368</x:v>
      </x:c>
      <x:c r="D10" s="39" t="str">
        <x:v>내수 부진에 계엄·탄핵 ‘겹악재’...청년 고용률 43개월 만에 최저</x:v>
      </x:c>
      <x:c r="E10" s="39" t="str">
        <x:v>2025-01-29</x:v>
      </x:c>
      <x:c r="F10" s="39" t="str">
        <x:v>https://www.chosun.com/economy/economy_general/2025/01/29/K4EFBRTSPNCKPIDHOQOSPUXDTM</x:v>
      </x:c>
      <x:c r="G10" s="39" t="str">
        <x:v>청년 고용률이 45% 아래로 떨어진 건 코로나가 한창 기승하던 2021년 5월(44.4%) 이후 43개월 만이다.</x:v>
      </x:c>
      <x:c r="H10" s="38" t="str">
        <x:v>LEVEL</x:v>
      </x:c>
      <x:c r="I10" s="40" t="str">
        <x:v>44.4</x:v>
      </x:c>
      <x:c r="J10" s="38" t="str">
        <x:v>['%', '년', '월', '%', '개']</x:v>
      </x:c>
      <x:c r="K10" s="38" t="str">
        <x:v>SUPPORTS</x:v>
      </x:c>
      <x:c r="L10" s="38" t="str">
        <x:v>FULL_KOSIS_MCP</x:v>
      </x:c>
      <x:c r="M10" s="38" t="str">
        <x:v>Y</x:v>
      </x:c>
      <x:c r="N10" s="38" t="str">
        <x:v>Y</x:v>
      </x:c>
      <x:c r="O10" s="38" t="str">
        <x:v>N</x:v>
      </x:c>
      <x:c r="P10" s="38" t="str">
        <x:v>101</x:v>
      </x:c>
      <x:c r="Q10" s="38" t="str">
        <x:v>DT_1DA7002S</x:v>
      </x:c>
      <x:c r="R10" s="38" t="str">
        <x:v>연령별 경제활동인구 총괄</x:v>
      </x:c>
      <x:c r="S10" s="38" t="str">
        <x:v>75</x:v>
      </x:c>
      <x:c r="T10" s="38" t="str">
        <x:v>N/A</x:v>
      </x:c>
      <x:c r="U10" s="38" t="str">
        <x:v>T90</x:v>
      </x:c>
      <x:c r="V10" s="38" t="str">
        <x:v>고용률</x:v>
      </x:c>
      <x:c r="W10" s="38" t="str">
        <x:v>15 - 29세</x:v>
      </x:c>
      <x:c r="X10" s="38" t="str">
        <x:v>M</x:v>
      </x:c>
      <x:c r="Y10" s="38" t="str">
        <x:v>202105</x:v>
      </x:c>
      <x:c r="Z10" s="38" t="str">
        <x:v>N/A</x:v>
      </x:c>
      <x:c r="AA10" s="41" t="str">
        <x:v>44.4</x:v>
      </x:c>
      <x:c r="AB10" s="41" t="str">
        <x:v>N/A</x:v>
      </x:c>
      <x:c r="AC10" s="41" t="str">
        <x:v>%</x:v>
      </x:c>
      <x:c r="AD10" s="41" t="str">
        <x:v>44.4</x:v>
      </x:c>
      <x:c r="AE10" s="39" t="str">
        <x:v>MCP current value × source unit scale (1)</x:v>
      </x:c>
      <x:c r="AF10" s="39" t="str">
        <x:v>MCP_ACTUAL_VALUE_CONFIRMED</x:v>
      </x:c>
      <x:c r="AG10" s="39" t="str">
        <x:v>KOSIS_MCP_GET_DATA</x:v>
      </x:c>
      <x:c r="AH10" s="39" t="str">
        <x:v>https://kosis.kr/statHtml/statHtml.do?orgId=101&amp;tblId=DT_1DA7002S&amp;vw_cd=MT_ZTITLE&amp;list_id=&amp;seqNo=&amp;lang_mode=ko&amp;language=kor&amp;obj_var_id=&amp;itm_id=&amp;conn_path=MT_ZTITLE</x:v>
      </x:c>
      <x:c r="AI10" s="38" t="str">
        <x:v>241-269</x:v>
      </x:c>
      <x:c r="AJ10" s="38" t="n">
        <x:v>46240.03102354167</x:v>
      </x:c>
    </x:row>
    <x:row r="11">
      <x:c r="A11" s="38" t="str">
        <x:v>MCPG-010</x:v>
      </x:c>
      <x:c r="B11" s="38" t="str">
        <x:v>C03495</x:v>
      </x:c>
      <x:c r="C11" s="102" t="str">
        <x:v>A0440</x:v>
      </x:c>
      <x:c r="D11" s="39" t="str">
        <x:v>작년 소매판매 2.2% 줄어... 21년 만에 최대 감소폭</x:v>
      </x:c>
      <x:c r="E11" s="39" t="str">
        <x:v>2025-02-03</x:v>
      </x:c>
      <x:c r="F11" s="39" t="str">
        <x:v>https://www.chosun.com/economy/economy_general/2025/02/03/Y7UQBA7SO5AJTKSOUUK52DYR34</x:v>
      </x:c>
      <x:c r="G11" s="39" t="str">
        <x:v>소매 판매 감소는 지난 2022년(-0.3%)과 2023년(-1.5%)에 이어 3년 연속이다.</x:v>
      </x:c>
      <x:c r="H11" s="38" t="str">
        <x:v>CHANGE_RATE</x:v>
      </x:c>
      <x:c r="I11" s="40" t="str">
        <x:v>-1.5</x:v>
      </x:c>
      <x:c r="J11" s="38" t="str">
        <x:v>['년', '%', '년', '%', '년']</x:v>
      </x:c>
      <x:c r="K11" s="38" t="str">
        <x:v>SUPPORTS</x:v>
      </x:c>
      <x:c r="L11" s="38" t="str">
        <x:v>FULL_KOSIS_MCP</x:v>
      </x:c>
      <x:c r="M11" s="38" t="str">
        <x:v>Y</x:v>
      </x:c>
      <x:c r="N11" s="38" t="str">
        <x:v>Y</x:v>
      </x:c>
      <x:c r="O11" s="38" t="str">
        <x:v>N</x:v>
      </x:c>
      <x:c r="P11" s="38" t="str">
        <x:v>101</x:v>
      </x:c>
      <x:c r="Q11" s="38" t="str">
        <x:v>DT_1K41012</x:v>
      </x:c>
      <x:c r="R11" s="38" t="str">
        <x:v>재별 및 상품군별 소매판매액지수(2020＝100.0)</x:v>
      </x:c>
      <x:c r="S11" s="38" t="str">
        <x:v>G0</x:v>
      </x:c>
      <x:c r="T11" s="38" t="str">
        <x:v>N/A</x:v>
      </x:c>
      <x:c r="U11" s="38" t="str">
        <x:v>T2</x:v>
      </x:c>
      <x:c r="V11" s="38" t="str">
        <x:v>불변지수</x:v>
      </x:c>
      <x:c r="W11" s="38" t="str">
        <x:v>총지수</x:v>
      </x:c>
      <x:c r="X11" s="38" t="str">
        <x:v>Y</x:v>
      </x:c>
      <x:c r="Y11" s="38" t="str">
        <x:v>2023</x:v>
      </x:c>
      <x:c r="Z11" s="38" t="str">
        <x:v>2022</x:v>
      </x:c>
      <x:c r="AA11" s="41" t="str">
        <x:v>104.1</x:v>
      </x:c>
      <x:c r="AB11" s="41" t="str">
        <x:v>105.5</x:v>
      </x:c>
      <x:c r="AC11" s="41" t="str">
        <x:v>2020＝100</x:v>
      </x:c>
      <x:c r="AD11" s="41" t="str">
        <x:v>-1.327014218009484</x:v>
      </x:c>
      <x:c r="AE11" s="39" t="str">
        <x:v>(MCP current − MCP previous) / |MCP previous| × 100</x:v>
      </x:c>
      <x:c r="AF11" s="39" t="str">
        <x:v>MCP_ACTUAL_VALUE_CONFIRMED</x:v>
      </x:c>
      <x:c r="AG11" s="39" t="str">
        <x:v>KOSIS_MCP_GET_DATA</x:v>
      </x:c>
      <x:c r="AH11" s="39" t="str">
        <x:v>https://kosis.kr/statHtml/statHtml.do?orgId=101&amp;tblId=DT_1K41012&amp;vw_cd=MT_ZTITLE&amp;list_id=&amp;seqNo=&amp;lang_mode=ko&amp;language=kor&amp;obj_var_id=&amp;itm_id=&amp;conn_path=MT_ZTITLE</x:v>
      </x:c>
      <x:c r="AI11" s="38" t="str">
        <x:v>241-269</x:v>
      </x:c>
      <x:c r="AJ11" s="38" t="n">
        <x:v>46240.03102354167</x:v>
      </x:c>
    </x:row>
    <x:row r="12">
      <x:c r="A12" s="38" t="str">
        <x:v>MCPG-011</x:v>
      </x:c>
      <x:c r="B12" s="38" t="str">
        <x:v>C03779</x:v>
      </x:c>
      <x:c r="C12" s="102" t="str">
        <x:v>A0478</x:v>
      </x:c>
      <x:c r="D12" s="39" t="str">
        <x:v>작년 경상수지 흑자 990억달러...전년보다 3배로↑,역대 두번째 규모</x:v>
      </x:c>
      <x:c r="E12" s="39" t="str">
        <x:v>2025-02-06</x:v>
      </x:c>
      <x:c r="F12" s="39" t="str">
        <x:v>https://www.chosun.com/economy/economy_general/2025/02/06/RO32ISHXHREYLO3V4B2GJHWXEI</x:v>
      </x:c>
      <x:c r="G12" s="39" t="str">
        <x:v>작년 12월 수출은 전년보다 6.6% 늘어난 633억달러를 기록했다.</x:v>
      </x:c>
      <x:c r="H12" s="38" t="str">
        <x:v>LEVEL</x:v>
      </x:c>
      <x:c r="I12" s="40" t="str">
        <x:v>633.0</x:v>
      </x:c>
      <x:c r="J12" s="38" t="str">
        <x:v>['월', '%']</x:v>
      </x:c>
      <x:c r="K12" s="38" t="str">
        <x:v>SUPPORTS</x:v>
      </x:c>
      <x:c r="L12" s="38" t="str">
        <x:v>FULL_KOSIS_MCP</x:v>
      </x:c>
      <x:c r="M12" s="38" t="str">
        <x:v>Y</x:v>
      </x:c>
      <x:c r="N12" s="38" t="str">
        <x:v>Y</x:v>
      </x:c>
      <x:c r="O12" s="38" t="str">
        <x:v>N</x:v>
      </x:c>
      <x:c r="P12" s="38" t="str">
        <x:v>360</x:v>
      </x:c>
      <x:c r="Q12" s="38" t="str">
        <x:v>DT_1R11001_FRM101</x:v>
      </x:c>
      <x:c r="R12" s="38" t="str">
        <x:v>품목별 수출액 수입액</x:v>
      </x:c>
      <x:c r="S12" s="38" t="str">
        <x:v>13102112831A.A</x:v>
      </x:c>
      <x:c r="T12" s="38" t="str">
        <x:v>N/A</x:v>
      </x:c>
      <x:c r="U12" s="38" t="str">
        <x:v>13103112831T1</x:v>
      </x:c>
      <x:c r="V12" s="38" t="str">
        <x:v>수출액</x:v>
      </x:c>
      <x:c r="W12" s="38" t="str">
        <x:v>총액</x:v>
      </x:c>
      <x:c r="X12" s="38" t="str">
        <x:v>M</x:v>
      </x:c>
      <x:c r="Y12" s="38" t="str">
        <x:v>202412</x:v>
      </x:c>
      <x:c r="Z12" s="38" t="str">
        <x:v>N/A</x:v>
      </x:c>
      <x:c r="AA12" s="41" t="str">
        <x:v>61359250.0</x:v>
      </x:c>
      <x:c r="AB12" s="41" t="str">
        <x:v>N/A</x:v>
      </x:c>
      <x:c r="AC12" s="41" t="str">
        <x:v>천달러</x:v>
      </x:c>
      <x:c r="AD12" s="41" t="str">
        <x:v>613.5925</x:v>
      </x:c>
      <x:c r="AE12" s="39" t="str">
        <x:v>MCP current value × source unit scale (1e-05)</x:v>
      </x:c>
      <x:c r="AF12" s="39" t="str">
        <x:v>MCP_ACTUAL_VALUE_CONFIRMED</x:v>
      </x:c>
      <x:c r="AG12" s="39" t="str">
        <x:v>KOSIS_MCP_GET_DATA</x:v>
      </x:c>
      <x:c r="AH12" s="39" t="str">
        <x:v>https://kosis.kr/statHtml/statHtml.do?orgId=360&amp;tblId=DT_1R11001_FRM101&amp;vw_cd=MT_ZTITLE&amp;list_id=&amp;seqNo=&amp;lang_mode=ko&amp;language=kor&amp;obj_var_id=&amp;itm_id=&amp;conn_path=MT_ZTITLE</x:v>
      </x:c>
      <x:c r="AI12" s="38" t="str">
        <x:v>241-269</x:v>
      </x:c>
      <x:c r="AJ12" s="38" t="n">
        <x:v>46240.03102355324</x:v>
      </x:c>
    </x:row>
    <x:row r="13">
      <x:c r="A13" s="38" t="str">
        <x:v>MCPG-012</x:v>
      </x:c>
      <x:c r="B13" s="38" t="str">
        <x:v>C03850</x:v>
      </x:c>
      <x:c r="C13" s="102" t="str">
        <x:v>A0489</x:v>
      </x:c>
      <x:c r="D13" s="39" t="str">
        <x:v>경상수지 역대 둘째로 많은 흑자 낸 까닭은</x:v>
      </x:c>
      <x:c r="E13" s="39" t="str">
        <x:v>2025-02-07</x:v>
      </x:c>
      <x:c r="F13" s="39" t="str">
        <x:v>https://www.chosun.com/economy/economy_general/2025/02/07/JXWFUVYXYRFO3OXEWCPCGJUSGE</x:v>
      </x:c>
      <x:c r="G13" s="39" t="str">
        <x:v>작년 12월 수출은 633억달러로 전달보다 11.1%, 전년 같은 달보다 6.6% 뛰었다.</x:v>
      </x:c>
      <x:c r="H13" s="38" t="str">
        <x:v>LEVEL</x:v>
      </x:c>
      <x:c r="I13" s="40" t="str">
        <x:v>633.0</x:v>
      </x:c>
      <x:c r="J13" s="38" t="str">
        <x:v>['월', '%', '%']</x:v>
      </x:c>
      <x:c r="K13" s="38" t="str">
        <x:v>SUPPORTS</x:v>
      </x:c>
      <x:c r="L13" s="38" t="str">
        <x:v>FULL_KOSIS_MCP</x:v>
      </x:c>
      <x:c r="M13" s="38" t="str">
        <x:v>Y</x:v>
      </x:c>
      <x:c r="N13" s="38" t="str">
        <x:v>Y</x:v>
      </x:c>
      <x:c r="O13" s="38" t="str">
        <x:v>N</x:v>
      </x:c>
      <x:c r="P13" s="38" t="str">
        <x:v>360</x:v>
      </x:c>
      <x:c r="Q13" s="38" t="str">
        <x:v>DT_1R11001_FRM101</x:v>
      </x:c>
      <x:c r="R13" s="38" t="str">
        <x:v>품목별 수출액 수입액</x:v>
      </x:c>
      <x:c r="S13" s="38" t="str">
        <x:v>13102112831A.A</x:v>
      </x:c>
      <x:c r="T13" s="38" t="str">
        <x:v>N/A</x:v>
      </x:c>
      <x:c r="U13" s="38" t="str">
        <x:v>13103112831T1</x:v>
      </x:c>
      <x:c r="V13" s="38" t="str">
        <x:v>수출액</x:v>
      </x:c>
      <x:c r="W13" s="38" t="str">
        <x:v>총액</x:v>
      </x:c>
      <x:c r="X13" s="38" t="str">
        <x:v>M</x:v>
      </x:c>
      <x:c r="Y13" s="38" t="str">
        <x:v>202412</x:v>
      </x:c>
      <x:c r="Z13" s="38" t="str">
        <x:v>N/A</x:v>
      </x:c>
      <x:c r="AA13" s="41" t="str">
        <x:v>61359250.0</x:v>
      </x:c>
      <x:c r="AB13" s="41" t="str">
        <x:v>N/A</x:v>
      </x:c>
      <x:c r="AC13" s="41" t="str">
        <x:v>천달러</x:v>
      </x:c>
      <x:c r="AD13" s="41" t="str">
        <x:v>613.5925</x:v>
      </x:c>
      <x:c r="AE13" s="39" t="str">
        <x:v>MCP current value × source unit scale (1e-05)</x:v>
      </x:c>
      <x:c r="AF13" s="39" t="str">
        <x:v>MCP_ACTUAL_VALUE_CONFIRMED</x:v>
      </x:c>
      <x:c r="AG13" s="39" t="str">
        <x:v>KOSIS_MCP_GET_DATA</x:v>
      </x:c>
      <x:c r="AH13" s="39" t="str">
        <x:v>https://kosis.kr/statHtml/statHtml.do?orgId=360&amp;tblId=DT_1R11001_FRM101&amp;vw_cd=MT_ZTITLE&amp;list_id=&amp;seqNo=&amp;lang_mode=ko&amp;language=kor&amp;obj_var_id=&amp;itm_id=&amp;conn_path=MT_ZTITLE</x:v>
      </x:c>
      <x:c r="AI13" s="38" t="str">
        <x:v>241-269</x:v>
      </x:c>
      <x:c r="AJ13" s="38" t="n">
        <x:v>46240.03102355324</x:v>
      </x:c>
    </x:row>
    <x:row r="14">
      <x:c r="A14" s="38" t="str">
        <x:v>MCPG-013</x:v>
      </x:c>
      <x:c r="B14" s="38" t="str">
        <x:v>C04394</x:v>
      </x:c>
      <x:c r="C14" s="102" t="str">
        <x:v>A0555</x:v>
      </x:c>
      <x:c r="D14" s="39" t="str">
        <x:v>‘무역 전쟁’ 먹구름… KDI도 성장률 전망 1.6%로 낮췄다</x:v>
      </x:c>
      <x:c r="E14" s="39" t="str">
        <x:v>2025-02-12</x:v>
      </x:c>
      <x:c r="F14" s="39" t="str">
        <x:v>https://www.chosun.com/economy/economy_general/2025/02/12/ET3EQF2MVBAHFFHKLSQYVTVVTM</x:v>
      </x:c>
      <x:c r="G14" s="39" t="str">
        <x:v>지난해 수출은 전년 대비 8.2% 증가하며 역대 최대 실적을 기록했다.</x:v>
      </x:c>
      <x:c r="H14" s="38" t="str">
        <x:v>CHANGE_RATE</x:v>
      </x:c>
      <x:c r="I14" s="40" t="str">
        <x:v>8.2</x:v>
      </x:c>
      <x:c r="J14" s="38" t="str">
        <x:v>['%']</x:v>
      </x:c>
      <x:c r="K14" s="38" t="str">
        <x:v>SUPPORTS</x:v>
      </x:c>
      <x:c r="L14" s="38" t="str">
        <x:v>FULL_KOSIS_MCP</x:v>
      </x:c>
      <x:c r="M14" s="38" t="str">
        <x:v>Y</x:v>
      </x:c>
      <x:c r="N14" s="38" t="str">
        <x:v>Y</x:v>
      </x:c>
      <x:c r="O14" s="38" t="str">
        <x:v>N</x:v>
      </x:c>
      <x:c r="P14" s="38" t="str">
        <x:v>360</x:v>
      </x:c>
      <x:c r="Q14" s="38" t="str">
        <x:v>DT_1R11001_FRM101</x:v>
      </x:c>
      <x:c r="R14" s="38" t="str">
        <x:v>품목별 수출액 수입액</x:v>
      </x:c>
      <x:c r="S14" s="38" t="str">
        <x:v>13102112831A.A</x:v>
      </x:c>
      <x:c r="T14" s="38" t="str">
        <x:v>N/A</x:v>
      </x:c>
      <x:c r="U14" s="38" t="str">
        <x:v>13103112831T1</x:v>
      </x:c>
      <x:c r="V14" s="38" t="str">
        <x:v>수출액</x:v>
      </x:c>
      <x:c r="W14" s="38" t="str">
        <x:v>총액</x:v>
      </x:c>
      <x:c r="X14" s="38" t="str">
        <x:v>Y</x:v>
      </x:c>
      <x:c r="Y14" s="38" t="str">
        <x:v>2024</x:v>
      </x:c>
      <x:c r="Z14" s="38" t="str">
        <x:v>2023</x:v>
      </x:c>
      <x:c r="AA14" s="41" t="str">
        <x:v>683609488.0</x:v>
      </x:c>
      <x:c r="AB14" s="41" t="str">
        <x:v>632225824.0</x:v>
      </x:c>
      <x:c r="AC14" s="41" t="str">
        <x:v>천달러</x:v>
      </x:c>
      <x:c r="AD14" s="41" t="str">
        <x:v>8.127422520469521</x:v>
      </x:c>
      <x:c r="AE14" s="39" t="str">
        <x:v>(MCP current − MCP previous) / |MCP previous| × 100</x:v>
      </x:c>
      <x:c r="AF14" s="39" t="str">
        <x:v>MCP_ACTUAL_VALUE_CONFIRMED</x:v>
      </x:c>
      <x:c r="AG14" s="39" t="str">
        <x:v>KOSIS_MCP_GET_DATA</x:v>
      </x:c>
      <x:c r="AH14" s="39" t="str">
        <x:v>https://kosis.kr/statHtml/statHtml.do?orgId=360&amp;tblId=DT_1R11001_FRM101&amp;vw_cd=MT_ZTITLE&amp;list_id=&amp;seqNo=&amp;lang_mode=ko&amp;language=kor&amp;obj_var_id=&amp;itm_id=&amp;conn_path=MT_ZTITLE</x:v>
      </x:c>
      <x:c r="AI14" s="38" t="str">
        <x:v>241-269</x:v>
      </x:c>
      <x:c r="AJ14" s="38" t="n">
        <x:v>46240.03102355324</x:v>
      </x:c>
    </x:row>
    <x:row r="15">
      <x:c r="A15" s="38" t="str">
        <x:v>MCPG-014</x:v>
      </x:c>
      <x:c r="B15" s="38" t="str">
        <x:v>C04581</x:v>
      </x:c>
      <x:c r="C15" s="102" t="str">
        <x:v>A0579</x:v>
      </x:c>
      <x:c r="D15" s="39" t="str">
        <x:v>1월 취업자 13.5만명 늘어...노인 일자리 신속 집행에 일시 호조</x:v>
      </x:c>
      <x:c r="E15" s="39" t="str">
        <x:v>2025-02-14</x:v>
      </x:c>
      <x:c r="F15" s="39" t="str">
        <x:v>https://www.chosun.com/economy/economy_general/2025/02/14/CMQ2GGIF6NFVFOK7NS472SUCSM</x:v>
      </x:c>
      <x:c r="G15" s="39" t="str">
        <x:v>노인 일자리에 참여하려는 고령층도 다수 몰리며 65세 이상 실업률이 9.6%로 전년 동월 대비 0.2%포인트 오르기도 했다.</x:v>
      </x:c>
      <x:c r="H15" s="38" t="str">
        <x:v>CHANGE_POINT</x:v>
      </x:c>
      <x:c r="I15" s="40" t="str">
        <x:v>0.2</x:v>
      </x:c>
      <x:c r="J15" s="38" t="str">
        <x:v>['%', '%']</x:v>
      </x:c>
      <x:c r="K15" s="38" t="str">
        <x:v>SUPPORTS</x:v>
      </x:c>
      <x:c r="L15" s="38" t="str">
        <x:v>FULL_KOSIS_MCP</x:v>
      </x:c>
      <x:c r="M15" s="38" t="str">
        <x:v>Y</x:v>
      </x:c>
      <x:c r="N15" s="38" t="str">
        <x:v>Y</x:v>
      </x:c>
      <x:c r="O15" s="38" t="str">
        <x:v>N</x:v>
      </x:c>
      <x:c r="P15" s="38" t="str">
        <x:v>101</x:v>
      </x:c>
      <x:c r="Q15" s="38" t="str">
        <x:v>DT_1DA7001S</x:v>
      </x:c>
      <x:c r="R15" s="38" t="str">
        <x:v>성별 경제활동인구 총괄</x:v>
      </x:c>
      <x:c r="S15" s="38" t="str">
        <x:v>0</x:v>
      </x:c>
      <x:c r="T15" s="38" t="str">
        <x:v>N/A</x:v>
      </x:c>
      <x:c r="U15" s="38" t="str">
        <x:v>T80</x:v>
      </x:c>
      <x:c r="V15" s="38" t="str">
        <x:v>실업률</x:v>
      </x:c>
      <x:c r="W15" s="38" t="str">
        <x:v>계</x:v>
      </x:c>
      <x:c r="X15" s="38" t="str">
        <x:v>M</x:v>
      </x:c>
      <x:c r="Y15" s="38" t="str">
        <x:v>202412</x:v>
      </x:c>
      <x:c r="Z15" s="38" t="str">
        <x:v>202312</x:v>
      </x:c>
      <x:c r="AA15" s="41" t="str">
        <x:v>3.8</x:v>
      </x:c>
      <x:c r="AB15" s="41" t="str">
        <x:v>3.3</x:v>
      </x:c>
      <x:c r="AC15" s="41" t="str">
        <x:v>%</x:v>
      </x:c>
      <x:c r="AD15" s="41" t="str">
        <x:v>0.5</x:v>
      </x:c>
      <x:c r="AE15" s="39" t="str">
        <x:v>MCP current − MCP previous</x:v>
      </x:c>
      <x:c r="AF15" s="39" t="str">
        <x:v>MCP_ACTUAL_VALUE_CONFIRMED</x:v>
      </x:c>
      <x:c r="AG15" s="39" t="str">
        <x:v>KOSIS_MCP_GET_DATA</x:v>
      </x:c>
      <x:c r="AH15" s="39" t="str">
        <x:v>https://kosis.kr/statHtml/statHtml.do?orgId=101&amp;tblId=DT_1DA7001S&amp;vw_cd=MT_ZTITLE&amp;list_id=&amp;seqNo=&amp;lang_mode=ko&amp;language=kor&amp;obj_var_id=&amp;itm_id=&amp;conn_path=MT_ZTITLE</x:v>
      </x:c>
      <x:c r="AI15" s="38" t="str">
        <x:v>241-269</x:v>
      </x:c>
      <x:c r="AJ15" s="38" t="n">
        <x:v>46240.03102355324</x:v>
      </x:c>
    </x:row>
    <x:row r="16">
      <x:c r="A16" s="38" t="str">
        <x:v>MCPG-015</x:v>
      </x:c>
      <x:c r="B16" s="38" t="str">
        <x:v>C05531</x:v>
      </x:c>
      <x:c r="C16" s="102" t="str">
        <x:v>A0707</x:v>
      </x:c>
      <x:c r="D16" s="39" t="str">
        <x:v>얼어붙은 美 소비심리… “트럼프 비즈니스의 허니문 끝나”</x:v>
      </x:c>
      <x:c r="E16" s="39" t="str">
        <x:v>2025-02-24</x:v>
      </x:c>
      <x:c r="F16" s="39" t="str">
        <x:v>https://www.chosun.com/economy/economy_general/2025/02/24/5HZ3WJESMZERNJ723VOYTKGKBQ</x:v>
      </x:c>
      <x:c r="G16" s="39" t="str">
        <x:v>5년 후 기대 인플레이션도 연간 3.5%로 전월 대비 0.3%포인트 상승했다.</x:v>
      </x:c>
      <x:c r="H16" s="38" t="str">
        <x:v>CHANGE_POINT</x:v>
      </x:c>
      <x:c r="I16" s="40" t="str">
        <x:v>0.3</x:v>
      </x:c>
      <x:c r="J16" s="38" t="str">
        <x:v>['년', '%', '%']</x:v>
      </x:c>
      <x:c r="K16" s="38" t="str">
        <x:v>SUPPORTS</x:v>
      </x:c>
      <x:c r="L16" s="38" t="str">
        <x:v>FULL_KOSIS_MCP</x:v>
      </x:c>
      <x:c r="M16" s="38" t="str">
        <x:v>Y</x:v>
      </x:c>
      <x:c r="N16" s="38" t="str">
        <x:v>Y</x:v>
      </x:c>
      <x:c r="O16" s="38" t="str">
        <x:v>N</x:v>
      </x:c>
      <x:c r="P16" s="38" t="str">
        <x:v>101</x:v>
      </x:c>
      <x:c r="Q16" s="38" t="str">
        <x:v>DT_1J22042</x:v>
      </x:c>
      <x:c r="R16" s="38" t="str">
        <x:v>월별 소비자물가 등락률</x:v>
      </x:c>
      <x:c r="S16" s="38" t="str">
        <x:v>0</x:v>
      </x:c>
      <x:c r="T16" s="38" t="str">
        <x:v>N/A</x:v>
      </x:c>
      <x:c r="U16" s="38" t="str">
        <x:v>T02</x:v>
      </x:c>
      <x:c r="V16" s="38" t="str">
        <x:v>전월비</x:v>
      </x:c>
      <x:c r="W16" s="38" t="str">
        <x:v>총지수</x:v>
      </x:c>
      <x:c r="X16" s="38" t="str">
        <x:v>M</x:v>
      </x:c>
      <x:c r="Y16" s="38" t="str">
        <x:v>202501</x:v>
      </x:c>
      <x:c r="Z16" s="38" t="str">
        <x:v>202412</x:v>
      </x:c>
      <x:c r="AA16" s="41" t="str">
        <x:v>0.7</x:v>
      </x:c>
      <x:c r="AB16" s="41" t="str">
        <x:v>0.4</x:v>
      </x:c>
      <x:c r="AC16" s="41" t="str">
        <x:v>%</x:v>
      </x:c>
      <x:c r="AD16" s="41" t="str">
        <x:v>0.29999999999999993</x:v>
      </x:c>
      <x:c r="AE16" s="39" t="str">
        <x:v>MCP current − MCP previous</x:v>
      </x:c>
      <x:c r="AF16" s="39" t="str">
        <x:v>MCP_ACTUAL_VALUE_CONFIRMED</x:v>
      </x:c>
      <x:c r="AG16" s="39" t="str">
        <x:v>KOSIS_MCP_GET_DATA</x:v>
      </x:c>
      <x:c r="AH16" s="39" t="str">
        <x:v>https://kosis.kr/statHtml/statHtml.do?orgId=101&amp;tblId=DT_1J22042&amp;vw_cd=MT_ZTITLE&amp;list_id=&amp;seqNo=&amp;lang_mode=ko&amp;language=kor&amp;obj_var_id=&amp;itm_id=&amp;conn_path=MT_ZTITLE</x:v>
      </x:c>
      <x:c r="AI16" s="38" t="str">
        <x:v>241-269</x:v>
      </x:c>
      <x:c r="AJ16" s="38" t="n">
        <x:v>46240.03102355324</x:v>
      </x:c>
    </x:row>
    <x:row r="17">
      <x:c r="A17" s="38" t="str">
        <x:v>MCPG-016</x:v>
      </x:c>
      <x:c r="B17" s="38" t="str">
        <x:v>C05780</x:v>
      </x:c>
      <x:c r="C17" s="102" t="str">
        <x:v>A0736</x:v>
      </x:c>
      <x:c r="D17" s="39" t="str">
        <x:v>작년 출생아 수 9년 만에 추락 멈췄다... 전년 대비 3.6% 늘어</x:v>
      </x:c>
      <x:c r="E17" s="39" t="str">
        <x:v>2025-02-26</x:v>
      </x:c>
      <x:c r="F17" s="39" t="str">
        <x:v>https://www.chosun.com/economy/economy_general/2025/02/26/5GBKUCD4IZBE7PA33W2SH2256A</x:v>
      </x:c>
      <x:c r="G17" s="39" t="str">
        <x:v>54 지난해 출생아 수가 전년 대비 3.6% 늘어나며 9년 만에 반등한 것으로 나타났다.</x:v>
      </x:c>
      <x:c r="H17" s="38" t="str">
        <x:v>CHANGE_RATE</x:v>
      </x:c>
      <x:c r="I17" s="40" t="str">
        <x:v>3.6</x:v>
      </x:c>
      <x:c r="J17" s="38" t="str">
        <x:v>['%', '년']</x:v>
      </x:c>
      <x:c r="K17" s="38" t="str">
        <x:v>SUPPORTS</x:v>
      </x:c>
      <x:c r="L17" s="38" t="str">
        <x:v>FULL_KOSIS_MCP</x:v>
      </x:c>
      <x:c r="M17" s="38" t="str">
        <x:v>Y</x:v>
      </x:c>
      <x:c r="N17" s="38" t="str">
        <x:v>Y</x:v>
      </x:c>
      <x:c r="O17" s="38" t="str">
        <x:v>N</x:v>
      </x:c>
      <x:c r="P17" s="38" t="str">
        <x:v>101</x:v>
      </x:c>
      <x:c r="Q17" s="38" t="str">
        <x:v>INH_1B8000F_01</x:v>
      </x:c>
      <x:c r="R17" s="38" t="str">
        <x:v>출생아수 합계출산율 자연증가 등</x:v>
      </x:c>
      <x:c r="S17" s="38" t="str">
        <x:v>11</x:v>
      </x:c>
      <x:c r="T17" s="38" t="str">
        <x:v>N/A</x:v>
      </x:c>
      <x:c r="U17" s="38" t="str">
        <x:v>T1</x:v>
      </x:c>
      <x:c r="V17" s="38" t="str">
        <x:v>인구동태건수 및 동태율 추이</x:v>
      </x:c>
      <x:c r="W17" s="38" t="str">
        <x:v>출생아수(명)</x:v>
      </x:c>
      <x:c r="X17" s="38" t="str">
        <x:v>Y</x:v>
      </x:c>
      <x:c r="Y17" s="38" t="str">
        <x:v>2024</x:v>
      </x:c>
      <x:c r="Z17" s="38" t="str">
        <x:v>2023</x:v>
      </x:c>
      <x:c r="AA17" s="41" t="str">
        <x:v>238317.0</x:v>
      </x:c>
      <x:c r="AB17" s="41" t="str">
        <x:v>230028.0</x:v>
      </x:c>
      <x:c r="AC17" s="41" t="str">
        <x:v>명</x:v>
      </x:c>
      <x:c r="AD17" s="41" t="str">
        <x:v>3.6034743596431738</x:v>
      </x:c>
      <x:c r="AE17" s="39" t="str">
        <x:v>(MCP current − MCP previous) / |MCP previous| × 100</x:v>
      </x:c>
      <x:c r="AF17" s="39" t="str">
        <x:v>MCP_ACTUAL_VALUE_CONFIRMED</x:v>
      </x:c>
      <x:c r="AG17" s="39" t="str">
        <x:v>KOSIS_MCP_GET_DATA</x:v>
      </x:c>
      <x:c r="AH17" s="39" t="str">
        <x:v>https://kosis.kr/statHtml/statHtml.do?orgId=101&amp;tblId=INH_1B8000F_01&amp;vw_cd=MT_ZTITLE&amp;list_id=&amp;seqNo=&amp;lang_mode=ko&amp;language=kor&amp;obj_var_id=&amp;itm_id=&amp;conn_path=MT_ZTITLE</x:v>
      </x:c>
      <x:c r="AI17" s="38" t="str">
        <x:v>241-269</x:v>
      </x:c>
      <x:c r="AJ17" s="38" t="n">
        <x:v>46240.03102355324</x:v>
      </x:c>
    </x:row>
    <x:row r="18">
      <x:c r="A18" s="38" t="str">
        <x:v>MCPG-017</x:v>
      </x:c>
      <x:c r="B18" s="38" t="str">
        <x:v>C06679</x:v>
      </x:c>
      <x:c r="C18" s="102" t="str">
        <x:v>A0840</x:v>
      </x:c>
      <x:c r="D18" s="39" t="str">
        <x:v>물가 상승률 두 달 연속 2%대...치솟은 기름값, 물가 끌어 올려</x:v>
      </x:c>
      <x:c r="E18" s="39" t="str">
        <x:v>2025-03-06</x:v>
      </x:c>
      <x:c r="F18" s="39" t="str">
        <x:v>https://www.chosun.com/economy/economy_general/2025/03/06/IXLFBAQ5RFD7HKWH6T3LQXPQWA</x:v>
      </x:c>
      <x:c r="G18" s="39" t="str">
        <x:v>생활물가지수는 지난해 10월(1.2%)을 저점으로 꾸준히 오름세를 보이고 있는데, 소비자들이 실제 체감하는 물가 수준이 높아지고 있음을 시사한다.</x:v>
      </x:c>
      <x:c r="H18" s="38" t="str">
        <x:v>LEVEL</x:v>
      </x:c>
      <x:c r="I18" s="40" t="str">
        <x:v>1.2</x:v>
      </x:c>
      <x:c r="J18" s="38" t="str">
        <x:v>['월', '%']</x:v>
      </x:c>
      <x:c r="K18" s="38" t="str">
        <x:v>SUPPORTS</x:v>
      </x:c>
      <x:c r="L18" s="38" t="str">
        <x:v>FULL_KOSIS_MCP</x:v>
      </x:c>
      <x:c r="M18" s="38" t="str">
        <x:v>Y</x:v>
      </x:c>
      <x:c r="N18" s="38" t="str">
        <x:v>Y</x:v>
      </x:c>
      <x:c r="O18" s="38" t="str">
        <x:v>N</x:v>
      </x:c>
      <x:c r="P18" s="38" t="str">
        <x:v>101</x:v>
      </x:c>
      <x:c r="Q18" s="38" t="str">
        <x:v>DT_1J22042</x:v>
      </x:c>
      <x:c r="R18" s="38" t="str">
        <x:v>월별 소비자물가 등락률</x:v>
      </x:c>
      <x:c r="S18" s="38" t="str">
        <x:v>1</x:v>
      </x:c>
      <x:c r="T18" s="38" t="str">
        <x:v>N/A</x:v>
      </x:c>
      <x:c r="U18" s="38" t="str">
        <x:v>T03</x:v>
      </x:c>
      <x:c r="V18" s="38" t="str">
        <x:v>전년동월비(%)</x:v>
      </x:c>
      <x:c r="W18" s="38" t="str">
        <x:v>생활물가지수</x:v>
      </x:c>
      <x:c r="X18" s="38" t="str">
        <x:v>M</x:v>
      </x:c>
      <x:c r="Y18" s="38" t="str">
        <x:v>202410</x:v>
      </x:c>
      <x:c r="Z18" s="38" t="str">
        <x:v>N/A</x:v>
      </x:c>
      <x:c r="AA18" s="41" t="str">
        <x:v>1.2</x:v>
      </x:c>
      <x:c r="AB18" s="41" t="str">
        <x:v>N/A</x:v>
      </x:c>
      <x:c r="AC18" s="41" t="str">
        <x:v>%</x:v>
      </x:c>
      <x:c r="AD18" s="41" t="str">
        <x:v>1.2</x:v>
      </x:c>
      <x:c r="AE18" s="39" t="str">
        <x:v>MCP current value × source unit scale (1)</x:v>
      </x:c>
      <x:c r="AF18" s="39" t="str">
        <x:v>MCP_ACTUAL_VALUE_CONFIRMED</x:v>
      </x:c>
      <x:c r="AG18" s="39" t="str">
        <x:v>KOSIS_MCP_GET_DATA</x:v>
      </x:c>
      <x:c r="AH18" s="39" t="str">
        <x:v>https://kosis.kr/statHtml/statHtml.do?orgId=101&amp;tblId=DT_1J22042&amp;vw_cd=MT_ZTITLE&amp;list_id=&amp;seqNo=&amp;lang_mode=ko&amp;language=kor&amp;obj_var_id=&amp;itm_id=&amp;conn_path=MT_ZTITLE</x:v>
      </x:c>
      <x:c r="AI18" s="38" t="str">
        <x:v>241-269</x:v>
      </x:c>
      <x:c r="AJ18" s="38" t="n">
        <x:v>46240.03102355324</x:v>
      </x:c>
    </x:row>
    <x:row r="19">
      <x:c r="A19" s="38" t="str">
        <x:v>MCPG-018</x:v>
      </x:c>
      <x:c r="B19" s="38" t="str">
        <x:v>C08645</x:v>
      </x:c>
      <x:c r="C19" s="102" t="str">
        <x:v>A1120</x:v>
      </x:c>
      <x:c r="D19" s="39" t="str">
        <x:v>대미 수출의 27%, 車가 흔들린다… GM의 한국 공장 최대 타격</x:v>
      </x:c>
      <x:c r="E19" s="39" t="str">
        <x:v>2025-03-28</x:v>
      </x:c>
      <x:c r="F19" s="39" t="str">
        <x:v>https://www.chosun.com/economy/auto/2025/03/28/7PKR6UAHUZCMZOYVHUBNJ76PNU</x:v>
      </x:c>
      <x:c r="G19" s="39" t="str">
        <x:v>한국무역협회에 따르면, 지난해 대미 자동차 수출액은 347억달러(약 51조원)를 웃돌며 미국으로 향한 전체 수출(1278억달러)의 27.1%를 차지했다.</x:v>
      </x:c>
      <x:c r="H19" s="38" t="str">
        <x:v>LEVEL</x:v>
      </x:c>
      <x:c r="I19" s="40" t="str">
        <x:v>1278.0</x:v>
      </x:c>
      <x:c r="J19" s="38" t="str">
        <x:v>['조원', '%']</x:v>
      </x:c>
      <x:c r="K19" s="38" t="str">
        <x:v>SUPPORTS</x:v>
      </x:c>
      <x:c r="L19" s="38" t="str">
        <x:v>FULL_KOSIS_MCP</x:v>
      </x:c>
      <x:c r="M19" s="38" t="str">
        <x:v>Y</x:v>
      </x:c>
      <x:c r="N19" s="38" t="str">
        <x:v>Y</x:v>
      </x:c>
      <x:c r="O19" s="38" t="str">
        <x:v>N</x:v>
      </x:c>
      <x:c r="P19" s="38" t="str">
        <x:v>360</x:v>
      </x:c>
      <x:c r="Q19" s="38" t="str">
        <x:v>DT_1R11006_FRM101</x:v>
      </x:c>
      <x:c r="R19" s="38" t="str">
        <x:v>국가별 수출액 수입액</x:v>
      </x:c>
      <x:c r="S19" s="38" t="str">
        <x:v>13102103829E.US</x:v>
      </x:c>
      <x:c r="T19" s="38" t="str">
        <x:v>N/A</x:v>
      </x:c>
      <x:c r="U19" s="38" t="str">
        <x:v>13103103829T1</x:v>
      </x:c>
      <x:c r="V19" s="38" t="str">
        <x:v>수출액</x:v>
      </x:c>
      <x:c r="W19" s="38" t="str">
        <x:v>미국</x:v>
      </x:c>
      <x:c r="X19" s="38" t="str">
        <x:v>Y</x:v>
      </x:c>
      <x:c r="Y19" s="38" t="str">
        <x:v>2024</x:v>
      </x:c>
      <x:c r="Z19" s="38" t="str">
        <x:v>N/A</x:v>
      </x:c>
      <x:c r="AA19" s="41" t="str">
        <x:v>127761371.0</x:v>
      </x:c>
      <x:c r="AB19" s="41" t="str">
        <x:v>N/A</x:v>
      </x:c>
      <x:c r="AC19" s="41" t="str">
        <x:v>천달러</x:v>
      </x:c>
      <x:c r="AD19" s="41" t="str">
        <x:v>1277.61371</x:v>
      </x:c>
      <x:c r="AE19" s="39" t="str">
        <x:v>MCP current value × source unit scale (1e-05)</x:v>
      </x:c>
      <x:c r="AF19" s="39" t="str">
        <x:v>MCP_ACTUAL_VALUE_CONFIRMED</x:v>
      </x:c>
      <x:c r="AG19" s="39" t="str">
        <x:v>KOSIS_MCP_GET_DATA</x:v>
      </x:c>
      <x:c r="AH19" s="39" t="str">
        <x:v>https://kosis.kr/statHtml/statHtml.do?orgId=360&amp;tblId=DT_1R11006_FRM101&amp;vw_cd=MT_ZTITLE&amp;list_id=&amp;seqNo=&amp;lang_mode=ko&amp;language=kor&amp;obj_var_id=&amp;itm_id=&amp;conn_path=MT_ZTITLE</x:v>
      </x:c>
      <x:c r="AI19" s="38" t="str">
        <x:v>241-269</x:v>
      </x:c>
      <x:c r="AJ19" s="38" t="n">
        <x:v>46240.03102355324</x:v>
      </x:c>
    </x:row>
    <x:row r="20">
      <x:c r="A20" s="38" t="str">
        <x:v>MCPG-019</x:v>
      </x:c>
      <x:c r="B20" s="38" t="str">
        <x:v>C09334</x:v>
      </x:c>
      <x:c r="C20" s="102" t="str">
        <x:v>A1204</x:v>
      </x:c>
      <x:c r="D20" s="39" t="str">
        <x:v>최상목 부총리 “상반기 전기·가스·철도 요금 동결”</x:v>
      </x:c>
      <x:c r="E20" s="39" t="str">
        <x:v>2025-04-03</x:v>
      </x:c>
      <x:c r="F20" s="39" t="str">
        <x:v>https://www.chosun.com/economy/economy_general/2025/04/03/NMEO4455DJAXHP6FKCGHF7CBQM</x:v>
      </x:c>
      <x:c r="G20" s="39" t="str">
        <x:v>지난달 외식 물가 역시 전년 대비 3.0% 오르면서 2개월 연속 3% 상승을 기록했다.</x:v>
      </x:c>
      <x:c r="H20" s="38" t="str">
        <x:v>CHANGE_RATE</x:v>
      </x:c>
      <x:c r="I20" s="40" t="str">
        <x:v>3.0</x:v>
      </x:c>
      <x:c r="J20" s="38" t="str">
        <x:v>['%', '개', '%']</x:v>
      </x:c>
      <x:c r="K20" s="38" t="str">
        <x:v>SUPPORTS</x:v>
      </x:c>
      <x:c r="L20" s="38" t="str">
        <x:v>FULL_KOSIS_MCP</x:v>
      </x:c>
      <x:c r="M20" s="38" t="str">
        <x:v>Y</x:v>
      </x:c>
      <x:c r="N20" s="38" t="str">
        <x:v>Y</x:v>
      </x:c>
      <x:c r="O20" s="38" t="str">
        <x:v>N</x:v>
      </x:c>
      <x:c r="P20" s="38" t="str">
        <x:v>101</x:v>
      </x:c>
      <x:c r="Q20" s="38" t="str">
        <x:v>DT_1J22003</x:v>
      </x:c>
      <x:c r="R20" s="38" t="str">
        <x:v>소비자물가지수(2020＝100)</x:v>
      </x:c>
      <x:c r="S20" s="38" t="str">
        <x:v>T10</x:v>
      </x:c>
      <x:c r="T20" s="38" t="str">
        <x:v>N/A</x:v>
      </x:c>
      <x:c r="U20" s="38" t="str">
        <x:v>T</x:v>
      </x:c>
      <x:c r="V20" s="38" t="str">
        <x:v>소비자물가지수(총지수)</x:v>
      </x:c>
      <x:c r="W20" s="38" t="str">
        <x:v>전국</x:v>
      </x:c>
      <x:c r="X20" s="38" t="str">
        <x:v>M</x:v>
      </x:c>
      <x:c r="Y20" s="38" t="str">
        <x:v>202403</x:v>
      </x:c>
      <x:c r="Z20" s="38" t="str">
        <x:v>202303</x:v>
      </x:c>
      <x:c r="AA20" s="41" t="str">
        <x:v>113.95</x:v>
      </x:c>
      <x:c r="AB20" s="41" t="str">
        <x:v>110.52</x:v>
      </x:c>
      <x:c r="AC20" s="41" t="str">
        <x:v>2020＝100</x:v>
      </x:c>
      <x:c r="AD20" s="41" t="str">
        <x:v>3.1035106768005853</x:v>
      </x:c>
      <x:c r="AE20" s="39" t="str">
        <x:v>(MCP current − MCP previous) / |MCP previous| × 100</x:v>
      </x:c>
      <x:c r="AF20" s="39" t="str">
        <x:v>MCP_ACTUAL_VALUE_CONFIRMED</x:v>
      </x:c>
      <x:c r="AG20" s="39" t="str">
        <x:v>KOSIS_MCP_GET_DATA</x:v>
      </x:c>
      <x:c r="AH20" s="39" t="str">
        <x:v>https://kosis.kr/statHtml/statHtml.do?orgId=101&amp;tblId=DT_1J22003&amp;vw_cd=MT_ZTITLE&amp;list_id=&amp;seqNo=&amp;lang_mode=ko&amp;language=kor&amp;obj_var_id=&amp;itm_id=&amp;conn_path=MT_ZTITLE</x:v>
      </x:c>
      <x:c r="AI20" s="38" t="str">
        <x:v>241-269</x:v>
      </x:c>
      <x:c r="AJ20" s="38" t="n">
        <x:v>46240.03102355324</x:v>
      </x:c>
    </x:row>
    <x:row r="21">
      <x:c r="A21" s="38" t="str">
        <x:v>MCPG-020</x:v>
      </x:c>
      <x:c r="B21" s="38" t="str">
        <x:v>C09952</x:v>
      </x:c>
      <x:c r="C21" s="102" t="str">
        <x:v>A1285</x:v>
      </x:c>
      <x:c r="D21" s="39" t="str">
        <x:v>3월 청년 실업률 7.5%... 코로나 이후 최고</x:v>
      </x:c>
      <x:c r="E21" s="39" t="str">
        <x:v>2025-04-09</x:v>
      </x:c>
      <x:c r="F21" s="39" t="str">
        <x:v>https://www.chosun.com/economy/economy_general/2025/04/09/S5F7BYR5GJDQZFTEJM6L2KWREQ</x:v>
      </x:c>
      <x:c r="G21" s="39" t="str">
        <x:v>지난달 청년층 실업률은 전체 연령대 실업률(3.1%)의 2.4배에 달한다.</x:v>
      </x:c>
      <x:c r="H21" s="38" t="str">
        <x:v>LEVEL</x:v>
      </x:c>
      <x:c r="I21" s="40" t="str">
        <x:v>3.1</x:v>
      </x:c>
      <x:c r="J21" s="38" t="str">
        <x:v>['%', '배']</x:v>
      </x:c>
      <x:c r="K21" s="38" t="str">
        <x:v>SUPPORTS</x:v>
      </x:c>
      <x:c r="L21" s="38" t="str">
        <x:v>FULL_KOSIS_MCP</x:v>
      </x:c>
      <x:c r="M21" s="38" t="str">
        <x:v>Y</x:v>
      </x:c>
      <x:c r="N21" s="38" t="str">
        <x:v>Y</x:v>
      </x:c>
      <x:c r="O21" s="38" t="str">
        <x:v>N</x:v>
      </x:c>
      <x:c r="P21" s="38" t="str">
        <x:v>101</x:v>
      </x:c>
      <x:c r="Q21" s="38" t="str">
        <x:v>DT_1DA7001S</x:v>
      </x:c>
      <x:c r="R21" s="38" t="str">
        <x:v>성별 경제활동인구 총괄</x:v>
      </x:c>
      <x:c r="S21" s="38" t="str">
        <x:v>0</x:v>
      </x:c>
      <x:c r="T21" s="38" t="str">
        <x:v>N/A</x:v>
      </x:c>
      <x:c r="U21" s="38" t="str">
        <x:v>T80</x:v>
      </x:c>
      <x:c r="V21" s="38" t="str">
        <x:v>실업률</x:v>
      </x:c>
      <x:c r="W21" s="38" t="str">
        <x:v>계</x:v>
      </x:c>
      <x:c r="X21" s="38" t="str">
        <x:v>M</x:v>
      </x:c>
      <x:c r="Y21" s="38" t="str">
        <x:v>202503</x:v>
      </x:c>
      <x:c r="Z21" s="38" t="str">
        <x:v>N/A</x:v>
      </x:c>
      <x:c r="AA21" s="41" t="str">
        <x:v>3.1</x:v>
      </x:c>
      <x:c r="AB21" s="41" t="str">
        <x:v>N/A</x:v>
      </x:c>
      <x:c r="AC21" s="41" t="str">
        <x:v>%</x:v>
      </x:c>
      <x:c r="AD21" s="41" t="str">
        <x:v>3.1</x:v>
      </x:c>
      <x:c r="AE21" s="39" t="str">
        <x:v>MCP current value × source unit scale (1)</x:v>
      </x:c>
      <x:c r="AF21" s="39" t="str">
        <x:v>MCP_ACTUAL_VALUE_CONFIRMED</x:v>
      </x:c>
      <x:c r="AG21" s="39" t="str">
        <x:v>KOSIS_MCP_GET_DATA</x:v>
      </x:c>
      <x:c r="AH21" s="39" t="str">
        <x:v>https://kosis.kr/statHtml/statHtml.do?orgId=101&amp;tblId=DT_1DA7001S&amp;vw_cd=MT_ZTITLE&amp;list_id=&amp;seqNo=&amp;lang_mode=ko&amp;language=kor&amp;obj_var_id=&amp;itm_id=&amp;conn_path=MT_ZTITLE</x:v>
      </x:c>
      <x:c r="AI21" s="38" t="str">
        <x:v>241-269</x:v>
      </x:c>
      <x:c r="AJ21" s="38" t="n">
        <x:v>46240.031023564814</x:v>
      </x:c>
    </x:row>
    <x:row r="22">
      <x:c r="A22" s="38" t="str">
        <x:v>MCPG-021</x:v>
      </x:c>
      <x:c r="B22" s="38" t="str">
        <x:v>C10172</x:v>
      </x:c>
      <x:c r="C22" s="102" t="str">
        <x:v>A1313</x:v>
      </x:c>
      <x:c r="D22" s="39" t="str">
        <x:v>대기업 의존하던 中企… 이젠 K뷰티·첨단 장비 ‘독자 수출’</x:v>
      </x:c>
      <x:c r="E22" s="39" t="str">
        <x:v>2025-04-11</x:v>
      </x:c>
      <x:c r="F22" s="39" t="str">
        <x:v>https://www.chosun.com/economy/industry-company/2025/04/11/LZREOYA2CZCXVDFDG6FBQEH56A</x:v>
      </x:c>
      <x:c r="G22" s="39" t="str">
        <x:v>◇화장품, K중기 글로벌 진출의 ‘간판’ 작년 우리 중소기업의 화장품 수출액은 약 68억달러(약 9조9200억원)로, 국내 화장품 전체 수출(102억달러) 중 67%를 차지한다.</x:v>
      </x:c>
      <x:c r="H22" s="38" t="str">
        <x:v>LEVEL</x:v>
      </x:c>
      <x:c r="I22" s="40" t="str">
        <x:v>102.0</x:v>
      </x:c>
      <x:c r="J22" s="38" t="str">
        <x:v>['억원', '%']</x:v>
      </x:c>
      <x:c r="K22" s="38" t="str">
        <x:v>SUPPORTS</x:v>
      </x:c>
      <x:c r="L22" s="38" t="str">
        <x:v>FULL_KOSIS_MCP</x:v>
      </x:c>
      <x:c r="M22" s="38" t="str">
        <x:v>Y</x:v>
      </x:c>
      <x:c r="N22" s="38" t="str">
        <x:v>Y</x:v>
      </x:c>
      <x:c r="O22" s="38" t="str">
        <x:v>N</x:v>
      </x:c>
      <x:c r="P22" s="38" t="str">
        <x:v>360</x:v>
      </x:c>
      <x:c r="Q22" s="38" t="str">
        <x:v>DT_1R11001_FRM101</x:v>
      </x:c>
      <x:c r="R22" s="38" t="str">
        <x:v>품목별 수출액 수입액</x:v>
      </x:c>
      <x:c r="S22" s="38" t="str">
        <x:v>13102112831A.553</x:v>
      </x:c>
      <x:c r="T22" s="38" t="str">
        <x:v>N/A</x:v>
      </x:c>
      <x:c r="U22" s="38" t="str">
        <x:v>13103112831T1</x:v>
      </x:c>
      <x:c r="V22" s="38" t="str">
        <x:v>수출액</x:v>
      </x:c>
      <x:c r="W22" s="38" t="str">
        <x:v>향수 및 화장품화장용품(비누제외)</x:v>
      </x:c>
      <x:c r="X22" s="38" t="str">
        <x:v>Y</x:v>
      </x:c>
      <x:c r="Y22" s="38" t="str">
        <x:v>2024</x:v>
      </x:c>
      <x:c r="Z22" s="38" t="str">
        <x:v>N/A</x:v>
      </x:c>
      <x:c r="AA22" s="41" t="str">
        <x:v>9829853.0</x:v>
      </x:c>
      <x:c r="AB22" s="41" t="str">
        <x:v>N/A</x:v>
      </x:c>
      <x:c r="AC22" s="41" t="str">
        <x:v>천달러</x:v>
      </x:c>
      <x:c r="AD22" s="41" t="str">
        <x:v>98.29852999999999</x:v>
      </x:c>
      <x:c r="AE22" s="39" t="str">
        <x:v>MCP current value × source unit scale (1e-05)</x:v>
      </x:c>
      <x:c r="AF22" s="39" t="str">
        <x:v>MCP_ACTUAL_VALUE_CONFIRMED</x:v>
      </x:c>
      <x:c r="AG22" s="39" t="str">
        <x:v>KOSIS_MCP_GET_DATA</x:v>
      </x:c>
      <x:c r="AH22" s="39" t="str">
        <x:v>https://kosis.kr/statHtml/statHtml.do?orgId=360&amp;tblId=DT_1R11001_FRM101&amp;vw_cd=MT_ZTITLE&amp;list_id=&amp;seqNo=&amp;lang_mode=ko&amp;language=kor&amp;obj_var_id=&amp;itm_id=&amp;conn_path=MT_ZTITLE</x:v>
      </x:c>
      <x:c r="AI22" s="38" t="str">
        <x:v>241-269</x:v>
      </x:c>
      <x:c r="AJ22" s="38" t="n">
        <x:v>46240.031023564814</x:v>
      </x:c>
    </x:row>
    <x:row r="23">
      <x:c r="A23" s="38" t="str">
        <x:v>MCPG-022</x:v>
      </x:c>
      <x:c r="B23" s="38" t="str">
        <x:v>C12150</x:v>
      </x:c>
      <x:c r="C23" s="102" t="str">
        <x:v>A1584</x:v>
      </x:c>
      <x:c r="D23" s="39" t="str">
        <x:v>물가 상승률 4개월 째 2%대...근원물가 13개월 만 가장 많이 올라</x:v>
      </x:c>
      <x:c r="E23" s="39" t="str">
        <x:v>2025-05-02</x:v>
      </x:c>
      <x:c r="F23" s="39" t="str">
        <x:v>https://www.chosun.com/economy/economy_general/2025/05/02/SSY7QNJ4L5DGFGPEGDWAOOA7HE</x:v>
      </x:c>
      <x:c r="G23" s="39" t="str">
        <x:v>올해 들어 소비자물가는 지난 1월(2.2%)부터 2월(2.0%), 3월(2.1%), 그리고 4월까지 넉 달 연속으로 2%대를 유지하고 있다.</x:v>
      </x:c>
      <x:c r="H23" s="38" t="str">
        <x:v>LEVEL</x:v>
      </x:c>
      <x:c r="I23" s="40" t="str">
        <x:v>2.0</x:v>
      </x:c>
      <x:c r="J23" s="38" t="str">
        <x:v>['월', '%', '월', '%', '월', '%', '월', '%']</x:v>
      </x:c>
      <x:c r="K23" s="38" t="str">
        <x:v>SUPPORTS</x:v>
      </x:c>
      <x:c r="L23" s="38" t="str">
        <x:v>FULL_KOSIS_MCP</x:v>
      </x:c>
      <x:c r="M23" s="38" t="str">
        <x:v>Y</x:v>
      </x:c>
      <x:c r="N23" s="38" t="str">
        <x:v>Y</x:v>
      </x:c>
      <x:c r="O23" s="38" t="str">
        <x:v>N</x:v>
      </x:c>
      <x:c r="P23" s="38" t="str">
        <x:v>101</x:v>
      </x:c>
      <x:c r="Q23" s="38" t="str">
        <x:v>DT_1J22042</x:v>
      </x:c>
      <x:c r="R23" s="38" t="str">
        <x:v>월별 소비자물가 등락률</x:v>
      </x:c>
      <x:c r="S23" s="38" t="str">
        <x:v>0</x:v>
      </x:c>
      <x:c r="T23" s="38" t="str">
        <x:v>N/A</x:v>
      </x:c>
      <x:c r="U23" s="38" t="str">
        <x:v>T03</x:v>
      </x:c>
      <x:c r="V23" s="38" t="str">
        <x:v>전년동월비(%)</x:v>
      </x:c>
      <x:c r="W23" s="38" t="str">
        <x:v>총지수</x:v>
      </x:c>
      <x:c r="X23" s="38" t="str">
        <x:v>M</x:v>
      </x:c>
      <x:c r="Y23" s="38" t="str">
        <x:v>202504</x:v>
      </x:c>
      <x:c r="Z23" s="38" t="str">
        <x:v>N/A</x:v>
      </x:c>
      <x:c r="AA23" s="41" t="str">
        <x:v>2.1</x:v>
      </x:c>
      <x:c r="AB23" s="41" t="str">
        <x:v>N/A</x:v>
      </x:c>
      <x:c r="AC23" s="41" t="str">
        <x:v>%</x:v>
      </x:c>
      <x:c r="AD23" s="41" t="str">
        <x:v>2.1</x:v>
      </x:c>
      <x:c r="AE23" s="39" t="str">
        <x:v>MCP current value × source unit scale (1)</x:v>
      </x:c>
      <x:c r="AF23" s="39" t="str">
        <x:v>MCP_ACTUAL_VALUE_CONFIRMED</x:v>
      </x:c>
      <x:c r="AG23" s="39" t="str">
        <x:v>KOSIS_MCP_GET_DATA</x:v>
      </x:c>
      <x:c r="AH23" s="39" t="str">
        <x:v>https://kosis.kr/statHtml/statHtml.do?orgId=101&amp;tblId=DT_1J22042&amp;vw_cd=MT_ZTITLE&amp;list_id=&amp;seqNo=&amp;lang_mode=ko&amp;language=kor&amp;obj_var_id=&amp;itm_id=&amp;conn_path=MT_ZTITLE</x:v>
      </x:c>
      <x:c r="AI23" s="38" t="str">
        <x:v>241-269</x:v>
      </x:c>
      <x:c r="AJ23" s="38" t="n">
        <x:v>46240.031023564814</x:v>
      </x:c>
    </x:row>
    <x:row r="24">
      <x:c r="A24" s="38" t="str">
        <x:v>MCPG-023</x:v>
      </x:c>
      <x:c r="B24" s="38" t="str">
        <x:v>C15976</x:v>
      </x:c>
      <x:c r="C24" s="102" t="str">
        <x:v>A2096</x:v>
      </x:c>
      <x:c r="D24" s="39" t="str">
        <x:v>내수 부진에 숙박·음식업 취업자 3년 반 만에 최대폭 감소</x:v>
      </x:c>
      <x:c r="E24" s="39" t="str">
        <x:v>2025-06-11</x:v>
      </x:c>
      <x:c r="F24" s="39" t="str">
        <x:v>https://www.chosun.com/economy/economy_general/2025/06/11/3665622P5ZDKJBVBGNZMUIVGTQ</x:v>
      </x:c>
      <x:c r="G24" s="39" t="str">
        <x:v>인구 대비 취업자 수를 뜻하는 고용률은 지난달 63.8%로 1년 전 대비 0.3%포인트 늘었다.</x:v>
      </x:c>
      <x:c r="H24" s="38" t="str">
        <x:v>CHANGE_POINT</x:v>
      </x:c>
      <x:c r="I24" s="40" t="str">
        <x:v>0.3</x:v>
      </x:c>
      <x:c r="J24" s="38" t="str">
        <x:v>['%', '년', '%']</x:v>
      </x:c>
      <x:c r="K24" s="38" t="str">
        <x:v>SUPPORTS</x:v>
      </x:c>
      <x:c r="L24" s="38" t="str">
        <x:v>FULL_KOSIS_MCP</x:v>
      </x:c>
      <x:c r="M24" s="38" t="str">
        <x:v>Y</x:v>
      </x:c>
      <x:c r="N24" s="38" t="str">
        <x:v>Y</x:v>
      </x:c>
      <x:c r="O24" s="38" t="str">
        <x:v>N</x:v>
      </x:c>
      <x:c r="P24" s="38" t="str">
        <x:v>101</x:v>
      </x:c>
      <x:c r="Q24" s="38" t="str">
        <x:v>DT_1DA7001S</x:v>
      </x:c>
      <x:c r="R24" s="38" t="str">
        <x:v>성별 경제활동인구 총괄</x:v>
      </x:c>
      <x:c r="S24" s="38" t="str">
        <x:v>0</x:v>
      </x:c>
      <x:c r="T24" s="38" t="str">
        <x:v>N/A</x:v>
      </x:c>
      <x:c r="U24" s="38" t="str">
        <x:v>T90</x:v>
      </x:c>
      <x:c r="V24" s="38" t="str">
        <x:v>고용률</x:v>
      </x:c>
      <x:c r="W24" s="38" t="str">
        <x:v>계</x:v>
      </x:c>
      <x:c r="X24" s="38" t="str">
        <x:v>M</x:v>
      </x:c>
      <x:c r="Y24" s="38" t="str">
        <x:v>202505</x:v>
      </x:c>
      <x:c r="Z24" s="38" t="str">
        <x:v>202504</x:v>
      </x:c>
      <x:c r="AA24" s="41" t="str">
        <x:v>63.8</x:v>
      </x:c>
      <x:c r="AB24" s="41" t="str">
        <x:v>63.2</x:v>
      </x:c>
      <x:c r="AC24" s="41" t="str">
        <x:v>%</x:v>
      </x:c>
      <x:c r="AD24" s="41" t="str">
        <x:v>0.5999999999999943</x:v>
      </x:c>
      <x:c r="AE24" s="39" t="str">
        <x:v>MCP current − MCP previous</x:v>
      </x:c>
      <x:c r="AF24" s="39" t="str">
        <x:v>MCP_ACTUAL_VALUE_CONFIRMED</x:v>
      </x:c>
      <x:c r="AG24" s="39" t="str">
        <x:v>KOSIS_MCP_GET_DATA</x:v>
      </x:c>
      <x:c r="AH24" s="39" t="str">
        <x:v>https://kosis.kr/statHtml/statHtml.do?orgId=101&amp;tblId=DT_1DA7001S&amp;vw_cd=MT_ZTITLE&amp;list_id=&amp;seqNo=&amp;lang_mode=ko&amp;language=kor&amp;obj_var_id=&amp;itm_id=&amp;conn_path=MT_ZTITLE</x:v>
      </x:c>
      <x:c r="AI24" s="38" t="str">
        <x:v>241-269</x:v>
      </x:c>
      <x:c r="AJ24" s="38" t="n">
        <x:v>46240.031023564814</x:v>
      </x:c>
    </x:row>
    <x:row r="25">
      <x:c r="A25" s="38" t="str">
        <x:v>MCPG-024</x:v>
      </x:c>
      <x:c r="B25" s="38" t="str">
        <x:v>C16083</x:v>
      </x:c>
      <x:c r="C25" s="102" t="str">
        <x:v>A2111</x:v>
      </x:c>
      <x:c r="D25" s="39" t="str">
        <x:v>“환갑 넘겨도 일해야 돼요” 노인 취업자 첫 700만명</x:v>
      </x:c>
      <x:c r="E25" s="39" t="str">
        <x:v>2025-06-12</x:v>
      </x:c>
      <x:c r="F25" s="39" t="str">
        <x:v>https://www.chosun.com/economy/economy_general/2025/06/12/2VNVWIY73JHI7EB3XE4YNTYIVM</x:v>
      </x:c>
      <x:c r="G25" s="39" t="str">
        <x:v>모든 연령대를 합친 고용률은 지난달 63.8%로 1년 전보다 0.3%포인트 늘었다.</x:v>
      </x:c>
      <x:c r="H25" s="38" t="str">
        <x:v>CHANGE_POINT</x:v>
      </x:c>
      <x:c r="I25" s="40" t="str">
        <x:v>0.3</x:v>
      </x:c>
      <x:c r="J25" s="38" t="str">
        <x:v>['%', '년', '%']</x:v>
      </x:c>
      <x:c r="K25" s="38" t="str">
        <x:v>SUPPORTS</x:v>
      </x:c>
      <x:c r="L25" s="38" t="str">
        <x:v>FULL_KOSIS_MCP</x:v>
      </x:c>
      <x:c r="M25" s="38" t="str">
        <x:v>Y</x:v>
      </x:c>
      <x:c r="N25" s="38" t="str">
        <x:v>Y</x:v>
      </x:c>
      <x:c r="O25" s="38" t="str">
        <x:v>N</x:v>
      </x:c>
      <x:c r="P25" s="38" t="str">
        <x:v>101</x:v>
      </x:c>
      <x:c r="Q25" s="38" t="str">
        <x:v>DT_1DA7001S</x:v>
      </x:c>
      <x:c r="R25" s="38" t="str">
        <x:v>성별 경제활동인구 총괄</x:v>
      </x:c>
      <x:c r="S25" s="38" t="str">
        <x:v>0</x:v>
      </x:c>
      <x:c r="T25" s="38" t="str">
        <x:v>N/A</x:v>
      </x:c>
      <x:c r="U25" s="38" t="str">
        <x:v>T90</x:v>
      </x:c>
      <x:c r="V25" s="38" t="str">
        <x:v>고용률</x:v>
      </x:c>
      <x:c r="W25" s="38" t="str">
        <x:v>계</x:v>
      </x:c>
      <x:c r="X25" s="38" t="str">
        <x:v>M</x:v>
      </x:c>
      <x:c r="Y25" s="38" t="str">
        <x:v>202505</x:v>
      </x:c>
      <x:c r="Z25" s="38" t="str">
        <x:v>202504</x:v>
      </x:c>
      <x:c r="AA25" s="41" t="str">
        <x:v>63.8</x:v>
      </x:c>
      <x:c r="AB25" s="41" t="str">
        <x:v>63.2</x:v>
      </x:c>
      <x:c r="AC25" s="41" t="str">
        <x:v>%</x:v>
      </x:c>
      <x:c r="AD25" s="41" t="str">
        <x:v>0.5999999999999943</x:v>
      </x:c>
      <x:c r="AE25" s="39" t="str">
        <x:v>MCP current − MCP previous</x:v>
      </x:c>
      <x:c r="AF25" s="39" t="str">
        <x:v>MCP_ACTUAL_VALUE_CONFIRMED</x:v>
      </x:c>
      <x:c r="AG25" s="39" t="str">
        <x:v>KOSIS_MCP_GET_DATA</x:v>
      </x:c>
      <x:c r="AH25" s="39" t="str">
        <x:v>https://kosis.kr/statHtml/statHtml.do?orgId=101&amp;tblId=DT_1DA7001S&amp;vw_cd=MT_ZTITLE&amp;list_id=&amp;seqNo=&amp;lang_mode=ko&amp;language=kor&amp;obj_var_id=&amp;itm_id=&amp;conn_path=MT_ZTITLE</x:v>
      </x:c>
      <x:c r="AI25" s="38" t="str">
        <x:v>241-269</x:v>
      </x:c>
      <x:c r="AJ25" s="38" t="n">
        <x:v>46240.031023564814</x:v>
      </x:c>
    </x:row>
    <x:row r="26">
      <x:c r="A26" s="38" t="str">
        <x:v>MCPG-025</x:v>
      </x:c>
      <x:c r="B26" s="38" t="str">
        <x:v>C18103</x:v>
      </x:c>
      <x:c r="C26" s="102" t="str">
        <x:v>A2375</x:v>
      </x:c>
      <x:c r="D26" s="39" t="str">
        <x:v>가공식품 물가 4.6%↑ 새 정부 출범에도 고공행진</x:v>
      </x:c>
      <x:c r="E26" s="39" t="str">
        <x:v>2025-07-02</x:v>
      </x:c>
      <x:c r="F26" s="39" t="str">
        <x:v>https://www.chosun.com/economy/economy_general/2025/07/02/XGWZFYDANBHY5F4B2ZSPFDBPCQ</x:v>
      </x:c>
      <x:c r="G26" s="39" t="str">
        <x:v>지난달 달걀 물가 상승률은 2020년말 발생한 조류인플루엔저(AI) 방역에 따른 대규모 살처분 여파로 계란값이 15.8% 올랐던 2022년 1월 이후 3년 5개월 만에 가장 높다.</x:v>
      </x:c>
      <x:c r="H26" s="38" t="str">
        <x:v>CHANGE_RATE</x:v>
      </x:c>
      <x:c r="I26" s="40" t="str">
        <x:v>15.8</x:v>
      </x:c>
      <x:c r="J26" s="38" t="str">
        <x:v>['년', '%', '년', '월', '년', '개']</x:v>
      </x:c>
      <x:c r="K26" s="38" t="str">
        <x:v>SUPPORTS</x:v>
      </x:c>
      <x:c r="L26" s="38" t="str">
        <x:v>FULL_KOSIS_MCP</x:v>
      </x:c>
      <x:c r="M26" s="38" t="str">
        <x:v>Y</x:v>
      </x:c>
      <x:c r="N26" s="38" t="str">
        <x:v>Y</x:v>
      </x:c>
      <x:c r="O26" s="38" t="str">
        <x:v>N</x:v>
      </x:c>
      <x:c r="P26" s="38" t="str">
        <x:v>101</x:v>
      </x:c>
      <x:c r="Q26" s="38" t="str">
        <x:v>DT_1J22042</x:v>
      </x:c>
      <x:c r="R26" s="38" t="str">
        <x:v>월별 소비자물가 등락률</x:v>
      </x:c>
      <x:c r="S26" s="38" t="str">
        <x:v>0</x:v>
      </x:c>
      <x:c r="T26" s="38" t="str">
        <x:v>N/A</x:v>
      </x:c>
      <x:c r="U26" s="38" t="str">
        <x:v>T03</x:v>
      </x:c>
      <x:c r="V26" s="38" t="str">
        <x:v>전년동월비(%)</x:v>
      </x:c>
      <x:c r="W26" s="38" t="str">
        <x:v>총지수</x:v>
      </x:c>
      <x:c r="X26" s="38" t="str">
        <x:v>M</x:v>
      </x:c>
      <x:c r="Y26" s="38" t="str">
        <x:v>202501</x:v>
      </x:c>
      <x:c r="Z26" s="38" t="str">
        <x:v>202412</x:v>
      </x:c>
      <x:c r="AA26" s="41" t="str">
        <x:v>2.2</x:v>
      </x:c>
      <x:c r="AB26" s="41" t="str">
        <x:v>1.9</x:v>
      </x:c>
      <x:c r="AC26" s="41" t="str">
        <x:v>%</x:v>
      </x:c>
      <x:c r="AD26" s="41" t="str">
        <x:v>15.789473684210542</x:v>
      </x:c>
      <x:c r="AE26" s="39" t="str">
        <x:v>(MCP current − MCP previous) / |MCP previous| × 100</x:v>
      </x:c>
      <x:c r="AF26" s="39" t="str">
        <x:v>MCP_ACTUAL_VALUE_CONFIRMED</x:v>
      </x:c>
      <x:c r="AG26" s="39" t="str">
        <x:v>KOSIS_MCP_GET_DATA</x:v>
      </x:c>
      <x:c r="AH26" s="39" t="str">
        <x:v>https://kosis.kr/statHtml/statHtml.do?orgId=101&amp;tblId=DT_1J22042&amp;vw_cd=MT_ZTITLE&amp;list_id=&amp;seqNo=&amp;lang_mode=ko&amp;language=kor&amp;obj_var_id=&amp;itm_id=&amp;conn_path=MT_ZTITLE</x:v>
      </x:c>
      <x:c r="AI26" s="38" t="str">
        <x:v>241-269</x:v>
      </x:c>
      <x:c r="AJ26" s="38" t="n">
        <x:v>46240.031023564814</x:v>
      </x:c>
    </x:row>
    <x:row r="27">
      <x:c r="A27" s="38" t="str">
        <x:v>MCPG-026</x:v>
      </x:c>
      <x:c r="B27" s="38" t="str">
        <x:v>C18109</x:v>
      </x:c>
      <x:c r="C27" s="102" t="str">
        <x:v>A2375</x:v>
      </x:c>
      <x:c r="D27" s="39" t="str">
        <x:v>가공식품 물가 4.6%↑ 새 정부 출범에도 고공행진</x:v>
      </x:c>
      <x:c r="E27" s="39" t="str">
        <x:v>2025-07-02</x:v>
      </x:c>
      <x:c r="F27" s="39" t="str">
        <x:v>https://www.chosun.com/economy/economy_general/2025/07/02/XGWZFYDANBHY5F4B2ZSPFDBPCQ</x:v>
      </x:c>
      <x:c r="G27" s="39" t="str">
        <x:v>소비 빈도가 높은 식료품과 외식, 생활용품 물가를 집계한 생활물가지수 상승률은 지난달 2.5%로 전달(2.3%)보다 오름폭이 0.2%포인트 커졌다.</x:v>
      </x:c>
      <x:c r="H27" s="38" t="str">
        <x:v>CHANGE_POINT</x:v>
      </x:c>
      <x:c r="I27" s="40" t="str">
        <x:v>0.2</x:v>
      </x:c>
      <x:c r="J27" s="38" t="str">
        <x:v>['%', '%', '%']</x:v>
      </x:c>
      <x:c r="K27" s="38" t="str">
        <x:v>SUPPORTS</x:v>
      </x:c>
      <x:c r="L27" s="38" t="str">
        <x:v>FULL_KOSIS_MCP</x:v>
      </x:c>
      <x:c r="M27" s="38" t="str">
        <x:v>Y</x:v>
      </x:c>
      <x:c r="N27" s="38" t="str">
        <x:v>Y</x:v>
      </x:c>
      <x:c r="O27" s="38" t="str">
        <x:v>N</x:v>
      </x:c>
      <x:c r="P27" s="38" t="str">
        <x:v>101</x:v>
      </x:c>
      <x:c r="Q27" s="38" t="str">
        <x:v>DT_1J22042</x:v>
      </x:c>
      <x:c r="R27" s="38" t="str">
        <x:v>월별 소비자물가 등락률</x:v>
      </x:c>
      <x:c r="S27" s="38" t="str">
        <x:v>1</x:v>
      </x:c>
      <x:c r="T27" s="38" t="str">
        <x:v>N/A</x:v>
      </x:c>
      <x:c r="U27" s="38" t="str">
        <x:v>T03</x:v>
      </x:c>
      <x:c r="V27" s="38" t="str">
        <x:v>전년동월비(%)</x:v>
      </x:c>
      <x:c r="W27" s="38" t="str">
        <x:v>생활물가지수</x:v>
      </x:c>
      <x:c r="X27" s="38" t="str">
        <x:v>M</x:v>
      </x:c>
      <x:c r="Y27" s="38" t="str">
        <x:v>202506</x:v>
      </x:c>
      <x:c r="Z27" s="38" t="str">
        <x:v>202505</x:v>
      </x:c>
      <x:c r="AA27" s="41" t="str">
        <x:v>2.5</x:v>
      </x:c>
      <x:c r="AB27" s="41" t="str">
        <x:v>2.3</x:v>
      </x:c>
      <x:c r="AC27" s="41" t="str">
        <x:v>%</x:v>
      </x:c>
      <x:c r="AD27" s="41" t="str">
        <x:v>0.20000000000000018</x:v>
      </x:c>
      <x:c r="AE27" s="39" t="str">
        <x:v>MCP current − MCP previous</x:v>
      </x:c>
      <x:c r="AF27" s="39" t="str">
        <x:v>MCP_ACTUAL_VALUE_CONFIRMED</x:v>
      </x:c>
      <x:c r="AG27" s="39" t="str">
        <x:v>KOSIS_MCP_GET_DATA</x:v>
      </x:c>
      <x:c r="AH27" s="39" t="str">
        <x:v>https://kosis.kr/statHtml/statHtml.do?orgId=101&amp;tblId=DT_1J22042&amp;vw_cd=MT_ZTITLE&amp;list_id=&amp;seqNo=&amp;lang_mode=ko&amp;language=kor&amp;obj_var_id=&amp;itm_id=&amp;conn_path=MT_ZTITLE</x:v>
      </x:c>
      <x:c r="AI27" s="38" t="str">
        <x:v>241-269</x:v>
      </x:c>
      <x:c r="AJ27" s="38" t="n">
        <x:v>46240.031023564814</x:v>
      </x:c>
    </x:row>
    <x:row r="28">
      <x:c r="A28" s="38" t="str">
        <x:v>MCPG-027</x:v>
      </x:c>
      <x:c r="B28" s="38" t="str">
        <x:v>C19960</x:v>
      </x:c>
      <x:c r="C28" s="102" t="str">
        <x:v>A2638</x:v>
      </x:c>
      <x:c r="D28" s="39" t="str">
        <x:v>한국서 희망 못 찾는 20대… 취업자 2년 11개월째 감소</x:v>
      </x:c>
      <x:c r="E28" s="39" t="str">
        <x:v>2025-10-18</x:v>
      </x:c>
      <x:c r="F28" s="39" t="str">
        <x:v>https://www.chosun.com/economy/economy_general/2025/10/18/GSSQHOVG2FAW7LHONSQ4KIKFEY/</x:v>
      </x:c>
      <x:c r="G28" s="39" t="str">
        <x:v>20대 고용률은 지난해 9월(-0.2%포인트) 이후 13개월 연속 오르지 못하고 있다.</x:v>
      </x:c>
      <x:c r="H28" s="38" t="str">
        <x:v>CHANGE_POINT</x:v>
      </x:c>
      <x:c r="I28" s="40" t="str">
        <x:v>-0.2</x:v>
      </x:c>
      <x:c r="J28" s="38" t="str">
        <x:v>['월', '%', '개']</x:v>
      </x:c>
      <x:c r="K28" s="38" t="str">
        <x:v>SUPPORTS</x:v>
      </x:c>
      <x:c r="L28" s="38" t="str">
        <x:v>FULL_KOSIS_MCP</x:v>
      </x:c>
      <x:c r="M28" s="38" t="str">
        <x:v>Y</x:v>
      </x:c>
      <x:c r="N28" s="38" t="str">
        <x:v>Y</x:v>
      </x:c>
      <x:c r="O28" s="38" t="str">
        <x:v>N</x:v>
      </x:c>
      <x:c r="P28" s="38" t="str">
        <x:v>101</x:v>
      </x:c>
      <x:c r="Q28" s="38" t="str">
        <x:v>DT_1DA7001S</x:v>
      </x:c>
      <x:c r="R28" s="38" t="str">
        <x:v>성별 경제활동인구 총괄</x:v>
      </x:c>
      <x:c r="S28" s="38" t="str">
        <x:v>0</x:v>
      </x:c>
      <x:c r="T28" s="38" t="str">
        <x:v>N/A</x:v>
      </x:c>
      <x:c r="U28" s="38" t="str">
        <x:v>T90</x:v>
      </x:c>
      <x:c r="V28" s="38" t="str">
        <x:v>고용률</x:v>
      </x:c>
      <x:c r="W28" s="38" t="str">
        <x:v>계</x:v>
      </x:c>
      <x:c r="X28" s="38" t="str">
        <x:v>M</x:v>
      </x:c>
      <x:c r="Y28" s="38" t="str">
        <x:v>202409</x:v>
      </x:c>
      <x:c r="Z28" s="38" t="str">
        <x:v>202408</x:v>
      </x:c>
      <x:c r="AA28" s="41" t="str">
        <x:v>63.3</x:v>
      </x:c>
      <x:c r="AB28" s="41" t="str">
        <x:v>63.2</x:v>
      </x:c>
      <x:c r="AC28" s="41" t="str">
        <x:v>%</x:v>
      </x:c>
      <x:c r="AD28" s="41" t="str">
        <x:v>0.09999999999999432</x:v>
      </x:c>
      <x:c r="AE28" s="39" t="str">
        <x:v>MCP current − MCP previous</x:v>
      </x:c>
      <x:c r="AF28" s="39" t="str">
        <x:v>MCP_ACTUAL_VALUE_CONFIRMED</x:v>
      </x:c>
      <x:c r="AG28" s="39" t="str">
        <x:v>KOSIS_MCP_GET_DATA</x:v>
      </x:c>
      <x:c r="AH28" s="39" t="str">
        <x:v>https://kosis.kr/statHtml/statHtml.do?orgId=101&amp;tblId=DT_1DA7001S&amp;vw_cd=MT_ZTITLE&amp;list_id=&amp;seqNo=&amp;lang_mode=ko&amp;language=kor&amp;obj_var_id=&amp;itm_id=&amp;conn_path=MT_ZTITLE</x:v>
      </x:c>
      <x:c r="AI28" s="38" t="str">
        <x:v>241-269</x:v>
      </x:c>
      <x:c r="AJ28" s="38" t="n">
        <x:v>46240.031023564814</x:v>
      </x:c>
    </x:row>
    <x:row r="29">
      <x:c r="A29" s="38" t="str">
        <x:v>MCPG-028</x:v>
      </x:c>
      <x:c r="B29" s="38" t="str">
        <x:v>C20235</x:v>
      </x:c>
      <x:c r="C29" s="102" t="str">
        <x:v>A2676</x:v>
      </x:c>
      <x:c r="D29" s="39" t="str">
        <x:v>코로나 이후 다시 치솟는 청년 실업률</x:v>
      </x:c>
      <x:c r="E29" s="39" t="str">
        <x:v>2025-11-03</x:v>
      </x:c>
      <x:c r="F29" s="39" t="str">
        <x:v>https://www.chosun.com/economy/economy_general/2025/11/03/R4W2QCVPMJGWTC4A67U7WQOIUY/</x:v>
      </x:c>
      <x:c r="G29" s="39" t="str">
        <x:v>2일 국가데이터처에 따르면, 올해 3분기(7~9월) 15~29세 실업률은 5.1%로 전년 같은 기간(4.9%) 대비 0.2%포인트 상승했다.</x:v>
      </x:c>
      <x:c r="H29" s="38" t="str">
        <x:v>CHANGE_POINT</x:v>
      </x:c>
      <x:c r="I29" s="40" t="str">
        <x:v>0.2</x:v>
      </x:c>
      <x:c r="J29" s="38" t="str">
        <x:v>['일', '분', '월', '%', '%', '%']</x:v>
      </x:c>
      <x:c r="K29" s="38" t="str">
        <x:v>SUPPORTS</x:v>
      </x:c>
      <x:c r="L29" s="38" t="str">
        <x:v>FULL_KOSIS_MCP</x:v>
      </x:c>
      <x:c r="M29" s="38" t="str">
        <x:v>Y</x:v>
      </x:c>
      <x:c r="N29" s="38" t="str">
        <x:v>Y</x:v>
      </x:c>
      <x:c r="O29" s="38" t="str">
        <x:v>N</x:v>
      </x:c>
      <x:c r="P29" s="38" t="str">
        <x:v>101</x:v>
      </x:c>
      <x:c r="Q29" s="38" t="str">
        <x:v>DT_1DA7001S</x:v>
      </x:c>
      <x:c r="R29" s="38" t="str">
        <x:v>성별 경제활동인구 총괄</x:v>
      </x:c>
      <x:c r="S29" s="38" t="str">
        <x:v>0</x:v>
      </x:c>
      <x:c r="T29" s="38" t="str">
        <x:v>N/A</x:v>
      </x:c>
      <x:c r="U29" s="38" t="str">
        <x:v>T80</x:v>
      </x:c>
      <x:c r="V29" s="38" t="str">
        <x:v>실업률</x:v>
      </x:c>
      <x:c r="W29" s="38" t="str">
        <x:v>계</x:v>
      </x:c>
      <x:c r="X29" s="38" t="str">
        <x:v>M</x:v>
      </x:c>
      <x:c r="Y29" s="38" t="str">
        <x:v>202409</x:v>
      </x:c>
      <x:c r="Z29" s="38" t="str">
        <x:v>202408</x:v>
      </x:c>
      <x:c r="AA29" s="41" t="str">
        <x:v>2.1</x:v>
      </x:c>
      <x:c r="AB29" s="41" t="str">
        <x:v>1.9</x:v>
      </x:c>
      <x:c r="AC29" s="41" t="str">
        <x:v>%</x:v>
      </x:c>
      <x:c r="AD29" s="41" t="str">
        <x:v>0.20000000000000018</x:v>
      </x:c>
      <x:c r="AE29" s="39" t="str">
        <x:v>MCP current − MCP previous</x:v>
      </x:c>
      <x:c r="AF29" s="39" t="str">
        <x:v>MCP_ACTUAL_VALUE_CONFIRMED</x:v>
      </x:c>
      <x:c r="AG29" s="39" t="str">
        <x:v>KOSIS_MCP_GET_DATA</x:v>
      </x:c>
      <x:c r="AH29" s="39" t="str">
        <x:v>https://kosis.kr/statHtml/statHtml.do?orgId=101&amp;tblId=DT_1DA7001S&amp;vw_cd=MT_ZTITLE&amp;list_id=&amp;seqNo=&amp;lang_mode=ko&amp;language=kor&amp;obj_var_id=&amp;itm_id=&amp;conn_path=MT_ZTITLE</x:v>
      </x:c>
      <x:c r="AI29" s="38" t="str">
        <x:v>241-269</x:v>
      </x:c>
      <x:c r="AJ29" s="38" t="n">
        <x:v>46240.031023564814</x:v>
      </x:c>
    </x:row>
    <x:row r="30">
      <x:c r="A30" s="38" t="str">
        <x:v>MCPG-029</x:v>
      </x:c>
      <x:c r="B30" s="38" t="str">
        <x:v>C00080</x:v>
      </x:c>
      <x:c r="C30" s="102" t="str">
        <x:v>A0006</x:v>
      </x:c>
      <x:c r="D30" s="39" t="str">
        <x:v>2024년 수출, 6838억달러로 ‘역대 최대’ 경신</x:v>
      </x:c>
      <x:c r="E30" s="39" t="str">
        <x:v>2025-01-01</x:v>
      </x:c>
      <x:c r="F30" s="39" t="str">
        <x:v>https://www.chosun.com/economy/industry-company/2025/01/01/2UPTGREAPRAWRG4XUBRMLONSKY</x:v>
      </x:c>
      <x:c r="G30" s="39" t="str">
        <x:v>이에 따라 2024년 1~9월 기준(WTO)으로 전 세계 수출순위도 2023년 8위에서 두 단계 상승한 6위를 달성했으며, 상위 10대 수출국 중 가장 높은 수출증가율(+9.6%)을 기록했다.</x:v>
      </x:c>
      <x:c r="H30" s="38" t="str">
        <x:v>CHANGE_RATE</x:v>
      </x:c>
      <x:c r="I30" s="40" t="str">
        <x:v>9.6</x:v>
      </x:c>
      <x:c r="J30" s="38" t="str">
        <x:v>['년', '월', '년', '%']</x:v>
      </x:c>
      <x:c r="K30" s="38" t="str">
        <x:v>REFUTES</x:v>
      </x:c>
      <x:c r="L30" s="38" t="str">
        <x:v>FULL_KOSIS_MCP</x:v>
      </x:c>
      <x:c r="M30" s="38" t="str">
        <x:v>Y</x:v>
      </x:c>
      <x:c r="N30" s="38" t="str">
        <x:v>Y</x:v>
      </x:c>
      <x:c r="O30" s="38" t="str">
        <x:v>N</x:v>
      </x:c>
      <x:c r="P30" s="38" t="str">
        <x:v>360</x:v>
      </x:c>
      <x:c r="Q30" s="38" t="str">
        <x:v>DT_1R11001_FRM101</x:v>
      </x:c>
      <x:c r="R30" s="38" t="str">
        <x:v>품목별 수출액 수입액</x:v>
      </x:c>
      <x:c r="S30" s="38" t="str">
        <x:v>13102112831A.A</x:v>
      </x:c>
      <x:c r="T30" s="38" t="str">
        <x:v>N/A</x:v>
      </x:c>
      <x:c r="U30" s="38" t="str">
        <x:v>13103112831T1</x:v>
      </x:c>
      <x:c r="V30" s="38" t="str">
        <x:v>수출액</x:v>
      </x:c>
      <x:c r="W30" s="38" t="str">
        <x:v>총액</x:v>
      </x:c>
      <x:c r="X30" s="38" t="str">
        <x:v>M</x:v>
      </x:c>
      <x:c r="Y30" s="38" t="str">
        <x:v>202409</x:v>
      </x:c>
      <x:c r="Z30" s="38" t="str">
        <x:v>202408</x:v>
      </x:c>
      <x:c r="AA30" s="41" t="str">
        <x:v>58544693.0</x:v>
      </x:c>
      <x:c r="AB30" s="41" t="str">
        <x:v>57642924.0</x:v>
      </x:c>
      <x:c r="AC30" s="41" t="str">
        <x:v>천달러</x:v>
      </x:c>
      <x:c r="AD30" s="41" t="str">
        <x:v>1.5644053726351563</x:v>
      </x:c>
      <x:c r="AE30" s="39" t="str">
        <x:v>(MCP current − MCP previous) / |MCP previous| × 100</x:v>
      </x:c>
      <x:c r="AF30" s="39" t="str">
        <x:v>MCP_ACTUAL_VALUE_CONFIRMED</x:v>
      </x:c>
      <x:c r="AG30" s="39" t="str">
        <x:v>KOSIS_MCP_GET_DATA</x:v>
      </x:c>
      <x:c r="AH30" s="39" t="str">
        <x:v>https://kosis.kr/statHtml/statHtml.do?orgId=360&amp;tblId=DT_1R11001_FRM101&amp;vw_cd=MT_ZTITLE&amp;list_id=&amp;seqNo=&amp;lang_mode=ko&amp;language=kor&amp;obj_var_id=&amp;itm_id=&amp;conn_path=MT_ZTITLE</x:v>
      </x:c>
      <x:c r="AI30" s="38" t="str">
        <x:v>1-20</x:v>
      </x:c>
      <x:c r="AJ30" s="38" t="n">
        <x:v>46239.350546064816</x:v>
      </x:c>
    </x:row>
    <x:row r="31">
      <x:c r="A31" s="38" t="str">
        <x:v>MCPG-030</x:v>
      </x:c>
      <x:c r="B31" s="38" t="str">
        <x:v>C00081</x:v>
      </x:c>
      <x:c r="C31" s="102" t="str">
        <x:v>A0006</x:v>
      </x:c>
      <x:c r="D31" s="39" t="str">
        <x:v>2024년 수출, 6838억달러로 ‘역대 최대’ 경신</x:v>
      </x:c>
      <x:c r="E31" s="39" t="str">
        <x:v>2025-01-01</x:v>
      </x:c>
      <x:c r="F31" s="39" t="str">
        <x:v>https://www.chosun.com/economy/industry-company/2025/01/01/2UPTGREAPRAWRG4XUBRMLONSKY</x:v>
      </x:c>
      <x:c r="G31" s="39" t="str">
        <x:v>2022년 당시 수출액은 역대 최대를 기록하면서도 472억달러 적자를 냈던 것과 다른 결과다.</x:v>
      </x:c>
      <x:c r="H31" s="38" t="str">
        <x:v>LEVEL</x:v>
      </x:c>
      <x:c r="I31" s="40" t="str">
        <x:v>472.0</x:v>
      </x:c>
      <x:c r="J31" s="38" t="str">
        <x:v>['년']</x:v>
      </x:c>
      <x:c r="K31" s="38" t="str">
        <x:v>REFUTES</x:v>
      </x:c>
      <x:c r="L31" s="38" t="str">
        <x:v>FULL_KOSIS_MCP</x:v>
      </x:c>
      <x:c r="M31" s="38" t="str">
        <x:v>Y</x:v>
      </x:c>
      <x:c r="N31" s="38" t="str">
        <x:v>Y</x:v>
      </x:c>
      <x:c r="O31" s="38" t="str">
        <x:v>N</x:v>
      </x:c>
      <x:c r="P31" s="38" t="str">
        <x:v>360</x:v>
      </x:c>
      <x:c r="Q31" s="38" t="str">
        <x:v>DT_1R11001_FRM101</x:v>
      </x:c>
      <x:c r="R31" s="38" t="str">
        <x:v>품목별 수출액 수입액</x:v>
      </x:c>
      <x:c r="S31" s="38" t="str">
        <x:v>13102112831A.A</x:v>
      </x:c>
      <x:c r="T31" s="38" t="str">
        <x:v>N/A</x:v>
      </x:c>
      <x:c r="U31" s="38" t="str">
        <x:v>13103112831T1</x:v>
      </x:c>
      <x:c r="V31" s="38" t="str">
        <x:v>수출액</x:v>
      </x:c>
      <x:c r="W31" s="38" t="str">
        <x:v>총액</x:v>
      </x:c>
      <x:c r="X31" s="38" t="str">
        <x:v>Y</x:v>
      </x:c>
      <x:c r="Y31" s="38" t="str">
        <x:v>2022</x:v>
      </x:c>
      <x:c r="Z31" s="38" t="str">
        <x:v>N/A</x:v>
      </x:c>
      <x:c r="AA31" s="41" t="str">
        <x:v>683584760.0</x:v>
      </x:c>
      <x:c r="AB31" s="41" t="str">
        <x:v>N/A</x:v>
      </x:c>
      <x:c r="AC31" s="41" t="str">
        <x:v>천달러</x:v>
      </x:c>
      <x:c r="AD31" s="41" t="str">
        <x:v>6835.847600000001</x:v>
      </x:c>
      <x:c r="AE31" s="39" t="str">
        <x:v>MCP current value × source unit scale (1e-05)</x:v>
      </x:c>
      <x:c r="AF31" s="39" t="str">
        <x:v>MCP_ACTUAL_VALUE_CONFIRMED</x:v>
      </x:c>
      <x:c r="AG31" s="39" t="str">
        <x:v>KOSIS_MCP_GET_DATA</x:v>
      </x:c>
      <x:c r="AH31" s="39" t="str">
        <x:v>https://kosis.kr/statHtml/statHtml.do?orgId=360&amp;tblId=DT_1R11001_FRM101&amp;vw_cd=MT_ZTITLE&amp;list_id=&amp;seqNo=&amp;lang_mode=ko&amp;language=kor&amp;obj_var_id=&amp;itm_id=&amp;conn_path=MT_ZTITLE</x:v>
      </x:c>
      <x:c r="AI31" s="38" t="str">
        <x:v>1-20</x:v>
      </x:c>
      <x:c r="AJ31" s="38" t="n">
        <x:v>46239.35054607639</x:v>
      </x:c>
    </x:row>
    <x:row r="32">
      <x:c r="A32" s="38" t="str">
        <x:v>MCPG-031</x:v>
      </x:c>
      <x:c r="B32" s="38" t="str">
        <x:v>C00082</x:v>
      </x:c>
      <x:c r="C32" s="102" t="str">
        <x:v>A0006</x:v>
      </x:c>
      <x:c r="D32" s="39" t="str">
        <x:v>2024년 수출, 6838억달러로 ‘역대 최대’ 경신</x:v>
      </x:c>
      <x:c r="E32" s="39" t="str">
        <x:v>2025-01-01</x:v>
      </x:c>
      <x:c r="F32" s="39" t="str">
        <x:v>https://www.chosun.com/economy/industry-company/2025/01/01/2UPTGREAPRAWRG4XUBRMLONSKY</x:v>
      </x:c>
      <x:c r="G32" s="39" t="str">
        <x:v>2024년에는 에너지 수입이 감소하면서 전체 수입이 전년 대비 1.6% 감소한 덕에 무역수지가 개선됐다.</x:v>
      </x:c>
      <x:c r="H32" s="38" t="str">
        <x:v>CHANGE_RATE</x:v>
      </x:c>
      <x:c r="I32" s="40" t="str">
        <x:v>1.6</x:v>
      </x:c>
      <x:c r="J32" s="38" t="str">
        <x:v>['년', '%']</x:v>
      </x:c>
      <x:c r="K32" s="38" t="str">
        <x:v>REFUTES</x:v>
      </x:c>
      <x:c r="L32" s="38" t="str">
        <x:v>FULL_KOSIS_MCP</x:v>
      </x:c>
      <x:c r="M32" s="38" t="str">
        <x:v>Y</x:v>
      </x:c>
      <x:c r="N32" s="38" t="str">
        <x:v>Y</x:v>
      </x:c>
      <x:c r="O32" s="38" t="str">
        <x:v>N</x:v>
      </x:c>
      <x:c r="P32" s="38" t="str">
        <x:v>360</x:v>
      </x:c>
      <x:c r="Q32" s="38" t="str">
        <x:v>DT_1R11001_FRM101</x:v>
      </x:c>
      <x:c r="R32" s="38" t="str">
        <x:v>품목별 수출액 수입액</x:v>
      </x:c>
      <x:c r="S32" s="38" t="str">
        <x:v>13102112831A.A</x:v>
      </x:c>
      <x:c r="T32" s="38" t="str">
        <x:v>N/A</x:v>
      </x:c>
      <x:c r="U32" s="38" t="str">
        <x:v>13103112831T1</x:v>
      </x:c>
      <x:c r="V32" s="38" t="str">
        <x:v>수출액</x:v>
      </x:c>
      <x:c r="W32" s="38" t="str">
        <x:v>총액</x:v>
      </x:c>
      <x:c r="X32" s="38" t="str">
        <x:v>Y</x:v>
      </x:c>
      <x:c r="Y32" s="38" t="str">
        <x:v>2024</x:v>
      </x:c>
      <x:c r="Z32" s="38" t="str">
        <x:v>2023</x:v>
      </x:c>
      <x:c r="AA32" s="41" t="str">
        <x:v>683609488.0</x:v>
      </x:c>
      <x:c r="AB32" s="41" t="str">
        <x:v>632225824.0</x:v>
      </x:c>
      <x:c r="AC32" s="41" t="str">
        <x:v>천달러</x:v>
      </x:c>
      <x:c r="AD32" s="41" t="str">
        <x:v>8.127422520469521</x:v>
      </x:c>
      <x:c r="AE32" s="39" t="str">
        <x:v>(MCP current − MCP previous) / |MCP previous| × 100</x:v>
      </x:c>
      <x:c r="AF32" s="39" t="str">
        <x:v>MCP_ACTUAL_VALUE_CONFIRMED</x:v>
      </x:c>
      <x:c r="AG32" s="39" t="str">
        <x:v>KOSIS_MCP_GET_DATA</x:v>
      </x:c>
      <x:c r="AH32" s="39" t="str">
        <x:v>https://kosis.kr/statHtml/statHtml.do?orgId=360&amp;tblId=DT_1R11001_FRM101&amp;vw_cd=MT_ZTITLE&amp;list_id=&amp;seqNo=&amp;lang_mode=ko&amp;language=kor&amp;obj_var_id=&amp;itm_id=&amp;conn_path=MT_ZTITLE</x:v>
      </x:c>
      <x:c r="AI32" s="38" t="str">
        <x:v>1-20</x:v>
      </x:c>
      <x:c r="AJ32" s="38" t="n">
        <x:v>46239.35054608796</x:v>
      </x:c>
    </x:row>
    <x:row r="33">
      <x:c r="A33" s="38" t="str">
        <x:v>MCPG-032</x:v>
      </x:c>
      <x:c r="B33" s="38" t="str">
        <x:v>C00084</x:v>
      </x:c>
      <x:c r="C33" s="102" t="str">
        <x:v>A0006</x:v>
      </x:c>
      <x:c r="D33" s="39" t="str">
        <x:v>2024년 수출, 6838억달러로 ‘역대 최대’ 경신</x:v>
      </x:c>
      <x:c r="E33" s="39" t="str">
        <x:v>2025-01-01</x:v>
      </x:c>
      <x:c r="F33" s="39" t="str">
        <x:v>https://www.chosun.com/economy/industry-company/2025/01/01/2UPTGREAPRAWRG4XUBRMLONSKY</x:v>
      </x:c>
      <x:c r="G33" s="39" t="str">
        <x:v>◇반도체, 자동차가 이끌고 바이오, 농수산, 화장품 등도 고르게 증가 품목별로는 최대 수출품목인 반도체가 43.9% 증가한 1419억 달러를 기록, 2023년 11월 이후 14개월 연속 증가 흐름을 이어가면서 기존 최대 실적인 2022년 1292억 달러를 2년 만에 경신했다.</x:v>
      </x:c>
      <x:c r="H33" s="38" t="str">
        <x:v>CHANGE_RATE</x:v>
      </x:c>
      <x:c r="I33" s="40" t="str">
        <x:v>43.9</x:v>
      </x:c>
      <x:c r="J33" s="38" t="str">
        <x:v>['%', '년', '월', '개', '년', '년']</x:v>
      </x:c>
      <x:c r="K33" s="38" t="str">
        <x:v>REFUTES</x:v>
      </x:c>
      <x:c r="L33" s="38" t="str">
        <x:v>FULL_KOSIS_MCP</x:v>
      </x:c>
      <x:c r="M33" s="38" t="str">
        <x:v>Y</x:v>
      </x:c>
      <x:c r="N33" s="38" t="str">
        <x:v>Y</x:v>
      </x:c>
      <x:c r="O33" s="38" t="str">
        <x:v>N</x:v>
      </x:c>
      <x:c r="P33" s="38" t="str">
        <x:v>360</x:v>
      </x:c>
      <x:c r="Q33" s="38" t="str">
        <x:v>DT_1R11001_FRM101</x:v>
      </x:c>
      <x:c r="R33" s="38" t="str">
        <x:v>품목별 수출액 수입액</x:v>
      </x:c>
      <x:c r="S33" s="38" t="str">
        <x:v>13102112831A.7763</x:v>
      </x:c>
      <x:c r="T33" s="38" t="str">
        <x:v>N/A</x:v>
      </x:c>
      <x:c r="U33" s="38" t="str">
        <x:v>13103112831T1</x:v>
      </x:c>
      <x:c r="V33" s="38" t="str">
        <x:v>수출액</x:v>
      </x:c>
      <x:c r="W33" s="38" t="str">
        <x:v>다이오드트랜지스터 기타 이와 유사한 반도체 디바이스</x:v>
      </x:c>
      <x:c r="X33" s="38" t="str">
        <x:v>M</x:v>
      </x:c>
      <x:c r="Y33" s="38" t="str">
        <x:v>202311</x:v>
      </x:c>
      <x:c r="Z33" s="38" t="str">
        <x:v>202310</x:v>
      </x:c>
      <x:c r="AA33" s="41" t="str">
        <x:v>302385.0</x:v>
      </x:c>
      <x:c r="AB33" s="41" t="str">
        <x:v>273279.0</x:v>
      </x:c>
      <x:c r="AC33" s="41" t="str">
        <x:v>천달러</x:v>
      </x:c>
      <x:c r="AD33" s="41" t="str">
        <x:v>10.65065372750925</x:v>
      </x:c>
      <x:c r="AE33" s="39" t="str">
        <x:v>(MCP current − MCP previous) / |MCP previous| × 100</x:v>
      </x:c>
      <x:c r="AF33" s="39" t="str">
        <x:v>MCP_ACTUAL_VALUE_CONFIRMED</x:v>
      </x:c>
      <x:c r="AG33" s="39" t="str">
        <x:v>KOSIS_MCP_GET_DATA</x:v>
      </x:c>
      <x:c r="AH33" s="39" t="str">
        <x:v>https://kosis.kr/statHtml/statHtml.do?orgId=360&amp;tblId=DT_1R11001_FRM101&amp;vw_cd=MT_ZTITLE&amp;list_id=&amp;seqNo=&amp;lang_mode=ko&amp;language=kor&amp;obj_var_id=&amp;itm_id=&amp;conn_path=MT_ZTITLE</x:v>
      </x:c>
      <x:c r="AI33" s="38" t="str">
        <x:v>1-20</x:v>
      </x:c>
      <x:c r="AJ33" s="38" t="n">
        <x:v>46239.35054608796</x:v>
      </x:c>
    </x:row>
    <x:row r="34">
      <x:c r="A34" s="38" t="str">
        <x:v>MCPG-033</x:v>
      </x:c>
      <x:c r="B34" s="38" t="str">
        <x:v>C00087</x:v>
      </x:c>
      <x:c r="C34" s="102" t="str">
        <x:v>A0006</x:v>
      </x:c>
      <x:c r="D34" s="39" t="str">
        <x:v>2024년 수출, 6838억달러로 ‘역대 최대’ 경신</x:v>
      </x:c>
      <x:c r="E34" s="39" t="str">
        <x:v>2025-01-01</x:v>
      </x:c>
      <x:c r="F34" s="39" t="str">
        <x:v>https://www.chosun.com/economy/industry-company/2025/01/01/2UPTGREAPRAWRG4XUBRMLONSKY</x:v>
      </x:c>
      <x:c r="G34" s="39" t="str">
        <x:v>선박 수출은 2021년 높은 선가로 수주한 LNG 운반선, 대형 컨테이너선 등 고부가 선박이 본격 수출되면서 두 자릿수(18%) 증가한 256억 달러를 기록했다.</x:v>
      </x:c>
      <x:c r="H34" s="38" t="str">
        <x:v>CHANGE_RATE</x:v>
      </x:c>
      <x:c r="I34" s="40" t="str">
        <x:v>18.0</x:v>
      </x:c>
      <x:c r="J34" s="38" t="str">
        <x:v>['년', '%']</x:v>
      </x:c>
      <x:c r="K34" s="38" t="str">
        <x:v>REFUTES</x:v>
      </x:c>
      <x:c r="L34" s="38" t="str">
        <x:v>FULL_KOSIS_MCP</x:v>
      </x:c>
      <x:c r="M34" s="38" t="str">
        <x:v>Y</x:v>
      </x:c>
      <x:c r="N34" s="38" t="str">
        <x:v>Y</x:v>
      </x:c>
      <x:c r="O34" s="38" t="str">
        <x:v>N</x:v>
      </x:c>
      <x:c r="P34" s="38" t="str">
        <x:v>360</x:v>
      </x:c>
      <x:c r="Q34" s="38" t="str">
        <x:v>DT_1R11001_FRM101</x:v>
      </x:c>
      <x:c r="R34" s="38" t="str">
        <x:v>품목별 수출액 수입액</x:v>
      </x:c>
      <x:c r="S34" s="38" t="str">
        <x:v>13102112831A.793</x:v>
      </x:c>
      <x:c r="T34" s="38" t="str">
        <x:v>N/A</x:v>
      </x:c>
      <x:c r="U34" s="38" t="str">
        <x:v>13103112831T1</x:v>
      </x:c>
      <x:c r="V34" s="38" t="str">
        <x:v>수출액</x:v>
      </x:c>
      <x:c r="W34" s="38" t="str">
        <x:v>선박보트 및 부유구조물</x:v>
      </x:c>
      <x:c r="X34" s="38" t="str">
        <x:v>Y</x:v>
      </x:c>
      <x:c r="Y34" s="38" t="str">
        <x:v>2021</x:v>
      </x:c>
      <x:c r="Z34" s="38" t="str">
        <x:v>2020</x:v>
      </x:c>
      <x:c r="AA34" s="41" t="str">
        <x:v>22015656.0</x:v>
      </x:c>
      <x:c r="AB34" s="41" t="str">
        <x:v>18725909.0</x:v>
      </x:c>
      <x:c r="AC34" s="41" t="str">
        <x:v>천달러</x:v>
      </x:c>
      <x:c r="AD34" s="41" t="str">
        <x:v>17.567889494710244</x:v>
      </x:c>
      <x:c r="AE34" s="39" t="str">
        <x:v>(MCP current − MCP previous) / |MCP previous| × 100</x:v>
      </x:c>
      <x:c r="AF34" s="39" t="str">
        <x:v>MCP_ACTUAL_VALUE_CONFIRMED</x:v>
      </x:c>
      <x:c r="AG34" s="39" t="str">
        <x:v>KOSIS_MCP_GET_DATA</x:v>
      </x:c>
      <x:c r="AH34" s="39" t="str">
        <x:v>https://kosis.kr/statHtml/statHtml.do?orgId=360&amp;tblId=DT_1R11001_FRM101&amp;vw_cd=MT_ZTITLE&amp;list_id=&amp;seqNo=&amp;lang_mode=ko&amp;language=kor&amp;obj_var_id=&amp;itm_id=&amp;conn_path=MT_ZTITLE</x:v>
      </x:c>
      <x:c r="AI34" s="38" t="str">
        <x:v>1-20</x:v>
      </x:c>
      <x:c r="AJ34" s="38" t="n">
        <x:v>46239.35054608796</x:v>
      </x:c>
    </x:row>
    <x:row r="35">
      <x:c r="A35" s="38" t="str">
        <x:v>MCPG-034</x:v>
      </x:c>
      <x:c r="B35" s="38" t="str">
        <x:v>C00089</x:v>
      </x:c>
      <x:c r="C35" s="102" t="str">
        <x:v>A0006</x:v>
      </x:c>
      <x:c r="D35" s="39" t="str">
        <x:v>2024년 수출, 6838억달러로 ‘역대 최대’ 경신</x:v>
      </x:c>
      <x:c r="E35" s="39" t="str">
        <x:v>2025-01-01</x:v>
      </x:c>
      <x:c r="F35" s="39" t="str">
        <x:v>https://www.chosun.com/economy/industry-company/2025/01/01/2UPTGREAPRAWRG4XUBRMLONSKY</x:v>
      </x:c>
      <x:c r="G35" s="39" t="str">
        <x:v>바이오헬스 수출은 바이오시밀러 등 의약품을 중심으로 전년 대비 13.1% 증가한 151억 달러를 기록했으며, 전 세계적으로 K푸드, K뷰티 선호가 확대되면서 농수산식품 수출은 117억 달러(7.6%), 화장품 수출(102억 달러, +20.6%)은 처음으로 100억 달러를 돌파하면서 역대 최대 수출실적을 경신했다.</x:v>
      </x:c>
      <x:c r="H35" s="38" t="str">
        <x:v>CHANGE_RATE</x:v>
      </x:c>
      <x:c r="I35" s="40" t="str">
        <x:v>20.6</x:v>
      </x:c>
      <x:c r="J35" s="38" t="str">
        <x:v>['%', '%', '%']</x:v>
      </x:c>
      <x:c r="K35" s="38" t="str">
        <x:v>REFUTES</x:v>
      </x:c>
      <x:c r="L35" s="38" t="str">
        <x:v>FULL_KOSIS_MCP</x:v>
      </x:c>
      <x:c r="M35" s="38" t="str">
        <x:v>Y</x:v>
      </x:c>
      <x:c r="N35" s="38" t="str">
        <x:v>Y</x:v>
      </x:c>
      <x:c r="O35" s="38" t="str">
        <x:v>N</x:v>
      </x:c>
      <x:c r="P35" s="38" t="str">
        <x:v>360</x:v>
      </x:c>
      <x:c r="Q35" s="38" t="str">
        <x:v>DT_1R11001_FRM101</x:v>
      </x:c>
      <x:c r="R35" s="38" t="str">
        <x:v>품목별 수출액 수입액</x:v>
      </x:c>
      <x:c r="S35" s="38" t="str">
        <x:v>13102112831A.553</x:v>
      </x:c>
      <x:c r="T35" s="38" t="str">
        <x:v>N/A</x:v>
      </x:c>
      <x:c r="U35" s="38" t="str">
        <x:v>13103112831T1</x:v>
      </x:c>
      <x:c r="V35" s="38" t="str">
        <x:v>수출액</x:v>
      </x:c>
      <x:c r="W35" s="38" t="str">
        <x:v>향수 및 화장품화장용품(비누제외)</x:v>
      </x:c>
      <x:c r="X35" s="38" t="str">
        <x:v>Y</x:v>
      </x:c>
      <x:c r="Y35" s="38" t="str">
        <x:v>2024</x:v>
      </x:c>
      <x:c r="Z35" s="38" t="str">
        <x:v>2023</x:v>
      </x:c>
      <x:c r="AA35" s="41" t="str">
        <x:v>9829853.0</x:v>
      </x:c>
      <x:c r="AB35" s="41" t="str">
        <x:v>8220877.0</x:v>
      </x:c>
      <x:c r="AC35" s="41" t="str">
        <x:v>천달러</x:v>
      </x:c>
      <x:c r="AD35" s="41" t="str">
        <x:v>19.571829136964343</x:v>
      </x:c>
      <x:c r="AE35" s="39" t="str">
        <x:v>(MCP current − MCP previous) / |MCP previous| × 100</x:v>
      </x:c>
      <x:c r="AF35" s="39" t="str">
        <x:v>MCP_ACTUAL_VALUE_CONFIRMED</x:v>
      </x:c>
      <x:c r="AG35" s="39" t="str">
        <x:v>KOSIS_MCP_GET_DATA</x:v>
      </x:c>
      <x:c r="AH35" s="39" t="str">
        <x:v>https://kosis.kr/statHtml/statHtml.do?orgId=360&amp;tblId=DT_1R11001_FRM101&amp;vw_cd=MT_ZTITLE&amp;list_id=&amp;seqNo=&amp;lang_mode=ko&amp;language=kor&amp;obj_var_id=&amp;itm_id=&amp;conn_path=MT_ZTITLE</x:v>
      </x:c>
      <x:c r="AI35" s="38" t="str">
        <x:v>1-20</x:v>
      </x:c>
      <x:c r="AJ35" s="38" t="n">
        <x:v>46239.35054611111</x:v>
      </x:c>
    </x:row>
    <x:row r="36">
      <x:c r="A36" s="38" t="str">
        <x:v>MCPG-035</x:v>
      </x:c>
      <x:c r="B36" s="38" t="str">
        <x:v>C00175</x:v>
      </x:c>
      <x:c r="C36" s="102" t="str">
        <x:v>A0018</x:v>
      </x:c>
      <x:c r="D36" s="39" t="str">
        <x:v>반도체 덕에… 지난해 수출 6838억달러 역대 최대</x:v>
      </x:c>
      <x:c r="E36" s="39" t="str">
        <x:v>2025-01-02</x:v>
      </x:c>
      <x:c r="F36" s="39" t="str">
        <x:v>https://www.chosun.com/economy/economy_general/2025/01/02/6MYGM52QIVHUJBIZYYFBUW5IQM</x:v>
      </x:c>
      <x:c r="G36" s="39" t="str">
        <x:v>1 작년 한 해 전체 수출액이 6838억달러(약 1006조원)로 2023년에 비해 8.2% 증가했다고 산업통상자원부와 관세청이 1일 밝혔다.</x:v>
      </x:c>
      <x:c r="H36" s="38" t="str">
        <x:v>CHANGE_RATE</x:v>
      </x:c>
      <x:c r="I36" s="40" t="str">
        <x:v>8.2</x:v>
      </x:c>
      <x:c r="J36" s="38" t="str">
        <x:v>['조원', '년', '%', '일']</x:v>
      </x:c>
      <x:c r="K36" s="38" t="str">
        <x:v>REFUTES</x:v>
      </x:c>
      <x:c r="L36" s="38" t="str">
        <x:v>FULL_KOSIS_MCP</x:v>
      </x:c>
      <x:c r="M36" s="38" t="str">
        <x:v>Y</x:v>
      </x:c>
      <x:c r="N36" s="38" t="str">
        <x:v>Y</x:v>
      </x:c>
      <x:c r="O36" s="38" t="str">
        <x:v>N</x:v>
      </x:c>
      <x:c r="P36" s="38" t="str">
        <x:v>360</x:v>
      </x:c>
      <x:c r="Q36" s="38" t="str">
        <x:v>DT_1R11001_FRM101</x:v>
      </x:c>
      <x:c r="R36" s="38" t="str">
        <x:v>품목별 수출액 수입액</x:v>
      </x:c>
      <x:c r="S36" s="38" t="str">
        <x:v>13102112831A.7763</x:v>
      </x:c>
      <x:c r="T36" s="38" t="str">
        <x:v>N/A</x:v>
      </x:c>
      <x:c r="U36" s="38" t="str">
        <x:v>13103112831T1</x:v>
      </x:c>
      <x:c r="V36" s="38" t="str">
        <x:v>수출액</x:v>
      </x:c>
      <x:c r="W36" s="38" t="str">
        <x:v>다이오드트랜지스터 기타 이와 유사한 반도체 디바이스</x:v>
      </x:c>
      <x:c r="X36" s="38" t="str">
        <x:v>Y</x:v>
      </x:c>
      <x:c r="Y36" s="38" t="str">
        <x:v>2024</x:v>
      </x:c>
      <x:c r="Z36" s="38" t="str">
        <x:v>2023</x:v>
      </x:c>
      <x:c r="AA36" s="41" t="str">
        <x:v>3601287.0</x:v>
      </x:c>
      <x:c r="AB36" s="41" t="str">
        <x:v>3702260.0</x:v>
      </x:c>
      <x:c r="AC36" s="41" t="str">
        <x:v>천달러</x:v>
      </x:c>
      <x:c r="AD36" s="41" t="str">
        <x:v>-2.727334114837964</x:v>
      </x:c>
      <x:c r="AE36" s="39" t="str">
        <x:v>(MCP current − MCP previous) / |MCP previous| × 100</x:v>
      </x:c>
      <x:c r="AF36" s="39" t="str">
        <x:v>MCP_ACTUAL_VALUE_CONFIRMED</x:v>
      </x:c>
      <x:c r="AG36" s="39" t="str">
        <x:v>KOSIS_MCP_GET_DATA</x:v>
      </x:c>
      <x:c r="AH36" s="39" t="str">
        <x:v>https://kosis.kr/statHtml/statHtml.do?orgId=360&amp;tblId=DT_1R11001_FRM101&amp;vw_cd=MT_ZTITLE&amp;list_id=&amp;seqNo=&amp;lang_mode=ko&amp;language=kor&amp;obj_var_id=&amp;itm_id=&amp;conn_path=MT_ZTITLE</x:v>
      </x:c>
      <x:c r="AI36" s="38" t="str">
        <x:v>1-20</x:v>
      </x:c>
      <x:c r="AJ36" s="38" t="n">
        <x:v>46239.35054612269</x:v>
      </x:c>
    </x:row>
    <x:row r="37">
      <x:c r="A37" s="38" t="str">
        <x:v>MCPG-036</x:v>
      </x:c>
      <x:c r="B37" s="38" t="str">
        <x:v>C00176</x:v>
      </x:c>
      <x:c r="C37" s="102" t="str">
        <x:v>A0018</x:v>
      </x:c>
      <x:c r="D37" s="39" t="str">
        <x:v>반도체 덕에… 지난해 수출 6838억달러 역대 최대</x:v>
      </x:c>
      <x:c r="E37" s="39" t="str">
        <x:v>2025-01-02</x:v>
      </x:c>
      <x:c r="F37" s="39" t="str">
        <x:v>https://www.chosun.com/economy/economy_general/2025/01/02/6MYGM52QIVHUJBIZYYFBUW5IQM</x:v>
      </x:c>
      <x:c r="G37" s="39" t="str">
        <x:v>기존 역대 최대 규모였던 2022년 기록(6836억달러)을 2억달러 웃돌아 역대 최대 수출 실적을 달성했다.</x:v>
      </x:c>
      <x:c r="H37" s="38" t="str">
        <x:v>LEVEL</x:v>
      </x:c>
      <x:c r="I37" s="40" t="str">
        <x:v>2.0</x:v>
      </x:c>
      <x:c r="J37" s="38" t="str">
        <x:v>['년']</x:v>
      </x:c>
      <x:c r="K37" s="38" t="str">
        <x:v>REFUTES</x:v>
      </x:c>
      <x:c r="L37" s="38" t="str">
        <x:v>FULL_KOSIS_MCP</x:v>
      </x:c>
      <x:c r="M37" s="38" t="str">
        <x:v>Y</x:v>
      </x:c>
      <x:c r="N37" s="38" t="str">
        <x:v>Y</x:v>
      </x:c>
      <x:c r="O37" s="38" t="str">
        <x:v>N</x:v>
      </x:c>
      <x:c r="P37" s="38" t="str">
        <x:v>360</x:v>
      </x:c>
      <x:c r="Q37" s="38" t="str">
        <x:v>DT_1R11001_FRM101</x:v>
      </x:c>
      <x:c r="R37" s="38" t="str">
        <x:v>품목별 수출액 수입액</x:v>
      </x:c>
      <x:c r="S37" s="38" t="str">
        <x:v>13102112831A.7763</x:v>
      </x:c>
      <x:c r="T37" s="38" t="str">
        <x:v>N/A</x:v>
      </x:c>
      <x:c r="U37" s="38" t="str">
        <x:v>13103112831T1</x:v>
      </x:c>
      <x:c r="V37" s="38" t="str">
        <x:v>수출액</x:v>
      </x:c>
      <x:c r="W37" s="38" t="str">
        <x:v>다이오드트랜지스터 기타 이와 유사한 반도체 디바이스</x:v>
      </x:c>
      <x:c r="X37" s="38" t="str">
        <x:v>Y</x:v>
      </x:c>
      <x:c r="Y37" s="38" t="str">
        <x:v>2022</x:v>
      </x:c>
      <x:c r="Z37" s="38" t="str">
        <x:v>N/A</x:v>
      </x:c>
      <x:c r="AA37" s="41" t="str">
        <x:v>4354496.0</x:v>
      </x:c>
      <x:c r="AB37" s="41" t="str">
        <x:v>N/A</x:v>
      </x:c>
      <x:c r="AC37" s="41" t="str">
        <x:v>천달러</x:v>
      </x:c>
      <x:c r="AD37" s="41" t="str">
        <x:v>43.54496</x:v>
      </x:c>
      <x:c r="AE37" s="39" t="str">
        <x:v>MCP current value × source unit scale (1e-05)</x:v>
      </x:c>
      <x:c r="AF37" s="39" t="str">
        <x:v>MCP_ACTUAL_VALUE_CONFIRMED</x:v>
      </x:c>
      <x:c r="AG37" s="39" t="str">
        <x:v>KOSIS_MCP_GET_DATA</x:v>
      </x:c>
      <x:c r="AH37" s="39" t="str">
        <x:v>https://kosis.kr/statHtml/statHtml.do?orgId=360&amp;tblId=DT_1R11001_FRM101&amp;vw_cd=MT_ZTITLE&amp;list_id=&amp;seqNo=&amp;lang_mode=ko&amp;language=kor&amp;obj_var_id=&amp;itm_id=&amp;conn_path=MT_ZTITLE</x:v>
      </x:c>
      <x:c r="AI37" s="38" t="str">
        <x:v>1-20</x:v>
      </x:c>
      <x:c r="AJ37" s="38" t="n">
        <x:v>46239.35054613426</x:v>
      </x:c>
    </x:row>
    <x:row r="38">
      <x:c r="A38" s="38" t="str">
        <x:v>MCPG-037</x:v>
      </x:c>
      <x:c r="B38" s="38" t="str">
        <x:v>C00180</x:v>
      </x:c>
      <x:c r="C38" s="102" t="str">
        <x:v>A0018</x:v>
      </x:c>
      <x:c r="D38" s="39" t="str">
        <x:v>반도체 덕에… 지난해 수출 6838억달러 역대 최대</x:v>
      </x:c>
      <x:c r="E38" s="39" t="str">
        <x:v>2025-01-02</x:v>
      </x:c>
      <x:c r="F38" s="39" t="str">
        <x:v>https://www.chosun.com/economy/economy_general/2025/01/02/6MYGM52QIVHUJBIZYYFBUW5IQM</x:v>
      </x:c>
      <x:c r="G38" s="39" t="str">
        <x:v>작년 수출이 역대 최대 실적을 달성한 것은 4개월 연속 둔화세를 보이던 수출이 지난달 선방했기 때문이다.</x:v>
      </x:c>
      <x:c r="H38" s="38" t="str">
        <x:v>CHANGE_RATE</x:v>
      </x:c>
      <x:c r="I38" s="40" t="str">
        <x:v>4.0</x:v>
      </x:c>
      <x:c r="J38" s="38" t="str">
        <x:v>['개']</x:v>
      </x:c>
      <x:c r="K38" s="38" t="str">
        <x:v>REFUTES</x:v>
      </x:c>
      <x:c r="L38" s="38" t="str">
        <x:v>FULL_KOSIS_MCP</x:v>
      </x:c>
      <x:c r="M38" s="38" t="str">
        <x:v>Y</x:v>
      </x:c>
      <x:c r="N38" s="38" t="str">
        <x:v>Y</x:v>
      </x:c>
      <x:c r="O38" s="38" t="str">
        <x:v>N</x:v>
      </x:c>
      <x:c r="P38" s="38" t="str">
        <x:v>360</x:v>
      </x:c>
      <x:c r="Q38" s="38" t="str">
        <x:v>DT_1R11001_FRM101</x:v>
      </x:c>
      <x:c r="R38" s="38" t="str">
        <x:v>품목별 수출액 수입액</x:v>
      </x:c>
      <x:c r="S38" s="38" t="str">
        <x:v>13102112831A.7763</x:v>
      </x:c>
      <x:c r="T38" s="38" t="str">
        <x:v>N/A</x:v>
      </x:c>
      <x:c r="U38" s="38" t="str">
        <x:v>13103112831T1</x:v>
      </x:c>
      <x:c r="V38" s="38" t="str">
        <x:v>수출액</x:v>
      </x:c>
      <x:c r="W38" s="38" t="str">
        <x:v>다이오드트랜지스터 기타 이와 유사한 반도체 디바이스</x:v>
      </x:c>
      <x:c r="X38" s="38" t="str">
        <x:v>M</x:v>
      </x:c>
      <x:c r="Y38" s="38" t="str">
        <x:v>202412</x:v>
      </x:c>
      <x:c r="Z38" s="38" t="str">
        <x:v>202411</x:v>
      </x:c>
      <x:c r="AA38" s="41" t="str">
        <x:v>274344.0</x:v>
      </x:c>
      <x:c r="AB38" s="41" t="str">
        <x:v>295336.0</x:v>
      </x:c>
      <x:c r="AC38" s="41" t="str">
        <x:v>천달러</x:v>
      </x:c>
      <x:c r="AD38" s="41" t="str">
        <x:v>-7.107836498090311</x:v>
      </x:c>
      <x:c r="AE38" s="39" t="str">
        <x:v>(MCP current − MCP previous) / |MCP previous| × 100</x:v>
      </x:c>
      <x:c r="AF38" s="39" t="str">
        <x:v>MCP_ACTUAL_VALUE_CONFIRMED</x:v>
      </x:c>
      <x:c r="AG38" s="39" t="str">
        <x:v>KOSIS_MCP_GET_DATA</x:v>
      </x:c>
      <x:c r="AH38" s="39" t="str">
        <x:v>https://kosis.kr/statHtml/statHtml.do?orgId=360&amp;tblId=DT_1R11001_FRM101&amp;vw_cd=MT_ZTITLE&amp;list_id=&amp;seqNo=&amp;lang_mode=ko&amp;language=kor&amp;obj_var_id=&amp;itm_id=&amp;conn_path=MT_ZTITLE</x:v>
      </x:c>
      <x:c r="AI38" s="38" t="str">
        <x:v>1-20</x:v>
      </x:c>
      <x:c r="AJ38" s="38" t="n">
        <x:v>46239.35054613426</x:v>
      </x:c>
    </x:row>
    <x:row r="39">
      <x:c r="A39" s="38" t="str">
        <x:v>MCPG-038</x:v>
      </x:c>
      <x:c r="B39" s="38" t="str">
        <x:v>C00182</x:v>
      </x:c>
      <x:c r="C39" s="102" t="str">
        <x:v>A0018</x:v>
      </x:c>
      <x:c r="D39" s="39" t="str">
        <x:v>반도체 덕에… 지난해 수출 6838억달러 역대 최대</x:v>
      </x:c>
      <x:c r="E39" s="39" t="str">
        <x:v>2025-01-02</x:v>
      </x:c>
      <x:c r="F39" s="39" t="str">
        <x:v>https://www.chosun.com/economy/economy_general/2025/01/02/6MYGM52QIVHUJBIZYYFBUW5IQM</x:v>
      </x:c>
      <x:c r="G39" s="39" t="str">
        <x:v>수출 증가율은 작년 8월(10.9%)부터 11월까지 꺾이다가 지난달 들어 반도체 수출이 31.5% 불어나며 오름세로 돌아섰다.</x:v>
      </x:c>
      <x:c r="H39" s="38" t="str">
        <x:v>CHANGE_RATE</x:v>
      </x:c>
      <x:c r="I39" s="40" t="str">
        <x:v>31.5</x:v>
      </x:c>
      <x:c r="J39" s="38" t="str">
        <x:v>['월', '%', '월', '%']</x:v>
      </x:c>
      <x:c r="K39" s="38" t="str">
        <x:v>REFUTES</x:v>
      </x:c>
      <x:c r="L39" s="38" t="str">
        <x:v>FULL_KOSIS_MCP</x:v>
      </x:c>
      <x:c r="M39" s="38" t="str">
        <x:v>Y</x:v>
      </x:c>
      <x:c r="N39" s="38" t="str">
        <x:v>Y</x:v>
      </x:c>
      <x:c r="O39" s="38" t="str">
        <x:v>N</x:v>
      </x:c>
      <x:c r="P39" s="38" t="str">
        <x:v>360</x:v>
      </x:c>
      <x:c r="Q39" s="38" t="str">
        <x:v>DT_1R11001_FRM101</x:v>
      </x:c>
      <x:c r="R39" s="38" t="str">
        <x:v>품목별 수출액 수입액</x:v>
      </x:c>
      <x:c r="S39" s="38" t="str">
        <x:v>13102112831A.7763</x:v>
      </x:c>
      <x:c r="T39" s="38" t="str">
        <x:v>N/A</x:v>
      </x:c>
      <x:c r="U39" s="38" t="str">
        <x:v>13103112831T1</x:v>
      </x:c>
      <x:c r="V39" s="38" t="str">
        <x:v>수출액</x:v>
      </x:c>
      <x:c r="W39" s="38" t="str">
        <x:v>다이오드트랜지스터 기타 이와 유사한 반도체 디바이스</x:v>
      </x:c>
      <x:c r="X39" s="38" t="str">
        <x:v>M</x:v>
      </x:c>
      <x:c r="Y39" s="38" t="str">
        <x:v>202411</x:v>
      </x:c>
      <x:c r="Z39" s="38" t="str">
        <x:v>202410</x:v>
      </x:c>
      <x:c r="AA39" s="41" t="str">
        <x:v>295336.0</x:v>
      </x:c>
      <x:c r="AB39" s="41" t="str">
        <x:v>326077.0</x:v>
      </x:c>
      <x:c r="AC39" s="41" t="str">
        <x:v>천달러</x:v>
      </x:c>
      <x:c r="AD39" s="41" t="str">
        <x:v>-9.42752785385047</x:v>
      </x:c>
      <x:c r="AE39" s="39" t="str">
        <x:v>(MCP current − MCP previous) / |MCP previous| × 100</x:v>
      </x:c>
      <x:c r="AF39" s="39" t="str">
        <x:v>MCP_ACTUAL_VALUE_CONFIRMED</x:v>
      </x:c>
      <x:c r="AG39" s="39" t="str">
        <x:v>KOSIS_MCP_GET_DATA</x:v>
      </x:c>
      <x:c r="AH39" s="39" t="str">
        <x:v>https://kosis.kr/statHtml/statHtml.do?orgId=360&amp;tblId=DT_1R11001_FRM101&amp;vw_cd=MT_ZTITLE&amp;list_id=&amp;seqNo=&amp;lang_mode=ko&amp;language=kor&amp;obj_var_id=&amp;itm_id=&amp;conn_path=MT_ZTITLE</x:v>
      </x:c>
      <x:c r="AI39" s="38" t="str">
        <x:v>1-20</x:v>
      </x:c>
      <x:c r="AJ39" s="38" t="n">
        <x:v>46239.35054613426</x:v>
      </x:c>
    </x:row>
    <x:row r="40">
      <x:c r="A40" s="38" t="str">
        <x:v>MCPG-039</x:v>
      </x:c>
      <x:c r="B40" s="38" t="str">
        <x:v>C00289</x:v>
      </x:c>
      <x:c r="C40" s="102" t="str">
        <x:v>A0029</x:v>
      </x:c>
      <x:c r="D40" s="39" t="str">
        <x:v>완성차 5사 판매량 3년만에 감소세로...내수 부진에 전기차 캐즘 본격화</x:v>
      </x:c>
      <x:c r="E40" s="39" t="str">
        <x:v>2025-01-03</x:v>
      </x:c>
      <x:c r="F40" s="39" t="str">
        <x:v>https://www.chosun.com/economy/auto/2025/01/03/N4AM2ZKHUBDXHOEEKGPMWO4Y2U</x:v>
      </x:c>
      <x:c r="G40" s="39" t="str">
        <x:v>2023년 역대 최고 실적을 달성했던 수출도 성장세가 꺾였다.</x:v>
      </x:c>
      <x:c r="H40" s="38" t="str">
        <x:v>CHANGE_RATE</x:v>
      </x:c>
      <x:c r="I40" s="40" t="str">
        <x:v>2023.0</x:v>
      </x:c>
      <x:c r="J40" s="38" t="str">
        <x:v>['년']</x:v>
      </x:c>
      <x:c r="K40" s="38" t="str">
        <x:v>REFUTES</x:v>
      </x:c>
      <x:c r="L40" s="38" t="str">
        <x:v>FULL_KOSIS_MCP</x:v>
      </x:c>
      <x:c r="M40" s="38" t="str">
        <x:v>Y</x:v>
      </x:c>
      <x:c r="N40" s="38" t="str">
        <x:v>Y</x:v>
      </x:c>
      <x:c r="O40" s="38" t="str">
        <x:v>N</x:v>
      </x:c>
      <x:c r="P40" s="38" t="str">
        <x:v>360</x:v>
      </x:c>
      <x:c r="Q40" s="38" t="str">
        <x:v>DT_1R11001_FRM101</x:v>
      </x:c>
      <x:c r="R40" s="38" t="str">
        <x:v>품목별 수출액 수입액</x:v>
      </x:c>
      <x:c r="S40" s="38" t="str">
        <x:v>13102112831A.A</x:v>
      </x:c>
      <x:c r="T40" s="38" t="str">
        <x:v>N/A</x:v>
      </x:c>
      <x:c r="U40" s="38" t="str">
        <x:v>13103112831T1</x:v>
      </x:c>
      <x:c r="V40" s="38" t="str">
        <x:v>수출액</x:v>
      </x:c>
      <x:c r="W40" s="38" t="str">
        <x:v>총액</x:v>
      </x:c>
      <x:c r="X40" s="38" t="str">
        <x:v>Y</x:v>
      </x:c>
      <x:c r="Y40" s="38" t="str">
        <x:v>2023</x:v>
      </x:c>
      <x:c r="Z40" s="38" t="str">
        <x:v>2022</x:v>
      </x:c>
      <x:c r="AA40" s="41" t="str">
        <x:v>632225824.0</x:v>
      </x:c>
      <x:c r="AB40" s="41" t="str">
        <x:v>683584760.0</x:v>
      </x:c>
      <x:c r="AC40" s="41" t="str">
        <x:v>천달러</x:v>
      </x:c>
      <x:c r="AD40" s="41" t="str">
        <x:v>-7.513177444154841</x:v>
      </x:c>
      <x:c r="AE40" s="39" t="str">
        <x:v>(MCP current − MCP previous) / |MCP previous| × 100</x:v>
      </x:c>
      <x:c r="AF40" s="39" t="str">
        <x:v>MCP_ACTUAL_VALUE_CONFIRMED</x:v>
      </x:c>
      <x:c r="AG40" s="39" t="str">
        <x:v>KOSIS_MCP_GET_DATA</x:v>
      </x:c>
      <x:c r="AH40" s="39" t="str">
        <x:v>https://kosis.kr/statHtml/statHtml.do?orgId=360&amp;tblId=DT_1R11001_FRM101&amp;vw_cd=MT_ZTITLE&amp;list_id=&amp;seqNo=&amp;lang_mode=ko&amp;language=kor&amp;obj_var_id=&amp;itm_id=&amp;conn_path=MT_ZTITLE</x:v>
      </x:c>
      <x:c r="AI40" s="38" t="str">
        <x:v>1-20</x:v>
      </x:c>
      <x:c r="AJ40" s="38" t="n">
        <x:v>46239.35054614583</x:v>
      </x:c>
    </x:row>
    <x:row r="41">
      <x:c r="A41" s="38" t="str">
        <x:v>MCPG-040</x:v>
      </x:c>
      <x:c r="B41" s="38" t="str">
        <x:v>C00572</x:v>
      </x:c>
      <x:c r="C41" s="102" t="str">
        <x:v>A0067</x:v>
      </x:c>
      <x:c r="D41" s="39" t="str">
        <x:v>지난해 최고 인기 수입차는 테슬라 모델 Y...BMW 520, 벤츠 E200 뒤 이어</x:v>
      </x:c>
      <x:c r="E41" s="39" t="str">
        <x:v>2025-01-06</x:v>
      </x:c>
      <x:c r="F41" s="39" t="str">
        <x:v>https://www.chosun.com/economy/auto/2025/01/06/S27CLI355JFNZLDTKSS6EHCNPI</x:v>
      </x:c>
      <x:c r="G41" s="39" t="str">
        <x:v>전체 수입차 판매는 2023년(27만1034대)보다 2.9% 감소한 26만3288대에 그쳤다.</x:v>
      </x:c>
      <x:c r="H41" s="38" t="str">
        <x:v>CHANGE_RATE</x:v>
      </x:c>
      <x:c r="I41" s="40" t="str">
        <x:v>2.9</x:v>
      </x:c>
      <x:c r="J41" s="38" t="str">
        <x:v>['년', '%']</x:v>
      </x:c>
      <x:c r="K41" s="38" t="str">
        <x:v>REFUTES</x:v>
      </x:c>
      <x:c r="L41" s="38" t="str">
        <x:v>FULL_KOSIS_MCP</x:v>
      </x:c>
      <x:c r="M41" s="38" t="str">
        <x:v>Y</x:v>
      </x:c>
      <x:c r="N41" s="38" t="str">
        <x:v>Y</x:v>
      </x:c>
      <x:c r="O41" s="38" t="str">
        <x:v>N</x:v>
      </x:c>
      <x:c r="P41" s="38" t="str">
        <x:v>360</x:v>
      </x:c>
      <x:c r="Q41" s="38" t="str">
        <x:v>DT_1R11001_FRM101</x:v>
      </x:c>
      <x:c r="R41" s="38" t="str">
        <x:v>품목별 수출액 수입액</x:v>
      </x:c>
      <x:c r="S41" s="38" t="str">
        <x:v>13102112831A.A</x:v>
      </x:c>
      <x:c r="T41" s="38" t="str">
        <x:v>N/A</x:v>
      </x:c>
      <x:c r="U41" s="38" t="str">
        <x:v>13103112831T2</x:v>
      </x:c>
      <x:c r="V41" s="38" t="str">
        <x:v>수입액</x:v>
      </x:c>
      <x:c r="W41" s="38" t="str">
        <x:v>총액</x:v>
      </x:c>
      <x:c r="X41" s="38" t="str">
        <x:v>Y</x:v>
      </x:c>
      <x:c r="Y41" s="38" t="str">
        <x:v>2023</x:v>
      </x:c>
      <x:c r="Z41" s="38" t="str">
        <x:v>2022</x:v>
      </x:c>
      <x:c r="AA41" s="41" t="str">
        <x:v>642572126.0</x:v>
      </x:c>
      <x:c r="AB41" s="41" t="str">
        <x:v>731369657.0</x:v>
      </x:c>
      <x:c r="AC41" s="41" t="str">
        <x:v>천달러</x:v>
      </x:c>
      <x:c r="AD41" s="41" t="str">
        <x:v>-12.14126538476288</x:v>
      </x:c>
      <x:c r="AE41" s="39" t="str">
        <x:v>(MCP current − MCP previous) / |MCP previous| × 100</x:v>
      </x:c>
      <x:c r="AF41" s="39" t="str">
        <x:v>MCP_ACTUAL_VALUE_CONFIRMED</x:v>
      </x:c>
      <x:c r="AG41" s="39" t="str">
        <x:v>KOSIS_MCP_GET_DATA</x:v>
      </x:c>
      <x:c r="AH41" s="39" t="str">
        <x:v>https://kosis.kr/statHtml/statHtml.do?orgId=360&amp;tblId=DT_1R11001_FRM101&amp;vw_cd=MT_ZTITLE&amp;list_id=&amp;seqNo=&amp;lang_mode=ko&amp;language=kor&amp;obj_var_id=&amp;itm_id=&amp;conn_path=MT_ZTITLE</x:v>
      </x:c>
      <x:c r="AI41" s="38" t="str">
        <x:v>1-20</x:v>
      </x:c>
      <x:c r="AJ41" s="38" t="n">
        <x:v>46239.35054615741</x:v>
      </x:c>
    </x:row>
    <x:row r="42">
      <x:c r="A42" s="38" t="str">
        <x:v>MCPG-041</x:v>
      </x:c>
      <x:c r="B42" s="38" t="str">
        <x:v>C01298</x:v>
      </x:c>
      <x:c r="C42" s="102" t="str">
        <x:v>A0182</x:v>
      </x:c>
      <x:c r="D42" s="39" t="str">
        <x:v>올 첫 열흘 동안 수출, 작년보다 3.8% 늘어</x:v>
      </x:c>
      <x:c r="E42" s="39" t="str">
        <x:v>2025-01-14</x:v>
      </x:c>
      <x:c r="F42" s="39" t="str">
        <x:v>https://www.chosun.com/economy/industry-company/2025/01/14/IPPOGTCXI5BFRB5DIIBS3YJ77I</x:v>
      </x:c>
      <x:c r="G42" s="39" t="str">
        <x:v>13일 관세청이 발표한 올해 1월 1일~10일 수출입현황에 따르면, 수출은 160억400만달러로 전년 같은 기간보다 3.8% 늘었다.</x:v>
      </x:c>
      <x:c r="H42" s="38" t="str">
        <x:v>CHANGE_RATE</x:v>
      </x:c>
      <x:c r="I42" s="40" t="str">
        <x:v>3.8</x:v>
      </x:c>
      <x:c r="J42" s="38" t="str">
        <x:v>['일', '월', '일', '일', '%']</x:v>
      </x:c>
      <x:c r="K42" s="38" t="str">
        <x:v>REFUTES</x:v>
      </x:c>
      <x:c r="L42" s="38" t="str">
        <x:v>FULL_KOSIS_MCP</x:v>
      </x:c>
      <x:c r="M42" s="38" t="str">
        <x:v>Y</x:v>
      </x:c>
      <x:c r="N42" s="38" t="str">
        <x:v>Y</x:v>
      </x:c>
      <x:c r="O42" s="38" t="str">
        <x:v>N</x:v>
      </x:c>
      <x:c r="P42" s="38" t="str">
        <x:v>360</x:v>
      </x:c>
      <x:c r="Q42" s="38" t="str">
        <x:v>DT_1R11001_FRM101</x:v>
      </x:c>
      <x:c r="R42" s="38" t="str">
        <x:v>품목별 수출액 수입액</x:v>
      </x:c>
      <x:c r="S42" s="38" t="str">
        <x:v>13102112831A.A</x:v>
      </x:c>
      <x:c r="T42" s="38" t="str">
        <x:v>N/A</x:v>
      </x:c>
      <x:c r="U42" s="38" t="str">
        <x:v>13103112831T1</x:v>
      </x:c>
      <x:c r="V42" s="38" t="str">
        <x:v>수출액</x:v>
      </x:c>
      <x:c r="W42" s="38" t="str">
        <x:v>총액</x:v>
      </x:c>
      <x:c r="X42" s="38" t="str">
        <x:v>M</x:v>
      </x:c>
      <x:c r="Y42" s="38" t="str">
        <x:v>202401</x:v>
      </x:c>
      <x:c r="Z42" s="38" t="str">
        <x:v>202312</x:v>
      </x:c>
      <x:c r="AA42" s="41" t="str">
        <x:v>54709823.0</x:v>
      </x:c>
      <x:c r="AB42" s="41" t="str">
        <x:v>57573193.0</x:v>
      </x:c>
      <x:c r="AC42" s="41" t="str">
        <x:v>천달러</x:v>
      </x:c>
      <x:c r="AD42" s="41" t="str">
        <x:v>-4.97344310919146</x:v>
      </x:c>
      <x:c r="AE42" s="39" t="str">
        <x:v>(MCP current − MCP previous) / |MCP previous| × 100</x:v>
      </x:c>
      <x:c r="AF42" s="39" t="str">
        <x:v>MCP_ACTUAL_VALUE_CONFIRMED</x:v>
      </x:c>
      <x:c r="AG42" s="39" t="str">
        <x:v>KOSIS_MCP_GET_DATA</x:v>
      </x:c>
      <x:c r="AH42" s="39" t="str">
        <x:v>https://kosis.kr/statHtml/statHtml.do?orgId=360&amp;tblId=DT_1R11001_FRM101&amp;vw_cd=MT_ZTITLE&amp;list_id=&amp;seqNo=&amp;lang_mode=ko&amp;language=kor&amp;obj_var_id=&amp;itm_id=&amp;conn_path=MT_ZTITLE</x:v>
      </x:c>
      <x:c r="AI42" s="38" t="str">
        <x:v>1-20</x:v>
      </x:c>
      <x:c r="AJ42" s="38" t="n">
        <x:v>46239.35054615741</x:v>
      </x:c>
    </x:row>
    <x:row r="43">
      <x:c r="A43" s="38" t="str">
        <x:v>MCPG-042</x:v>
      </x:c>
      <x:c r="B43" s="38" t="str">
        <x:v>C01332</x:v>
      </x:c>
      <x:c r="C43" s="102" t="str">
        <x:v>A0185</x:v>
      </x:c>
      <x:c r="D43" s="39" t="str">
        <x:v>수입차 시장, IMF 이후 처음 2년 연속 역성장</x:v>
      </x:c>
      <x:c r="E43" s="39" t="str">
        <x:v>2025-01-15</x:v>
      </x:c>
      <x:c r="F43" s="39" t="str">
        <x:v>https://www.chosun.com/economy/auto/2025/01/15/MS2YWXFVJVFGVKZPZIJZ6DXAAU</x:v>
      </x:c>
      <x:c r="G43" s="39" t="str">
        <x:v>4 작년 국내 수입차 판매량이 2.9% 줄며 2년 연속 감소세를 기록했다.</x:v>
      </x:c>
      <x:c r="H43" s="38" t="str">
        <x:v>CHANGE_RATE</x:v>
      </x:c>
      <x:c r="I43" s="40" t="str">
        <x:v>2.9</x:v>
      </x:c>
      <x:c r="J43" s="38" t="str">
        <x:v>['%', '년']</x:v>
      </x:c>
      <x:c r="K43" s="38" t="str">
        <x:v>REFUTES</x:v>
      </x:c>
      <x:c r="L43" s="38" t="str">
        <x:v>FULL_KOSIS_MCP</x:v>
      </x:c>
      <x:c r="M43" s="38" t="str">
        <x:v>Y</x:v>
      </x:c>
      <x:c r="N43" s="38" t="str">
        <x:v>Y</x:v>
      </x:c>
      <x:c r="O43" s="38" t="str">
        <x:v>N</x:v>
      </x:c>
      <x:c r="P43" s="38" t="str">
        <x:v>360</x:v>
      </x:c>
      <x:c r="Q43" s="38" t="str">
        <x:v>DT_1R11001_FRM101</x:v>
      </x:c>
      <x:c r="R43" s="38" t="str">
        <x:v>품목별 수출액 수입액</x:v>
      </x:c>
      <x:c r="S43" s="38" t="str">
        <x:v>13102112831A.A</x:v>
      </x:c>
      <x:c r="T43" s="38" t="str">
        <x:v>N/A</x:v>
      </x:c>
      <x:c r="U43" s="38" t="str">
        <x:v>13103112831T2</x:v>
      </x:c>
      <x:c r="V43" s="38" t="str">
        <x:v>수입액</x:v>
      </x:c>
      <x:c r="W43" s="38" t="str">
        <x:v>총액</x:v>
      </x:c>
      <x:c r="X43" s="38" t="str">
        <x:v>Y</x:v>
      </x:c>
      <x:c r="Y43" s="38" t="str">
        <x:v>2024</x:v>
      </x:c>
      <x:c r="Z43" s="38" t="str">
        <x:v>2023</x:v>
      </x:c>
      <x:c r="AA43" s="41" t="str">
        <x:v>631767209.0</x:v>
      </x:c>
      <x:c r="AB43" s="41" t="str">
        <x:v>642572126.0</x:v>
      </x:c>
      <x:c r="AC43" s="41" t="str">
        <x:v>천달러</x:v>
      </x:c>
      <x:c r="AD43" s="41" t="str">
        <x:v>-1.6815103803615659</x:v>
      </x:c>
      <x:c r="AE43" s="39" t="str">
        <x:v>(MCP current − MCP previous) / |MCP previous| × 100</x:v>
      </x:c>
      <x:c r="AF43" s="39" t="str">
        <x:v>MCP_ACTUAL_VALUE_CONFIRMED</x:v>
      </x:c>
      <x:c r="AG43" s="39" t="str">
        <x:v>KOSIS_MCP_GET_DATA</x:v>
      </x:c>
      <x:c r="AH43" s="39" t="str">
        <x:v>https://kosis.kr/statHtml/statHtml.do?orgId=360&amp;tblId=DT_1R11001_FRM101&amp;vw_cd=MT_ZTITLE&amp;list_id=&amp;seqNo=&amp;lang_mode=ko&amp;language=kor&amp;obj_var_id=&amp;itm_id=&amp;conn_path=MT_ZTITLE</x:v>
      </x:c>
      <x:c r="AI43" s="38" t="str">
        <x:v>1-20</x:v>
      </x:c>
      <x:c r="AJ43" s="38" t="n">
        <x:v>46239.350546180554</x:v>
      </x:c>
    </x:row>
    <x:row r="44">
      <x:c r="A44" s="38" t="str">
        <x:v>MCPG-043</x:v>
      </x:c>
      <x:c r="B44" s="38" t="str">
        <x:v>C01922</x:v>
      </x:c>
      <x:c r="C44" s="102" t="str">
        <x:v>A0268</x:v>
      </x:c>
      <x:c r="D44" s="39" t="str">
        <x:v>새해 첫 20일 수출 5.1%↓ 엿새 설 연휴로 1월 전체 수출 감소 가능성</x:v>
      </x:c>
      <x:c r="E44" s="39" t="str">
        <x:v>2025-01-21</x:v>
      </x:c>
      <x:c r="F44" s="39" t="str">
        <x:v>https://www.chosun.com/economy/economy_general/2025/01/21/I6KIDJTHINBDZJKIJQNJX7YJ5Q</x:v>
      </x:c>
      <x:c r="G44" s="39" t="str">
        <x:v>1월 수출이 감소할 경우 2023년 9월(-4.4%) 이후 1년 4개월 만에 처음으로 전년 동월 대비 수출액이 마이너스를 기록하게 된다.</x:v>
      </x:c>
      <x:c r="H44" s="38" t="str">
        <x:v>CHANGE_RATE</x:v>
      </x:c>
      <x:c r="I44" s="40" t="str">
        <x:v>-4.4</x:v>
      </x:c>
      <x:c r="J44" s="38" t="str">
        <x:v>['월', '년', '월', '%', '년', '개']</x:v>
      </x:c>
      <x:c r="K44" s="38" t="str">
        <x:v>REFUTES</x:v>
      </x:c>
      <x:c r="L44" s="38" t="str">
        <x:v>FULL_KOSIS_MCP</x:v>
      </x:c>
      <x:c r="M44" s="38" t="str">
        <x:v>Y</x:v>
      </x:c>
      <x:c r="N44" s="38" t="str">
        <x:v>Y</x:v>
      </x:c>
      <x:c r="O44" s="38" t="str">
        <x:v>N</x:v>
      </x:c>
      <x:c r="P44" s="38" t="str">
        <x:v>360</x:v>
      </x:c>
      <x:c r="Q44" s="38" t="str">
        <x:v>DT_1R11001_FRM101</x:v>
      </x:c>
      <x:c r="R44" s="38" t="str">
        <x:v>품목별 수출액 수입액</x:v>
      </x:c>
      <x:c r="S44" s="38" t="str">
        <x:v>13102112831A.A</x:v>
      </x:c>
      <x:c r="T44" s="38" t="str">
        <x:v>N/A</x:v>
      </x:c>
      <x:c r="U44" s="38" t="str">
        <x:v>13103112831T1</x:v>
      </x:c>
      <x:c r="V44" s="38" t="str">
        <x:v>수출액</x:v>
      </x:c>
      <x:c r="W44" s="38" t="str">
        <x:v>총액</x:v>
      </x:c>
      <x:c r="X44" s="38" t="str">
        <x:v>M</x:v>
      </x:c>
      <x:c r="Y44" s="38" t="str">
        <x:v>202409</x:v>
      </x:c>
      <x:c r="Z44" s="38" t="str">
        <x:v>202309</x:v>
      </x:c>
      <x:c r="AA44" s="41" t="str">
        <x:v>58544693.0</x:v>
      </x:c>
      <x:c r="AB44" s="41" t="str">
        <x:v>54650691.0</x:v>
      </x:c>
      <x:c r="AC44" s="41" t="str">
        <x:v>천달러</x:v>
      </x:c>
      <x:c r="AD44" s="41" t="str">
        <x:v>7.1252566596093</x:v>
      </x:c>
      <x:c r="AE44" s="39" t="str">
        <x:v>(MCP current − MCP previous) / |MCP previous| × 100</x:v>
      </x:c>
      <x:c r="AF44" s="39" t="str">
        <x:v>MCP_ACTUAL_VALUE_CONFIRMED</x:v>
      </x:c>
      <x:c r="AG44" s="39" t="str">
        <x:v>KOSIS_MCP_GET_DATA</x:v>
      </x:c>
      <x:c r="AH44" s="39" t="str">
        <x:v>https://kosis.kr/statHtml/statHtml.do?orgId=360&amp;tblId=DT_1R11001_FRM101&amp;vw_cd=MT_ZTITLE&amp;list_id=&amp;seqNo=&amp;lang_mode=ko&amp;language=kor&amp;obj_var_id=&amp;itm_id=&amp;conn_path=MT_ZTITLE</x:v>
      </x:c>
      <x:c r="AI44" s="38" t="str">
        <x:v>1-20</x:v>
      </x:c>
      <x:c r="AJ44" s="38" t="n">
        <x:v>46239.350546180554</x:v>
      </x:c>
    </x:row>
    <x:row r="45">
      <x:c r="A45" s="38" t="str">
        <x:v>MCPG-044</x:v>
      </x:c>
      <x:c r="B45" s="38" t="str">
        <x:v>C01998</x:v>
      </x:c>
      <x:c r="C45" s="102" t="str">
        <x:v>A0278</x:v>
      </x:c>
      <x:c r="D45" s="39" t="str">
        <x:v>‘억’ 소리 나는 유튜버들… 수퍼챗도 세금 내야</x:v>
      </x:c>
      <x:c r="E45" s="39" t="str">
        <x:v>2025-01-22</x:v>
      </x:c>
      <x:c r="F45" s="39" t="str">
        <x:v>https://www.chosun.com/economy/economy_general/2025/01/22/BXNGUVDIIBEC5PWEXSBY5YCRDE</x:v>
      </x:c>
      <x:c r="G45" s="39" t="str">
        <x:v>더불어민주당 정일영 의원실에 따르면 작년 11월 기준 보수 성향 유튜버의 수퍼챗 수입 상위 7개 채널 중 6개의 지난달 수퍼챗 수익은 한 달 새 평균 2.1배 늘어났다.</x:v>
      </x:c>
      <x:c r="H45" s="38" t="str">
        <x:v>LEVEL</x:v>
      </x:c>
      <x:c r="I45" s="40" t="str">
        <x:v>2.1</x:v>
      </x:c>
      <x:c r="J45" s="38" t="str">
        <x:v>['월', '개', '개', '배']</x:v>
      </x:c>
      <x:c r="K45" s="38" t="str">
        <x:v>REFUTES</x:v>
      </x:c>
      <x:c r="L45" s="38" t="str">
        <x:v>FULL_KOSIS_MCP</x:v>
      </x:c>
      <x:c r="M45" s="38" t="str">
        <x:v>Y</x:v>
      </x:c>
      <x:c r="N45" s="38" t="str">
        <x:v>Y</x:v>
      </x:c>
      <x:c r="O45" s="38" t="str">
        <x:v>N</x:v>
      </x:c>
      <x:c r="P45" s="38" t="str">
        <x:v>360</x:v>
      </x:c>
      <x:c r="Q45" s="38" t="str">
        <x:v>DT_1R11001_FRM101</x:v>
      </x:c>
      <x:c r="R45" s="38" t="str">
        <x:v>품목별 수출액 수입액</x:v>
      </x:c>
      <x:c r="S45" s="38" t="str">
        <x:v>13102112831A.A</x:v>
      </x:c>
      <x:c r="T45" s="38" t="str">
        <x:v>N/A</x:v>
      </x:c>
      <x:c r="U45" s="38" t="str">
        <x:v>13103112831T2</x:v>
      </x:c>
      <x:c r="V45" s="38" t="str">
        <x:v>수입액</x:v>
      </x:c>
      <x:c r="W45" s="38" t="str">
        <x:v>총액</x:v>
      </x:c>
      <x:c r="X45" s="38" t="str">
        <x:v>M</x:v>
      </x:c>
      <x:c r="Y45" s="38" t="str">
        <x:v>202411</x:v>
      </x:c>
      <x:c r="Z45" s="38" t="str">
        <x:v>N/A</x:v>
      </x:c>
      <x:c r="AA45" s="41" t="str">
        <x:v>50718992.0</x:v>
      </x:c>
      <x:c r="AB45" s="41" t="str">
        <x:v>N/A</x:v>
      </x:c>
      <x:c r="AC45" s="41" t="str">
        <x:v>천달러</x:v>
      </x:c>
      <x:c r="AD45" s="41" t="str">
        <x:v>50718992.0</x:v>
      </x:c>
      <x:c r="AE45" s="39" t="str">
        <x:v>MCP current value × source unit scale (1)</x:v>
      </x:c>
      <x:c r="AF45" s="39" t="str">
        <x:v>MCP_ACTUAL_VALUE_CONFIRMED</x:v>
      </x:c>
      <x:c r="AG45" s="39" t="str">
        <x:v>KOSIS_MCP_GET_DATA</x:v>
      </x:c>
      <x:c r="AH45" s="39" t="str">
        <x:v>https://kosis.kr/statHtml/statHtml.do?orgId=360&amp;tblId=DT_1R11001_FRM101&amp;vw_cd=MT_ZTITLE&amp;list_id=&amp;seqNo=&amp;lang_mode=ko&amp;language=kor&amp;obj_var_id=&amp;itm_id=&amp;conn_path=MT_ZTITLE</x:v>
      </x:c>
      <x:c r="AI45" s="38" t="str">
        <x:v>1-20</x:v>
      </x:c>
      <x:c r="AJ45" s="38" t="n">
        <x:v>46239.35054619213</x:v>
      </x:c>
    </x:row>
    <x:row r="46">
      <x:c r="A46" s="38" t="str">
        <x:v>MCPG-045</x:v>
      </x:c>
      <x:c r="B46" s="38" t="str">
        <x:v>C02701</x:v>
      </x:c>
      <x:c r="C46" s="102" t="str">
        <x:v>A0353</x:v>
      </x:c>
      <x:c r="D46" s="39" t="str">
        <x:v>연두색 번호판 창피해서 못 탄다?…1억 이상 수입차 판매량, 결국</x:v>
      </x:c>
      <x:c r="E46" s="39" t="str">
        <x:v>2025-01-28</x:v>
      </x:c>
      <x:c r="F46" s="39" t="str">
        <x:v>https://www.chosun.com/economy/economy_general/2025/01/28/FXUVCK5BXRBB5N6XQBFXYFPDYE</x:v>
      </x:c>
      <x:c r="G46" s="39" t="str">
        <x:v>2022년에도 39.1%로, 40% 가까운 이들이 법인 명의로 수입차를 등록했다.</x:v>
      </x:c>
      <x:c r="H46" s="38" t="str">
        <x:v>LEVEL</x:v>
      </x:c>
      <x:c r="I46" s="40" t="str">
        <x:v>40.0</x:v>
      </x:c>
      <x:c r="J46" s="38" t="str">
        <x:v>['년', '%', '%']</x:v>
      </x:c>
      <x:c r="K46" s="38" t="str">
        <x:v>REFUTES</x:v>
      </x:c>
      <x:c r="L46" s="38" t="str">
        <x:v>FULL_KOSIS_MCP</x:v>
      </x:c>
      <x:c r="M46" s="38" t="str">
        <x:v>Y</x:v>
      </x:c>
      <x:c r="N46" s="38" t="str">
        <x:v>Y</x:v>
      </x:c>
      <x:c r="O46" s="38" t="str">
        <x:v>N</x:v>
      </x:c>
      <x:c r="P46" s="38" t="str">
        <x:v>360</x:v>
      </x:c>
      <x:c r="Q46" s="38" t="str">
        <x:v>DT_1R11001_FRM101</x:v>
      </x:c>
      <x:c r="R46" s="38" t="str">
        <x:v>품목별 수출액 수입액</x:v>
      </x:c>
      <x:c r="S46" s="38" t="str">
        <x:v>13102112831A.A</x:v>
      </x:c>
      <x:c r="T46" s="38" t="str">
        <x:v>N/A</x:v>
      </x:c>
      <x:c r="U46" s="38" t="str">
        <x:v>13103112831T2</x:v>
      </x:c>
      <x:c r="V46" s="38" t="str">
        <x:v>수입액</x:v>
      </x:c>
      <x:c r="W46" s="38" t="str">
        <x:v>총액</x:v>
      </x:c>
      <x:c r="X46" s="38" t="str">
        <x:v>Y</x:v>
      </x:c>
      <x:c r="Y46" s="38" t="str">
        <x:v>2022</x:v>
      </x:c>
      <x:c r="Z46" s="38" t="str">
        <x:v>N/A</x:v>
      </x:c>
      <x:c r="AA46" s="41" t="str">
        <x:v>731369657.0</x:v>
      </x:c>
      <x:c r="AB46" s="41" t="str">
        <x:v>N/A</x:v>
      </x:c>
      <x:c r="AC46" s="41" t="str">
        <x:v>천달러</x:v>
      </x:c>
      <x:c r="AD46" s="41" t="str">
        <x:v>731369657.0</x:v>
      </x:c>
      <x:c r="AE46" s="39" t="str">
        <x:v>MCP current value × source unit scale (1)</x:v>
      </x:c>
      <x:c r="AF46" s="39" t="str">
        <x:v>MCP_ACTUAL_VALUE_CONFIRMED</x:v>
      </x:c>
      <x:c r="AG46" s="39" t="str">
        <x:v>KOSIS_MCP_GET_DATA</x:v>
      </x:c>
      <x:c r="AH46" s="39" t="str">
        <x:v>https://kosis.kr/statHtml/statHtml.do?orgId=360&amp;tblId=DT_1R11001_FRM101&amp;vw_cd=MT_ZTITLE&amp;list_id=&amp;seqNo=&amp;lang_mode=ko&amp;language=kor&amp;obj_var_id=&amp;itm_id=&amp;conn_path=MT_ZTITLE</x:v>
      </x:c>
      <x:c r="AI46" s="38" t="str">
        <x:v>1-20</x:v>
      </x:c>
      <x:c r="AJ46" s="38" t="n">
        <x:v>46239.35054620371</x:v>
      </x:c>
    </x:row>
    <x:row r="47">
      <x:c r="A47" s="38" t="str">
        <x:v>MCPG-046</x:v>
      </x:c>
      <x:c r="B47" s="38" t="str">
        <x:v>C03132</x:v>
      </x:c>
      <x:c r="C47" s="102" t="str">
        <x:v>A0396</x:v>
      </x:c>
      <x:c r="D47" s="39" t="str">
        <x:v>벤츠 E-클래스, 11년 연속 수입차 시장 베스트셀러로</x:v>
      </x:c>
      <x:c r="E47" s="39" t="str">
        <x:v>2025-01-31</x:v>
      </x:c>
      <x:c r="F47" s="39" t="str">
        <x:v>https://www.chosun.com/economy/auto/2025/01/31/JKT2NSYPNVCZPKT56UFOJ3YGLY</x:v>
      </x:c>
      <x:c r="G47" s="39" t="str">
        <x:v>엔트리 모델인 메르세데스-벤츠 E200 아방가르드는 지난해 5월 출시 이후 짧은 판매 기간에도 지난해 수입차 트림(세부 모델)별 누적 판매 순위 3위(1만540대)에 오르기도 했다.</x:v>
      </x:c>
      <x:c r="H47" s="38" t="str">
        <x:v>LEVEL</x:v>
      </x:c>
      <x:c r="I47" s="40" t="str">
        <x:v>200.0</x:v>
      </x:c>
      <x:c r="J47" s="38" t="str">
        <x:v>['월']</x:v>
      </x:c>
      <x:c r="K47" s="38" t="str">
        <x:v>REFUTES</x:v>
      </x:c>
      <x:c r="L47" s="38" t="str">
        <x:v>FULL_KOSIS_MCP</x:v>
      </x:c>
      <x:c r="M47" s="38" t="str">
        <x:v>Y</x:v>
      </x:c>
      <x:c r="N47" s="38" t="str">
        <x:v>Y</x:v>
      </x:c>
      <x:c r="O47" s="38" t="str">
        <x:v>N</x:v>
      </x:c>
      <x:c r="P47" s="38" t="str">
        <x:v>360</x:v>
      </x:c>
      <x:c r="Q47" s="38" t="str">
        <x:v>DT_1R11001_FRM101</x:v>
      </x:c>
      <x:c r="R47" s="38" t="str">
        <x:v>품목별 수출액 수입액</x:v>
      </x:c>
      <x:c r="S47" s="38" t="str">
        <x:v>13102112831A.A</x:v>
      </x:c>
      <x:c r="T47" s="38" t="str">
        <x:v>N/A</x:v>
      </x:c>
      <x:c r="U47" s="38" t="str">
        <x:v>13103112831T2</x:v>
      </x:c>
      <x:c r="V47" s="38" t="str">
        <x:v>수입액</x:v>
      </x:c>
      <x:c r="W47" s="38" t="str">
        <x:v>총액</x:v>
      </x:c>
      <x:c r="X47" s="38" t="str">
        <x:v>M</x:v>
      </x:c>
      <x:c r="Y47" s="38" t="str">
        <x:v>202405</x:v>
      </x:c>
      <x:c r="Z47" s="38" t="str">
        <x:v>N/A</x:v>
      </x:c>
      <x:c r="AA47" s="41" t="str">
        <x:v>53132937.0</x:v>
      </x:c>
      <x:c r="AB47" s="41" t="str">
        <x:v>N/A</x:v>
      </x:c>
      <x:c r="AC47" s="41" t="str">
        <x:v>천달러</x:v>
      </x:c>
      <x:c r="AD47" s="41" t="str">
        <x:v>53132937.0</x:v>
      </x:c>
      <x:c r="AE47" s="39" t="str">
        <x:v>MCP current value × source unit scale (1)</x:v>
      </x:c>
      <x:c r="AF47" s="39" t="str">
        <x:v>MCP_ACTUAL_VALUE_CONFIRMED</x:v>
      </x:c>
      <x:c r="AG47" s="39" t="str">
        <x:v>KOSIS_MCP_GET_DATA</x:v>
      </x:c>
      <x:c r="AH47" s="39" t="str">
        <x:v>https://kosis.kr/statHtml/statHtml.do?orgId=360&amp;tblId=DT_1R11001_FRM101&amp;vw_cd=MT_ZTITLE&amp;list_id=&amp;seqNo=&amp;lang_mode=ko&amp;language=kor&amp;obj_var_id=&amp;itm_id=&amp;conn_path=MT_ZTITLE</x:v>
      </x:c>
      <x:c r="AI47" s="38" t="str">
        <x:v>1-20</x:v>
      </x:c>
      <x:c r="AJ47" s="38" t="n">
        <x:v>46239.35054620371</x:v>
      </x:c>
    </x:row>
    <x:row r="48">
      <x:c r="A48" s="38" t="str">
        <x:v>MCPG-047</x:v>
      </x:c>
      <x:c r="B48" s="38" t="str">
        <x:v>C03192</x:v>
      </x:c>
      <x:c r="C48" s="102" t="str">
        <x:v>A0406</x:v>
      </x:c>
      <x:c r="D48" s="39" t="str">
        <x:v>설연휴 영향에 1월 수출, 16개월만에 마이너스...반도체는 건재</x:v>
      </x:c>
      <x:c r="E48" s="39" t="str">
        <x:v>2025-02-01</x:v>
      </x:c>
      <x:c r="F48" s="39" t="str">
        <x:v>https://www.chosun.com/economy/industry-company/2025/02/01/EJLSTEFHI5DIBDJ2EDKHVA5SYQ</x:v>
      </x:c>
      <x:c r="G48" s="39" t="str">
        <x:v>산업통상자원부는 1월 수출이 전년 동월 대비 10.3% 감소한 491억 달러를 기록했다고 1일 밝혔다.</x:v>
      </x:c>
      <x:c r="H48" s="38" t="str">
        <x:v>CHANGE_RATE</x:v>
      </x:c>
      <x:c r="I48" s="40" t="str">
        <x:v>10.3</x:v>
      </x:c>
      <x:c r="J48" s="38" t="str">
        <x:v>['월', '%', '일']</x:v>
      </x:c>
      <x:c r="K48" s="38" t="str">
        <x:v>REFUTES</x:v>
      </x:c>
      <x:c r="L48" s="38" t="str">
        <x:v>FULL_KOSIS_MCP</x:v>
      </x:c>
      <x:c r="M48" s="38" t="str">
        <x:v>Y</x:v>
      </x:c>
      <x:c r="N48" s="38" t="str">
        <x:v>Y</x:v>
      </x:c>
      <x:c r="O48" s="38" t="str">
        <x:v>N</x:v>
      </x:c>
      <x:c r="P48" s="38" t="str">
        <x:v>360</x:v>
      </x:c>
      <x:c r="Q48" s="38" t="str">
        <x:v>DT_1R11001_FRM101</x:v>
      </x:c>
      <x:c r="R48" s="38" t="str">
        <x:v>품목별 수출액 수입액</x:v>
      </x:c>
      <x:c r="S48" s="38" t="str">
        <x:v>13102112831A.7763</x:v>
      </x:c>
      <x:c r="T48" s="38" t="str">
        <x:v>N/A</x:v>
      </x:c>
      <x:c r="U48" s="38" t="str">
        <x:v>13103112831T1</x:v>
      </x:c>
      <x:c r="V48" s="38" t="str">
        <x:v>수출액</x:v>
      </x:c>
      <x:c r="W48" s="38" t="str">
        <x:v>다이오드트랜지스터 기타 이와 유사한 반도체 디바이스</x:v>
      </x:c>
      <x:c r="X48" s="38" t="str">
        <x:v>M</x:v>
      </x:c>
      <x:c r="Y48" s="38" t="str">
        <x:v>202401</x:v>
      </x:c>
      <x:c r="Z48" s="38" t="str">
        <x:v>202301</x:v>
      </x:c>
      <x:c r="AA48" s="41" t="str">
        <x:v>362260.0</x:v>
      </x:c>
      <x:c r="AB48" s="41" t="str">
        <x:v>337745.0</x:v>
      </x:c>
      <x:c r="AC48" s="41" t="str">
        <x:v>천달러</x:v>
      </x:c>
      <x:c r="AD48" s="41" t="str">
        <x:v>7.258434617832981</x:v>
      </x:c>
      <x:c r="AE48" s="39" t="str">
        <x:v>(MCP current − MCP previous) / |MCP previous| × 100</x:v>
      </x:c>
      <x:c r="AF48" s="39" t="str">
        <x:v>MCP_ACTUAL_VALUE_CONFIRMED</x:v>
      </x:c>
      <x:c r="AG48" s="39" t="str">
        <x:v>KOSIS_MCP_GET_DATA</x:v>
      </x:c>
      <x:c r="AH48" s="39" t="str">
        <x:v>https://kosis.kr/statHtml/statHtml.do?orgId=360&amp;tblId=DT_1R11001_FRM101&amp;vw_cd=MT_ZTITLE&amp;list_id=&amp;seqNo=&amp;lang_mode=ko&amp;language=kor&amp;obj_var_id=&amp;itm_id=&amp;conn_path=MT_ZTITLE</x:v>
      </x:c>
      <x:c r="AI48" s="38" t="str">
        <x:v>1-20</x:v>
      </x:c>
      <x:c r="AJ48" s="38" t="n">
        <x:v>46239.350546215275</x:v>
      </x:c>
    </x:row>
    <x:row r="49">
      <x:c r="A49" s="38" t="str">
        <x:v>MCPG-048</x:v>
      </x:c>
      <x:c r="B49" s="38" t="str">
        <x:v>C03195</x:v>
      </x:c>
      <x:c r="C49" s="102" t="str">
        <x:v>A0406</x:v>
      </x:c>
      <x:c r="D49" s="39" t="str">
        <x:v>설연휴 영향에 1월 수출, 16개월만에 마이너스...반도체는 건재</x:v>
      </x:c>
      <x:c r="E49" s="39" t="str">
        <x:v>2025-02-01</x:v>
      </x:c>
      <x:c r="F49" s="39" t="str">
        <x:v>https://www.chosun.com/economy/industry-company/2025/02/01/EJLSTEFHI5DIBDJ2EDKHVA5SYQ</x:v>
      </x:c>
      <x:c r="G49" s="39" t="str">
        <x:v>품목별로는 한국의 최대 수출 품목인 반도체가 101억 달러(+8.1%)로 역대 1월 중 2022년 108억 달러에 이은 2위 실적을 기록하면서, 15개월 연속 수출 플러스 및 9개월 연속 수출 100억 달러 이상의 흐름을 이어갔다.</x:v>
      </x:c>
      <x:c r="H49" s="38" t="str">
        <x:v>LEVEL</x:v>
      </x:c>
      <x:c r="I49" s="40" t="str">
        <x:v>100.0</x:v>
      </x:c>
      <x:c r="J49" s="38" t="str">
        <x:v>['%', '월', '년', '개', '개']</x:v>
      </x:c>
      <x:c r="K49" s="38" t="str">
        <x:v>REFUTES</x:v>
      </x:c>
      <x:c r="L49" s="38" t="str">
        <x:v>FULL_KOSIS_MCP</x:v>
      </x:c>
      <x:c r="M49" s="38" t="str">
        <x:v>Y</x:v>
      </x:c>
      <x:c r="N49" s="38" t="str">
        <x:v>Y</x:v>
      </x:c>
      <x:c r="O49" s="38" t="str">
        <x:v>N</x:v>
      </x:c>
      <x:c r="P49" s="38" t="str">
        <x:v>360</x:v>
      </x:c>
      <x:c r="Q49" s="38" t="str">
        <x:v>DT_1R11001_FRM101</x:v>
      </x:c>
      <x:c r="R49" s="38" t="str">
        <x:v>품목별 수출액 수입액</x:v>
      </x:c>
      <x:c r="S49" s="38" t="str">
        <x:v>13102112831A.7763</x:v>
      </x:c>
      <x:c r="T49" s="38" t="str">
        <x:v>N/A</x:v>
      </x:c>
      <x:c r="U49" s="38" t="str">
        <x:v>13103112831T1</x:v>
      </x:c>
      <x:c r="V49" s="38" t="str">
        <x:v>수출액</x:v>
      </x:c>
      <x:c r="W49" s="38" t="str">
        <x:v>다이오드트랜지스터 기타 이와 유사한 반도체 디바이스</x:v>
      </x:c>
      <x:c r="X49" s="38" t="str">
        <x:v>M</x:v>
      </x:c>
      <x:c r="Y49" s="38" t="str">
        <x:v>202201</x:v>
      </x:c>
      <x:c r="Z49" s="38" t="str">
        <x:v>N/A</x:v>
      </x:c>
      <x:c r="AA49" s="41" t="str">
        <x:v>368308.0</x:v>
      </x:c>
      <x:c r="AB49" s="41" t="str">
        <x:v>N/A</x:v>
      </x:c>
      <x:c r="AC49" s="41" t="str">
        <x:v>천달러</x:v>
      </x:c>
      <x:c r="AD49" s="41" t="str">
        <x:v>3.6830799999999995</x:v>
      </x:c>
      <x:c r="AE49" s="39" t="str">
        <x:v>MCP current value × source unit scale (1e-05)</x:v>
      </x:c>
      <x:c r="AF49" s="39" t="str">
        <x:v>MCP_ACTUAL_VALUE_CONFIRMED</x:v>
      </x:c>
      <x:c r="AG49" s="39" t="str">
        <x:v>KOSIS_MCP_GET_DATA</x:v>
      </x:c>
      <x:c r="AH49" s="39" t="str">
        <x:v>https://kosis.kr/statHtml/statHtml.do?orgId=360&amp;tblId=DT_1R11001_FRM101&amp;vw_cd=MT_ZTITLE&amp;list_id=&amp;seqNo=&amp;lang_mode=ko&amp;language=kor&amp;obj_var_id=&amp;itm_id=&amp;conn_path=MT_ZTITLE</x:v>
      </x:c>
      <x:c r="AI49" s="38" t="str">
        <x:v>21-60</x:v>
      </x:c>
      <x:c r="AJ49" s="38" t="n">
        <x:v>46239.35525020833</x:v>
      </x:c>
    </x:row>
    <x:row r="50">
      <x:c r="A50" s="38" t="str">
        <x:v>MCPG-049</x:v>
      </x:c>
      <x:c r="B50" s="38" t="str">
        <x:v>C03503</x:v>
      </x:c>
      <x:c r="C50" s="102" t="str">
        <x:v>A0440</x:v>
      </x:c>
      <x:c r="D50" s="39" t="str">
        <x:v>작년 소매판매 2.2% 줄어... 21년 만에 최대 감소폭</x:v>
      </x:c>
      <x:c r="E50" s="39" t="str">
        <x:v>2025-02-03</x:v>
      </x:c>
      <x:c r="F50" s="39" t="str">
        <x:v>https://www.chosun.com/economy/economy_general/2025/02/03/Y7UQBA7SO5AJTKSOUUK52DYR34</x:v>
      </x:c>
      <x:c r="G50" s="39" t="str">
        <x:v>제조업 생산이 전월 대비 4.4% 늘었는데, 특히 반도체(5.6%)와 자동차(10.7%) 등 주요 수출 품목 생산이 늘었다.</x:v>
      </x:c>
      <x:c r="H50" s="38" t="str">
        <x:v>CHANGE_RATE</x:v>
      </x:c>
      <x:c r="I50" s="40" t="str">
        <x:v>10.7</x:v>
      </x:c>
      <x:c r="J50" s="38" t="str">
        <x:v>['%', '%', '%']</x:v>
      </x:c>
      <x:c r="K50" s="38" t="str">
        <x:v>REFUTES</x:v>
      </x:c>
      <x:c r="L50" s="38" t="str">
        <x:v>FULL_KOSIS_MCP</x:v>
      </x:c>
      <x:c r="M50" s="38" t="str">
        <x:v>Y</x:v>
      </x:c>
      <x:c r="N50" s="38" t="str">
        <x:v>Y</x:v>
      </x:c>
      <x:c r="O50" s="38" t="str">
        <x:v>N</x:v>
      </x:c>
      <x:c r="P50" s="38" t="str">
        <x:v>360</x:v>
      </x:c>
      <x:c r="Q50" s="38" t="str">
        <x:v>DT_1R11001_FRM101</x:v>
      </x:c>
      <x:c r="R50" s="38" t="str">
        <x:v>품목별 수출액 수입액</x:v>
      </x:c>
      <x:c r="S50" s="38" t="str">
        <x:v>13102112831A.7763</x:v>
      </x:c>
      <x:c r="T50" s="38" t="str">
        <x:v>N/A</x:v>
      </x:c>
      <x:c r="U50" s="38" t="str">
        <x:v>13103112831T1</x:v>
      </x:c>
      <x:c r="V50" s="38" t="str">
        <x:v>수출액</x:v>
      </x:c>
      <x:c r="W50" s="38" t="str">
        <x:v>다이오드트랜지스터 기타 이와 유사한 반도체 디바이스</x:v>
      </x:c>
      <x:c r="X50" s="38" t="str">
        <x:v>M</x:v>
      </x:c>
      <x:c r="Y50" s="38" t="str">
        <x:v>202501</x:v>
      </x:c>
      <x:c r="Z50" s="38" t="str">
        <x:v>202412</x:v>
      </x:c>
      <x:c r="AA50" s="41" t="str">
        <x:v>269627.0</x:v>
      </x:c>
      <x:c r="AB50" s="41" t="str">
        <x:v>274344.0</x:v>
      </x:c>
      <x:c r="AC50" s="41" t="str">
        <x:v>천달러</x:v>
      </x:c>
      <x:c r="AD50" s="41" t="str">
        <x:v>-1.7193742163123669</x:v>
      </x:c>
      <x:c r="AE50" s="39" t="str">
        <x:v>(MCP current − MCP previous) / |MCP previous| × 100</x:v>
      </x:c>
      <x:c r="AF50" s="39" t="str">
        <x:v>MCP_ACTUAL_VALUE_CONFIRMED</x:v>
      </x:c>
      <x:c r="AG50" s="39" t="str">
        <x:v>KOSIS_MCP_GET_DATA</x:v>
      </x:c>
      <x:c r="AH50" s="39" t="str">
        <x:v>https://kosis.kr/statHtml/statHtml.do?orgId=360&amp;tblId=DT_1R11001_FRM101&amp;vw_cd=MT_ZTITLE&amp;list_id=&amp;seqNo=&amp;lang_mode=ko&amp;language=kor&amp;obj_var_id=&amp;itm_id=&amp;conn_path=MT_ZTITLE</x:v>
      </x:c>
      <x:c r="AI50" s="38" t="str">
        <x:v>21-60</x:v>
      </x:c>
      <x:c r="AJ50" s="38" t="n">
        <x:v>46239.35525020833</x:v>
      </x:c>
    </x:row>
    <x:row r="51">
      <x:c r="A51" s="38" t="str">
        <x:v>MCPG-050</x:v>
      </x:c>
      <x:c r="B51" s="38" t="str">
        <x:v>C03627</x:v>
      </x:c>
      <x:c r="C51" s="102" t="str">
        <x:v>A0458</x:v>
      </x:c>
      <x:c r="D51" s="39" t="str">
        <x:v>수입차 업체 “전기차 보조금 미리 쏴드려요”</x:v>
      </x:c>
      <x:c r="E51" s="39" t="str">
        <x:v>2025-02-05</x:v>
      </x:c>
      <x:c r="F51" s="39" t="str">
        <x:v>https://www.chosun.com/economy/auto/2025/02/05/RDPWMBCZQVAAVAM6VMD2XFS5NU</x:v>
      </x:c>
      <x:c r="G51" s="39" t="str">
        <x:v>자동차 시장조사 업체 카이즈유데이터센터에 따르면, 작년 수입 승용차 판매량은 재작년 대비 7.1% 급감했다.</x:v>
      </x:c>
      <x:c r="H51" s="38" t="str">
        <x:v>CHANGE_RATE</x:v>
      </x:c>
      <x:c r="I51" s="40" t="str">
        <x:v>7.1</x:v>
      </x:c>
      <x:c r="J51" s="38" t="str">
        <x:v>['%']</x:v>
      </x:c>
      <x:c r="K51" s="38" t="str">
        <x:v>REFUTES</x:v>
      </x:c>
      <x:c r="L51" s="38" t="str">
        <x:v>FULL_KOSIS_MCP</x:v>
      </x:c>
      <x:c r="M51" s="38" t="str">
        <x:v>Y</x:v>
      </x:c>
      <x:c r="N51" s="38" t="str">
        <x:v>Y</x:v>
      </x:c>
      <x:c r="O51" s="38" t="str">
        <x:v>N</x:v>
      </x:c>
      <x:c r="P51" s="38" t="str">
        <x:v>360</x:v>
      </x:c>
      <x:c r="Q51" s="38" t="str">
        <x:v>DT_1R11001_FRM101</x:v>
      </x:c>
      <x:c r="R51" s="38" t="str">
        <x:v>품목별 수출액 수입액</x:v>
      </x:c>
      <x:c r="S51" s="38" t="str">
        <x:v>13102112831A.781</x:v>
      </x:c>
      <x:c r="T51" s="38" t="str">
        <x:v>N/A</x:v>
      </x:c>
      <x:c r="U51" s="38" t="str">
        <x:v>13103112831T2</x:v>
      </x:c>
      <x:c r="V51" s="38" t="str">
        <x:v>수입액</x:v>
      </x:c>
      <x:c r="W51" s="38" t="str">
        <x:v>승용자동차 및 기타의 차량</x:v>
      </x:c>
      <x:c r="X51" s="38" t="str">
        <x:v>Y</x:v>
      </x:c>
      <x:c r="Y51" s="38" t="str">
        <x:v>2023</x:v>
      </x:c>
      <x:c r="Z51" s="38" t="str">
        <x:v>2022</x:v>
      </x:c>
      <x:c r="AA51" s="41" t="str">
        <x:v>14508707.0</x:v>
      </x:c>
      <x:c r="AB51" s="41" t="str">
        <x:v>14048939.0</x:v>
      </x:c>
      <x:c r="AC51" s="41" t="str">
        <x:v>천달러</x:v>
      </x:c>
      <x:c r="AD51" s="41" t="str">
        <x:v>3.272617241771781</x:v>
      </x:c>
      <x:c r="AE51" s="39" t="str">
        <x:v>(MCP current − MCP previous) / |MCP previous| × 100</x:v>
      </x:c>
      <x:c r="AF51" s="39" t="str">
        <x:v>MCP_ACTUAL_VALUE_CONFIRMED</x:v>
      </x:c>
      <x:c r="AG51" s="39" t="str">
        <x:v>KOSIS_MCP_GET_DATA</x:v>
      </x:c>
      <x:c r="AH51" s="39" t="str">
        <x:v>https://kosis.kr/statHtml/statHtml.do?orgId=360&amp;tblId=DT_1R11001_FRM101&amp;vw_cd=MT_ZTITLE&amp;list_id=&amp;seqNo=&amp;lang_mode=ko&amp;language=kor&amp;obj_var_id=&amp;itm_id=&amp;conn_path=MT_ZTITLE</x:v>
      </x:c>
      <x:c r="AI51" s="38" t="str">
        <x:v>21-60</x:v>
      </x:c>
      <x:c r="AJ51" s="38" t="n">
        <x:v>46239.35525020833</x:v>
      </x:c>
    </x:row>
    <x:row r="52">
      <x:c r="A52" s="38" t="str">
        <x:v>MCPG-051</x:v>
      </x:c>
      <x:c r="B52" s="38" t="str">
        <x:v>C03780</x:v>
      </x:c>
      <x:c r="C52" s="102" t="str">
        <x:v>A0478</x:v>
      </x:c>
      <x:c r="D52" s="39" t="str">
        <x:v>작년 경상수지 흑자 990억달러...전년보다 3배로↑,역대 두번째 규모</x:v>
      </x:c>
      <x:c r="E52" s="39" t="str">
        <x:v>2025-02-06</x:v>
      </x:c>
      <x:c r="F52" s="39" t="str">
        <x:v>https://www.chosun.com/economy/economy_general/2025/02/06/RO32ISHXHREYLO3V4B2GJHWXEI</x:v>
      </x:c>
      <x:c r="G52" s="39" t="str">
        <x:v>수송장비, 반도체제조장비 같은 자본재와, 소비재 수입이 늘며 수입도 전년대비 4.2% 가량 늘었다.</x:v>
      </x:c>
      <x:c r="H52" s="38" t="str">
        <x:v>CHANGE_RATE</x:v>
      </x:c>
      <x:c r="I52" s="40" t="str">
        <x:v>4.2</x:v>
      </x:c>
      <x:c r="J52" s="38" t="str">
        <x:v>['%']</x:v>
      </x:c>
      <x:c r="K52" s="38" t="str">
        <x:v>REFUTES</x:v>
      </x:c>
      <x:c r="L52" s="38" t="str">
        <x:v>FULL_KOSIS_MCP</x:v>
      </x:c>
      <x:c r="M52" s="38" t="str">
        <x:v>Y</x:v>
      </x:c>
      <x:c r="N52" s="38" t="str">
        <x:v>Y</x:v>
      </x:c>
      <x:c r="O52" s="38" t="str">
        <x:v>N</x:v>
      </x:c>
      <x:c r="P52" s="38" t="str">
        <x:v>360</x:v>
      </x:c>
      <x:c r="Q52" s="38" t="str">
        <x:v>DT_1R11001_FRM101</x:v>
      </x:c>
      <x:c r="R52" s="38" t="str">
        <x:v>품목별 수출액 수입액</x:v>
      </x:c>
      <x:c r="S52" s="38" t="str">
        <x:v>13102112831A.7763</x:v>
      </x:c>
      <x:c r="T52" s="38" t="str">
        <x:v>N/A</x:v>
      </x:c>
      <x:c r="U52" s="38" t="str">
        <x:v>13103112831T2</x:v>
      </x:c>
      <x:c r="V52" s="38" t="str">
        <x:v>수입액</x:v>
      </x:c>
      <x:c r="W52" s="38" t="str">
        <x:v>다이오드트랜지스터 기타 이와 유사한 반도체 디바이스</x:v>
      </x:c>
      <x:c r="X52" s="38" t="str">
        <x:v>Y</x:v>
      </x:c>
      <x:c r="Y52" s="38" t="str">
        <x:v>2024</x:v>
      </x:c>
      <x:c r="Z52" s="38" t="str">
        <x:v>2023</x:v>
      </x:c>
      <x:c r="AA52" s="41" t="str">
        <x:v>4647600.0</x:v>
      </x:c>
      <x:c r="AB52" s="41" t="str">
        <x:v>4959330.0</x:v>
      </x:c>
      <x:c r="AC52" s="41" t="str">
        <x:v>천달러</x:v>
      </x:c>
      <x:c r="AD52" s="41" t="str">
        <x:v>-6.285728112466805</x:v>
      </x:c>
      <x:c r="AE52" s="39" t="str">
        <x:v>(MCP current − MCP previous) / |MCP previous| × 100</x:v>
      </x:c>
      <x:c r="AF52" s="39" t="str">
        <x:v>MCP_ACTUAL_VALUE_CONFIRMED</x:v>
      </x:c>
      <x:c r="AG52" s="39" t="str">
        <x:v>KOSIS_MCP_GET_DATA</x:v>
      </x:c>
      <x:c r="AH52" s="39" t="str">
        <x:v>https://kosis.kr/statHtml/statHtml.do?orgId=360&amp;tblId=DT_1R11001_FRM101&amp;vw_cd=MT_ZTITLE&amp;list_id=&amp;seqNo=&amp;lang_mode=ko&amp;language=kor&amp;obj_var_id=&amp;itm_id=&amp;conn_path=MT_ZTITLE</x:v>
      </x:c>
      <x:c r="AI52" s="38" t="str">
        <x:v>21-60</x:v>
      </x:c>
      <x:c r="AJ52" s="38" t="n">
        <x:v>46239.35525020833</x:v>
      </x:c>
    </x:row>
    <x:row r="53">
      <x:c r="A53" s="38" t="str">
        <x:v>MCPG-052</x:v>
      </x:c>
      <x:c r="B53" s="38" t="str">
        <x:v>C03905</x:v>
      </x:c>
      <x:c r="C53" s="102" t="str">
        <x:v>A0498</x:v>
      </x:c>
      <x:c r="D53" s="39" t="str">
        <x:v>세계식량가격 두달째 하락…브라질 작황 개선에 설탕 6.8%↓</x:v>
      </x:c>
      <x:c r="E53" s="39" t="str">
        <x:v>2025-02-08</x:v>
      </x:c>
      <x:c r="F53" s="39" t="str">
        <x:v>https://www.chosun.com/economy/economy_general/2025/02/08/WJYLZYZR2VDABMOKYTYA76IEGI</x:v>
      </x:c>
      <x:c r="G53" s="39" t="str">
        <x:v>2위 생산국인 인도 정부가 지난 2023년 10월 이후 제한해온 설탕 수출을 재개할 예정이라는 소식이 나온 점도 설탕 가격 지수를 낮추는 데 한몫했다.</x:v>
      </x:c>
      <x:c r="H53" s="38" t="str">
        <x:v>LEVEL</x:v>
      </x:c>
      <x:c r="I53" s="40" t="str">
        <x:v>2.0</x:v>
      </x:c>
      <x:c r="J53" s="38" t="str">
        <x:v>['년', '월']</x:v>
      </x:c>
      <x:c r="K53" s="38" t="str">
        <x:v>REFUTES</x:v>
      </x:c>
      <x:c r="L53" s="38" t="str">
        <x:v>FULL_KOSIS_MCP</x:v>
      </x:c>
      <x:c r="M53" s="38" t="str">
        <x:v>Y</x:v>
      </x:c>
      <x:c r="N53" s="38" t="str">
        <x:v>Y</x:v>
      </x:c>
      <x:c r="O53" s="38" t="str">
        <x:v>N</x:v>
      </x:c>
      <x:c r="P53" s="38" t="str">
        <x:v>360</x:v>
      </x:c>
      <x:c r="Q53" s="38" t="str">
        <x:v>DT_1R11001_FRM101</x:v>
      </x:c>
      <x:c r="R53" s="38" t="str">
        <x:v>품목별 수출액 수입액</x:v>
      </x:c>
      <x:c r="S53" s="38" t="str">
        <x:v>13102112831A.A</x:v>
      </x:c>
      <x:c r="T53" s="38" t="str">
        <x:v>N/A</x:v>
      </x:c>
      <x:c r="U53" s="38" t="str">
        <x:v>13103112831T1</x:v>
      </x:c>
      <x:c r="V53" s="38" t="str">
        <x:v>수출액</x:v>
      </x:c>
      <x:c r="W53" s="38" t="str">
        <x:v>총액</x:v>
      </x:c>
      <x:c r="X53" s="38" t="str">
        <x:v>M</x:v>
      </x:c>
      <x:c r="Y53" s="38" t="str">
        <x:v>202310</x:v>
      </x:c>
      <x:c r="Z53" s="38" t="str">
        <x:v>N/A</x:v>
      </x:c>
      <x:c r="AA53" s="41" t="str">
        <x:v>54989950.0</x:v>
      </x:c>
      <x:c r="AB53" s="41" t="str">
        <x:v>N/A</x:v>
      </x:c>
      <x:c r="AC53" s="41" t="str">
        <x:v>천달러</x:v>
      </x:c>
      <x:c r="AD53" s="41" t="str">
        <x:v>54989950.0</x:v>
      </x:c>
      <x:c r="AE53" s="39" t="str">
        <x:v>MCP current value × source unit scale (1)</x:v>
      </x:c>
      <x:c r="AF53" s="39" t="str">
        <x:v>MCP_ACTUAL_VALUE_CONFIRMED</x:v>
      </x:c>
      <x:c r="AG53" s="39" t="str">
        <x:v>KOSIS_MCP_GET_DATA</x:v>
      </x:c>
      <x:c r="AH53" s="39" t="str">
        <x:v>https://kosis.kr/statHtml/statHtml.do?orgId=360&amp;tblId=DT_1R11001_FRM101&amp;vw_cd=MT_ZTITLE&amp;list_id=&amp;seqNo=&amp;lang_mode=ko&amp;language=kor&amp;obj_var_id=&amp;itm_id=&amp;conn_path=MT_ZTITLE</x:v>
      </x:c>
      <x:c r="AI53" s="38" t="str">
        <x:v>21-60</x:v>
      </x:c>
      <x:c r="AJ53" s="38" t="n">
        <x:v>46239.35525021991</x:v>
      </x:c>
    </x:row>
    <x:row r="54">
      <x:c r="A54" s="38" t="str">
        <x:v>MCPG-053</x:v>
      </x:c>
      <x:c r="B54" s="38" t="str">
        <x:v>C04226</x:v>
      </x:c>
      <x:c r="C54" s="102" t="str">
        <x:v>A0535</x:v>
      </x:c>
      <x:c r="D54" s="39" t="str">
        <x:v>‘트럼프 관세 위협’ 멕시코, 1월 車 수출 급감…美 업체에 타격</x:v>
      </x:c>
      <x:c r="E54" s="39" t="str">
        <x:v>2025-02-11</x:v>
      </x:c>
      <x:c r="F54" s="39" t="str">
        <x:v>https://www.chosun.com/economy/auto/2025/02/11/3KETX2SFHZCMFCE5PLN4GTWIKM</x:v>
      </x:c>
      <x:c r="G54" s="39" t="str">
        <x:v>제너럴모터스(GM)도 지난달 수출 물량(4만8778대)이 1년 새 23.8% 줄어든 것으로 집계됐다.</x:v>
      </x:c>
      <x:c r="H54" s="38" t="str">
        <x:v>LEVEL</x:v>
      </x:c>
      <x:c r="I54" s="40" t="str">
        <x:v>23.8</x:v>
      </x:c>
      <x:c r="J54" s="38" t="str">
        <x:v>['년', '%']</x:v>
      </x:c>
      <x:c r="K54" s="38" t="str">
        <x:v>REFUTES</x:v>
      </x:c>
      <x:c r="L54" s="38" t="str">
        <x:v>FULL_KOSIS_MCP</x:v>
      </x:c>
      <x:c r="M54" s="38" t="str">
        <x:v>Y</x:v>
      </x:c>
      <x:c r="N54" s="38" t="str">
        <x:v>Y</x:v>
      </x:c>
      <x:c r="O54" s="38" t="str">
        <x:v>N</x:v>
      </x:c>
      <x:c r="P54" s="38" t="str">
        <x:v>360</x:v>
      </x:c>
      <x:c r="Q54" s="38" t="str">
        <x:v>DT_1R11001_FRM101</x:v>
      </x:c>
      <x:c r="R54" s="38" t="str">
        <x:v>품목별 수출액 수입액</x:v>
      </x:c>
      <x:c r="S54" s="38" t="str">
        <x:v>13102112831A.A</x:v>
      </x:c>
      <x:c r="T54" s="38" t="str">
        <x:v>N/A</x:v>
      </x:c>
      <x:c r="U54" s="38" t="str">
        <x:v>13103112831T1</x:v>
      </x:c>
      <x:c r="V54" s="38" t="str">
        <x:v>수출액</x:v>
      </x:c>
      <x:c r="W54" s="38" t="str">
        <x:v>총액</x:v>
      </x:c>
      <x:c r="X54" s="38" t="str">
        <x:v>M</x:v>
      </x:c>
      <x:c r="Y54" s="38" t="str">
        <x:v>202501</x:v>
      </x:c>
      <x:c r="Z54" s="38" t="str">
        <x:v>N/A</x:v>
      </x:c>
      <x:c r="AA54" s="41" t="str">
        <x:v>49176984.0</x:v>
      </x:c>
      <x:c r="AB54" s="41" t="str">
        <x:v>N/A</x:v>
      </x:c>
      <x:c r="AC54" s="41" t="str">
        <x:v>천달러</x:v>
      </x:c>
      <x:c r="AD54" s="41" t="str">
        <x:v>49176984.0</x:v>
      </x:c>
      <x:c r="AE54" s="39" t="str">
        <x:v>MCP current value × source unit scale (1)</x:v>
      </x:c>
      <x:c r="AF54" s="39" t="str">
        <x:v>MCP_ACTUAL_VALUE_CONFIRMED</x:v>
      </x:c>
      <x:c r="AG54" s="39" t="str">
        <x:v>KOSIS_MCP_GET_DATA</x:v>
      </x:c>
      <x:c r="AH54" s="39" t="str">
        <x:v>https://kosis.kr/statHtml/statHtml.do?orgId=360&amp;tblId=DT_1R11001_FRM101&amp;vw_cd=MT_ZTITLE&amp;list_id=&amp;seqNo=&amp;lang_mode=ko&amp;language=kor&amp;obj_var_id=&amp;itm_id=&amp;conn_path=MT_ZTITLE</x:v>
      </x:c>
      <x:c r="AI54" s="38" t="str">
        <x:v>21-60</x:v>
      </x:c>
      <x:c r="AJ54" s="38" t="n">
        <x:v>46239.35525021991</x:v>
      </x:c>
    </x:row>
    <x:row r="55">
      <x:c r="A55" s="38" t="str">
        <x:v>MCPG-054</x:v>
      </x:c>
      <x:c r="B55" s="38" t="str">
        <x:v>C04395</x:v>
      </x:c>
      <x:c r="C55" s="102" t="str">
        <x:v>A0555</x:v>
      </x:c>
      <x:c r="D55" s="39" t="str">
        <x:v>‘무역 전쟁’ 먹구름… KDI도 성장률 전망 1.6%로 낮췄다</x:v>
      </x:c>
      <x:c r="E55" s="39" t="str">
        <x:v>2025-02-12</x:v>
      </x:c>
      <x:c r="F55" s="39" t="str">
        <x:v>https://www.chosun.com/economy/economy_general/2025/02/12/ET3EQF2MVBAHFFHKLSQYVTVVTM</x:v>
      </x:c>
      <x:c r="G55" s="39" t="str">
        <x:v>하지만 지난달 수출은 전년 동월 대비 10.3% 급감했다.</x:v>
      </x:c>
      <x:c r="H55" s="38" t="str">
        <x:v>CHANGE_RATE</x:v>
      </x:c>
      <x:c r="I55" s="40" t="str">
        <x:v>10.3</x:v>
      </x:c>
      <x:c r="J55" s="38" t="str">
        <x:v>['%']</x:v>
      </x:c>
      <x:c r="K55" s="38" t="str">
        <x:v>REFUTES</x:v>
      </x:c>
      <x:c r="L55" s="38" t="str">
        <x:v>FULL_KOSIS_MCP</x:v>
      </x:c>
      <x:c r="M55" s="38" t="str">
        <x:v>Y</x:v>
      </x:c>
      <x:c r="N55" s="38" t="str">
        <x:v>Y</x:v>
      </x:c>
      <x:c r="O55" s="38" t="str">
        <x:v>N</x:v>
      </x:c>
      <x:c r="P55" s="38" t="str">
        <x:v>360</x:v>
      </x:c>
      <x:c r="Q55" s="38" t="str">
        <x:v>DT_1R11001_FRM101</x:v>
      </x:c>
      <x:c r="R55" s="38" t="str">
        <x:v>품목별 수출액 수입액</x:v>
      </x:c>
      <x:c r="S55" s="38" t="str">
        <x:v>13102112831A.A</x:v>
      </x:c>
      <x:c r="T55" s="38" t="str">
        <x:v>N/A</x:v>
      </x:c>
      <x:c r="U55" s="38" t="str">
        <x:v>13103112831T1</x:v>
      </x:c>
      <x:c r="V55" s="38" t="str">
        <x:v>수출액</x:v>
      </x:c>
      <x:c r="W55" s="38" t="str">
        <x:v>총액</x:v>
      </x:c>
      <x:c r="X55" s="38" t="str">
        <x:v>M</x:v>
      </x:c>
      <x:c r="Y55" s="38" t="str">
        <x:v>202401</x:v>
      </x:c>
      <x:c r="Z55" s="38" t="str">
        <x:v>202301</x:v>
      </x:c>
      <x:c r="AA55" s="41" t="str">
        <x:v>54709823.0</x:v>
      </x:c>
      <x:c r="AB55" s="41" t="str">
        <x:v>46339145.0</x:v>
      </x:c>
      <x:c r="AC55" s="41" t="str">
        <x:v>천달러</x:v>
      </x:c>
      <x:c r="AD55" s="41" t="str">
        <x:v>18.0639457201897</x:v>
      </x:c>
      <x:c r="AE55" s="39" t="str">
        <x:v>(MCP current − MCP previous) / |MCP previous| × 100</x:v>
      </x:c>
      <x:c r="AF55" s="39" t="str">
        <x:v>MCP_ACTUAL_VALUE_CONFIRMED</x:v>
      </x:c>
      <x:c r="AG55" s="39" t="str">
        <x:v>KOSIS_MCP_GET_DATA</x:v>
      </x:c>
      <x:c r="AH55" s="39" t="str">
        <x:v>https://kosis.kr/statHtml/statHtml.do?orgId=360&amp;tblId=DT_1R11001_FRM101&amp;vw_cd=MT_ZTITLE&amp;list_id=&amp;seqNo=&amp;lang_mode=ko&amp;language=kor&amp;obj_var_id=&amp;itm_id=&amp;conn_path=MT_ZTITLE</x:v>
      </x:c>
      <x:c r="AI55" s="38" t="str">
        <x:v>21-60</x:v>
      </x:c>
      <x:c r="AJ55" s="38" t="n">
        <x:v>46239.35525021991</x:v>
      </x:c>
    </x:row>
    <x:row r="56">
      <x:c r="A56" s="38" t="str">
        <x:v>MCPG-055</x:v>
      </x:c>
      <x:c r="B56" s="38" t="str">
        <x:v>C05003</x:v>
      </x:c>
      <x:c r="C56" s="102" t="str">
        <x:v>A0636</x:v>
      </x:c>
      <x:c r="D56" s="39" t="str">
        <x:v>1월 자동차 수출 줄었지만 하이브리드차 수출은 35% 증가</x:v>
      </x:c>
      <x:c r="E56" s="39" t="str">
        <x:v>2025-02-18</x:v>
      </x:c>
      <x:c r="F56" s="39" t="str">
        <x:v>https://www.chosun.com/economy/industry-company/2025/02/18/3752GX6GLVAGFCIZAPNZLLGDWE</x:v>
      </x:c>
      <x:c r="G56" s="39" t="str">
        <x:v>산업통상자원부는 지난 달 하이브리드차 수출대수가 전년 동월보다 35.5% 증가한 3만5701대를 기록했다고 17일 밝혔다.</x:v>
      </x:c>
      <x:c r="H56" s="38" t="str">
        <x:v>CHANGE_RATE</x:v>
      </x:c>
      <x:c r="I56" s="40" t="str">
        <x:v>35.5</x:v>
      </x:c>
      <x:c r="J56" s="38" t="str">
        <x:v>['%', '일']</x:v>
      </x:c>
      <x:c r="K56" s="38" t="str">
        <x:v>REFUTES</x:v>
      </x:c>
      <x:c r="L56" s="38" t="str">
        <x:v>FULL_KOSIS_MCP</x:v>
      </x:c>
      <x:c r="M56" s="38" t="str">
        <x:v>Y</x:v>
      </x:c>
      <x:c r="N56" s="38" t="str">
        <x:v>Y</x:v>
      </x:c>
      <x:c r="O56" s="38" t="str">
        <x:v>N</x:v>
      </x:c>
      <x:c r="P56" s="38" t="str">
        <x:v>360</x:v>
      </x:c>
      <x:c r="Q56" s="38" t="str">
        <x:v>DT_1R11001_FRM101</x:v>
      </x:c>
      <x:c r="R56" s="38" t="str">
        <x:v>품목별 수출액 수입액</x:v>
      </x:c>
      <x:c r="S56" s="38" t="str">
        <x:v>13102112831A.781</x:v>
      </x:c>
      <x:c r="T56" s="38" t="str">
        <x:v>N/A</x:v>
      </x:c>
      <x:c r="U56" s="38" t="str">
        <x:v>13103112831T1</x:v>
      </x:c>
      <x:c r="V56" s="38" t="str">
        <x:v>수출액</x:v>
      </x:c>
      <x:c r="W56" s="38" t="str">
        <x:v>승용자동차 및 기타의 차량</x:v>
      </x:c>
      <x:c r="X56" s="38" t="str">
        <x:v>M</x:v>
      </x:c>
      <x:c r="Y56" s="38" t="str">
        <x:v>202412</x:v>
      </x:c>
      <x:c r="Z56" s="38" t="str">
        <x:v>202312</x:v>
      </x:c>
      <x:c r="AA56" s="41" t="str">
        <x:v>5833631.0</x:v>
      </x:c>
      <x:c r="AB56" s="41" t="str">
        <x:v>6196407.0</x:v>
      </x:c>
      <x:c r="AC56" s="41" t="str">
        <x:v>천달러</x:v>
      </x:c>
      <x:c r="AD56" s="41" t="str">
        <x:v>-5.854618652390006</x:v>
      </x:c>
      <x:c r="AE56" s="39" t="str">
        <x:v>(MCP current − MCP previous) / |MCP previous| × 100</x:v>
      </x:c>
      <x:c r="AF56" s="39" t="str">
        <x:v>MCP_ACTUAL_VALUE_CONFIRMED</x:v>
      </x:c>
      <x:c r="AG56" s="39" t="str">
        <x:v>KOSIS_MCP_GET_DATA</x:v>
      </x:c>
      <x:c r="AH56" s="39" t="str">
        <x:v>https://kosis.kr/statHtml/statHtml.do?orgId=360&amp;tblId=DT_1R11001_FRM101&amp;vw_cd=MT_ZTITLE&amp;list_id=&amp;seqNo=&amp;lang_mode=ko&amp;language=kor&amp;obj_var_id=&amp;itm_id=&amp;conn_path=MT_ZTITLE</x:v>
      </x:c>
      <x:c r="AI56" s="38" t="str">
        <x:v>21-60</x:v>
      </x:c>
      <x:c r="AJ56" s="38" t="n">
        <x:v>46239.35525021991</x:v>
      </x:c>
    </x:row>
    <x:row r="57">
      <x:c r="A57" s="38" t="str">
        <x:v>MCPG-056</x:v>
      </x:c>
      <x:c r="B57" s="38" t="str">
        <x:v>C05279</x:v>
      </x:c>
      <x:c r="C57" s="102" t="str">
        <x:v>A0673</x:v>
      </x:c>
      <x:c r="D57" s="39" t="str">
        <x:v>1∼20일 수출 16.0% 증가 ↑ 작년 설 기저 효과</x:v>
      </x:c>
      <x:c r="E57" s="39" t="str">
        <x:v>2025-02-21</x:v>
      </x:c>
      <x:c r="F57" s="39" t="str">
        <x:v>https://www.chosun.com/economy/economy_general/2025/02/21/SRNTSTE3VVDHLEYAP7G4Y2GAW4</x:v>
      </x:c>
      <x:c r="G57" s="39" t="str">
        <x:v>1 2월 들어 지난 20일까지 수출액이 353억1600만달러로 전년 동기 대비 16% 늘었다고 관세청이 21일 밝혔다.</x:v>
      </x:c>
      <x:c r="H57" s="38" t="str">
        <x:v>CHANGE_RATE</x:v>
      </x:c>
      <x:c r="I57" s="40" t="str">
        <x:v>16.0</x:v>
      </x:c>
      <x:c r="J57" s="38" t="str">
        <x:v>['월', '일', '%', '일']</x:v>
      </x:c>
      <x:c r="K57" s="38" t="str">
        <x:v>REFUTES</x:v>
      </x:c>
      <x:c r="L57" s="38" t="str">
        <x:v>FULL_KOSIS_MCP</x:v>
      </x:c>
      <x:c r="M57" s="38" t="str">
        <x:v>Y</x:v>
      </x:c>
      <x:c r="N57" s="38" t="str">
        <x:v>Y</x:v>
      </x:c>
      <x:c r="O57" s="38" t="str">
        <x:v>N</x:v>
      </x:c>
      <x:c r="P57" s="38" t="str">
        <x:v>360</x:v>
      </x:c>
      <x:c r="Q57" s="38" t="str">
        <x:v>DT_1R11001_FRM101</x:v>
      </x:c>
      <x:c r="R57" s="38" t="str">
        <x:v>품목별 수출액 수입액</x:v>
      </x:c>
      <x:c r="S57" s="38" t="str">
        <x:v>13102112831A.A</x:v>
      </x:c>
      <x:c r="T57" s="38" t="str">
        <x:v>N/A</x:v>
      </x:c>
      <x:c r="U57" s="38" t="str">
        <x:v>13103112831T1</x:v>
      </x:c>
      <x:c r="V57" s="38" t="str">
        <x:v>수출액</x:v>
      </x:c>
      <x:c r="W57" s="38" t="str">
        <x:v>총액</x:v>
      </x:c>
      <x:c r="X57" s="38" t="str">
        <x:v>M</x:v>
      </x:c>
      <x:c r="Y57" s="38" t="str">
        <x:v>202402</x:v>
      </x:c>
      <x:c r="Z57" s="38" t="str">
        <x:v>202302</x:v>
      </x:c>
      <x:c r="AA57" s="41" t="str">
        <x:v>52076390.0</x:v>
      </x:c>
      <x:c r="AB57" s="41" t="str">
        <x:v>49994593.0</x:v>
      </x:c>
      <x:c r="AC57" s="41" t="str">
        <x:v>천달러</x:v>
      </x:c>
      <x:c r="AD57" s="41" t="str">
        <x:v>4.164044299750575</x:v>
      </x:c>
      <x:c r="AE57" s="39" t="str">
        <x:v>(MCP current − MCP previous) / |MCP previous| × 100</x:v>
      </x:c>
      <x:c r="AF57" s="39" t="str">
        <x:v>MCP_ACTUAL_VALUE_CONFIRMED</x:v>
      </x:c>
      <x:c r="AG57" s="39" t="str">
        <x:v>KOSIS_MCP_GET_DATA</x:v>
      </x:c>
      <x:c r="AH57" s="39" t="str">
        <x:v>https://kosis.kr/statHtml/statHtml.do?orgId=360&amp;tblId=DT_1R11001_FRM101&amp;vw_cd=MT_ZTITLE&amp;list_id=&amp;seqNo=&amp;lang_mode=ko&amp;language=kor&amp;obj_var_id=&amp;itm_id=&amp;conn_path=MT_ZTITLE</x:v>
      </x:c>
      <x:c r="AI57" s="38" t="str">
        <x:v>21-60</x:v>
      </x:c>
      <x:c r="AJ57" s="38" t="n">
        <x:v>46239.355250231485</x:v>
      </x:c>
    </x:row>
    <x:row r="58">
      <x:c r="A58" s="38" t="str">
        <x:v>MCPG-057</x:v>
      </x:c>
      <x:c r="B58" s="38" t="str">
        <x:v>C06102</x:v>
      </x:c>
      <x:c r="C58" s="102" t="str">
        <x:v>A0774</x:v>
      </x:c>
      <x:c r="D58" s="39" t="str">
        <x:v>한 달 만에 수출 플러스, 무역흑자 전환... ‘수출 효자’ 반도체는 감소세로 부진</x:v>
      </x:c>
      <x:c r="E58" s="39" t="str">
        <x:v>2025-03-01</x:v>
      </x:c>
      <x:c r="F58" s="39" t="str">
        <x:v>https://www.chosun.com/economy/industry-company/2025/03/01/2HADMQGKKVDHNEH52IQRPDQFLA</x:v>
      </x:c>
      <x:c r="G58" s="39" t="str">
        <x:v>5 지난달 한국 수출이 작년보다 1% 증가한 526억달러(약 77조원)를 기록하며 플러스로 돌아섰다.</x:v>
      </x:c>
      <x:c r="H58" s="38" t="str">
        <x:v>CHANGE_RATE</x:v>
      </x:c>
      <x:c r="I58" s="40" t="str">
        <x:v>1.0</x:v>
      </x:c>
      <x:c r="J58" s="38" t="str">
        <x:v>['%', '조원']</x:v>
      </x:c>
      <x:c r="K58" s="38" t="str">
        <x:v>REFUTES</x:v>
      </x:c>
      <x:c r="L58" s="38" t="str">
        <x:v>FULL_KOSIS_MCP</x:v>
      </x:c>
      <x:c r="M58" s="38" t="str">
        <x:v>Y</x:v>
      </x:c>
      <x:c r="N58" s="38" t="str">
        <x:v>Y</x:v>
      </x:c>
      <x:c r="O58" s="38" t="str">
        <x:v>N</x:v>
      </x:c>
      <x:c r="P58" s="38" t="str">
        <x:v>360</x:v>
      </x:c>
      <x:c r="Q58" s="38" t="str">
        <x:v>DT_1R11001_FRM101</x:v>
      </x:c>
      <x:c r="R58" s="38" t="str">
        <x:v>품목별 수출액 수입액</x:v>
      </x:c>
      <x:c r="S58" s="38" t="str">
        <x:v>13102112831A.7763</x:v>
      </x:c>
      <x:c r="T58" s="38" t="str">
        <x:v>N/A</x:v>
      </x:c>
      <x:c r="U58" s="38" t="str">
        <x:v>13103112831T1</x:v>
      </x:c>
      <x:c r="V58" s="38" t="str">
        <x:v>수출액</x:v>
      </x:c>
      <x:c r="W58" s="38" t="str">
        <x:v>다이오드트랜지스터 기타 이와 유사한 반도체 디바이스</x:v>
      </x:c>
      <x:c r="X58" s="38" t="str">
        <x:v>M</x:v>
      </x:c>
      <x:c r="Y58" s="38" t="str">
        <x:v>202402</x:v>
      </x:c>
      <x:c r="Z58" s="38" t="str">
        <x:v>202401</x:v>
      </x:c>
      <x:c r="AA58" s="41" t="str">
        <x:v>308807.0</x:v>
      </x:c>
      <x:c r="AB58" s="41" t="str">
        <x:v>362260.0</x:v>
      </x:c>
      <x:c r="AC58" s="41" t="str">
        <x:v>천달러</x:v>
      </x:c>
      <x:c r="AD58" s="41" t="str">
        <x:v>-14.755424280903217</x:v>
      </x:c>
      <x:c r="AE58" s="39" t="str">
        <x:v>(MCP current − MCP previous) / |MCP previous| × 100</x:v>
      </x:c>
      <x:c r="AF58" s="39" t="str">
        <x:v>MCP_ACTUAL_VALUE_CONFIRMED</x:v>
      </x:c>
      <x:c r="AG58" s="39" t="str">
        <x:v>KOSIS_MCP_GET_DATA</x:v>
      </x:c>
      <x:c r="AH58" s="39" t="str">
        <x:v>https://kosis.kr/statHtml/statHtml.do?orgId=360&amp;tblId=DT_1R11001_FRM101&amp;vw_cd=MT_ZTITLE&amp;list_id=&amp;seqNo=&amp;lang_mode=ko&amp;language=kor&amp;obj_var_id=&amp;itm_id=&amp;conn_path=MT_ZTITLE</x:v>
      </x:c>
      <x:c r="AI58" s="38" t="str">
        <x:v>21-60</x:v>
      </x:c>
      <x:c r="AJ58" s="38" t="n">
        <x:v>46239.355250231485</x:v>
      </x:c>
    </x:row>
    <x:row r="59">
      <x:c r="A59" s="38" t="str">
        <x:v>MCPG-058</x:v>
      </x:c>
      <x:c r="B59" s="38" t="str">
        <x:v>C06104</x:v>
      </x:c>
      <x:c r="C59" s="102" t="str">
        <x:v>A0774</x:v>
      </x:c>
      <x:c r="D59" s="39" t="str">
        <x:v>한 달 만에 수출 플러스, 무역흑자 전환... ‘수출 효자’ 반도체는 감소세로 부진</x:v>
      </x:c>
      <x:c r="E59" s="39" t="str">
        <x:v>2025-03-01</x:v>
      </x:c>
      <x:c r="F59" s="39" t="str">
        <x:v>https://www.chosun.com/economy/industry-company/2025/03/01/2HADMQGKKVDHNEH52IQRPDQFLA</x:v>
      </x:c>
      <x:c r="G59" s="39" t="str">
        <x:v>산업통상자원부는 1일 지난달 수출은 1% 늘어난 526억달러, 수입은 0.2% 증가한 483억달러로 무역수지(수출액-수입액)는 43억달러 흑자를 나타냈다고 밝혔다.</x:v>
      </x:c>
      <x:c r="H59" s="38" t="str">
        <x:v>CHANGE_RATE</x:v>
      </x:c>
      <x:c r="I59" s="40" t="str">
        <x:v>0.2</x:v>
      </x:c>
      <x:c r="J59" s="38" t="str">
        <x:v>['일', '%', '%']</x:v>
      </x:c>
      <x:c r="K59" s="38" t="str">
        <x:v>REFUTES</x:v>
      </x:c>
      <x:c r="L59" s="38" t="str">
        <x:v>FULL_KOSIS_MCP</x:v>
      </x:c>
      <x:c r="M59" s="38" t="str">
        <x:v>Y</x:v>
      </x:c>
      <x:c r="N59" s="38" t="str">
        <x:v>Y</x:v>
      </x:c>
      <x:c r="O59" s="38" t="str">
        <x:v>N</x:v>
      </x:c>
      <x:c r="P59" s="38" t="str">
        <x:v>360</x:v>
      </x:c>
      <x:c r="Q59" s="38" t="str">
        <x:v>DT_1R11001_FRM101</x:v>
      </x:c>
      <x:c r="R59" s="38" t="str">
        <x:v>품목별 수출액 수입액</x:v>
      </x:c>
      <x:c r="S59" s="38" t="str">
        <x:v>13102112831A.7763</x:v>
      </x:c>
      <x:c r="T59" s="38" t="str">
        <x:v>N/A</x:v>
      </x:c>
      <x:c r="U59" s="38" t="str">
        <x:v>13103112831T1</x:v>
      </x:c>
      <x:c r="V59" s="38" t="str">
        <x:v>수출액</x:v>
      </x:c>
      <x:c r="W59" s="38" t="str">
        <x:v>다이오드트랜지스터 기타 이와 유사한 반도체 디바이스</x:v>
      </x:c>
      <x:c r="X59" s="38" t="str">
        <x:v>M</x:v>
      </x:c>
      <x:c r="Y59" s="38" t="str">
        <x:v>202502</x:v>
      </x:c>
      <x:c r="Z59" s="38" t="str">
        <x:v>202501</x:v>
      </x:c>
      <x:c r="AA59" s="41" t="str">
        <x:v>255006.0</x:v>
      </x:c>
      <x:c r="AB59" s="41" t="str">
        <x:v>269627.0</x:v>
      </x:c>
      <x:c r="AC59" s="41" t="str">
        <x:v>천달러</x:v>
      </x:c>
      <x:c r="AD59" s="41" t="str">
        <x:v>-5.422676512367085</x:v>
      </x:c>
      <x:c r="AE59" s="39" t="str">
        <x:v>(MCP current − MCP previous) / |MCP previous| × 100</x:v>
      </x:c>
      <x:c r="AF59" s="39" t="str">
        <x:v>MCP_ACTUAL_VALUE_CONFIRMED</x:v>
      </x:c>
      <x:c r="AG59" s="39" t="str">
        <x:v>KOSIS_MCP_GET_DATA</x:v>
      </x:c>
      <x:c r="AH59" s="39" t="str">
        <x:v>https://kosis.kr/statHtml/statHtml.do?orgId=360&amp;tblId=DT_1R11001_FRM101&amp;vw_cd=MT_ZTITLE&amp;list_id=&amp;seqNo=&amp;lang_mode=ko&amp;language=kor&amp;obj_var_id=&amp;itm_id=&amp;conn_path=MT_ZTITLE</x:v>
      </x:c>
      <x:c r="AI59" s="38" t="str">
        <x:v>21-60</x:v>
      </x:c>
      <x:c r="AJ59" s="38" t="n">
        <x:v>46239.355250231485</x:v>
      </x:c>
    </x:row>
    <x:row r="60">
      <x:c r="A60" s="38" t="str">
        <x:v>MCPG-059</x:v>
      </x:c>
      <x:c r="B60" s="38" t="str">
        <x:v>C06108</x:v>
      </x:c>
      <x:c r="C60" s="102" t="str">
        <x:v>A0774</x:v>
      </x:c>
      <x:c r="D60" s="39" t="str">
        <x:v>한 달 만에 수출 플러스, 무역흑자 전환... ‘수출 효자’ 반도체는 감소세로 부진</x:v>
      </x:c>
      <x:c r="E60" s="39" t="str">
        <x:v>2025-03-01</x:v>
      </x:c>
      <x:c r="F60" s="39" t="str">
        <x:v>https://www.chosun.com/economy/industry-company/2025/03/01/2HADMQGKKVDHNEH52IQRPDQFLA</x:v>
      </x:c>
      <x:c r="G60" s="39" t="str">
        <x:v>이를 감안해 1∼2월 수출 합계를 비교하면 올해 수출 실적은 전년 동기 대비 4.75% 감소, 수출 둔화 우려는 여전하다는 지적이 나온다.</x:v>
      </x:c>
      <x:c r="H60" s="38" t="str">
        <x:v>CHANGE_RATE</x:v>
      </x:c>
      <x:c r="I60" s="40" t="str">
        <x:v>4.75</x:v>
      </x:c>
      <x:c r="J60" s="38" t="str">
        <x:v>['월', '%']</x:v>
      </x:c>
      <x:c r="K60" s="38" t="str">
        <x:v>REFUTES</x:v>
      </x:c>
      <x:c r="L60" s="38" t="str">
        <x:v>FULL_KOSIS_MCP</x:v>
      </x:c>
      <x:c r="M60" s="38" t="str">
        <x:v>Y</x:v>
      </x:c>
      <x:c r="N60" s="38" t="str">
        <x:v>Y</x:v>
      </x:c>
      <x:c r="O60" s="38" t="str">
        <x:v>N</x:v>
      </x:c>
      <x:c r="P60" s="38" t="str">
        <x:v>360</x:v>
      </x:c>
      <x:c r="Q60" s="38" t="str">
        <x:v>DT_1R11001_FRM101</x:v>
      </x:c>
      <x:c r="R60" s="38" t="str">
        <x:v>품목별 수출액 수입액</x:v>
      </x:c>
      <x:c r="S60" s="38" t="str">
        <x:v>13102112831A.7763</x:v>
      </x:c>
      <x:c r="T60" s="38" t="str">
        <x:v>N/A</x:v>
      </x:c>
      <x:c r="U60" s="38" t="str">
        <x:v>13103112831T1</x:v>
      </x:c>
      <x:c r="V60" s="38" t="str">
        <x:v>수출액</x:v>
      </x:c>
      <x:c r="W60" s="38" t="str">
        <x:v>다이오드트랜지스터 기타 이와 유사한 반도체 디바이스</x:v>
      </x:c>
      <x:c r="X60" s="38" t="str">
        <x:v>M</x:v>
      </x:c>
      <x:c r="Y60" s="38" t="str">
        <x:v>202402</x:v>
      </x:c>
      <x:c r="Z60" s="38" t="str">
        <x:v>202302</x:v>
      </x:c>
      <x:c r="AA60" s="41" t="str">
        <x:v>308807.0</x:v>
      </x:c>
      <x:c r="AB60" s="41" t="str">
        <x:v>338789.0</x:v>
      </x:c>
      <x:c r="AC60" s="41" t="str">
        <x:v>천달러</x:v>
      </x:c>
      <x:c r="AD60" s="41" t="str">
        <x:v>-8.849756042846728</x:v>
      </x:c>
      <x:c r="AE60" s="39" t="str">
        <x:v>(MCP current − MCP previous) / |MCP previous| × 100</x:v>
      </x:c>
      <x:c r="AF60" s="39" t="str">
        <x:v>MCP_ACTUAL_VALUE_CONFIRMED</x:v>
      </x:c>
      <x:c r="AG60" s="39" t="str">
        <x:v>KOSIS_MCP_GET_DATA</x:v>
      </x:c>
      <x:c r="AH60" s="39" t="str">
        <x:v>https://kosis.kr/statHtml/statHtml.do?orgId=360&amp;tblId=DT_1R11001_FRM101&amp;vw_cd=MT_ZTITLE&amp;list_id=&amp;seqNo=&amp;lang_mode=ko&amp;language=kor&amp;obj_var_id=&amp;itm_id=&amp;conn_path=MT_ZTITLE</x:v>
      </x:c>
      <x:c r="AI60" s="38" t="str">
        <x:v>21-60</x:v>
      </x:c>
      <x:c r="AJ60" s="38" t="n">
        <x:v>46239.355250231485</x:v>
      </x:c>
    </x:row>
    <x:row r="61">
      <x:c r="A61" s="38" t="str">
        <x:v>MCPG-060</x:v>
      </x:c>
      <x:c r="B61" s="38" t="str">
        <x:v>C06734</x:v>
      </x:c>
      <x:c r="C61" s="102" t="str">
        <x:v>A0849</x:v>
      </x:c>
      <x:c r="D61" s="39" t="str">
        <x:v>연두색 번호판 탓?… 고가 수입차, 영리치 대신 50대가 사</x:v>
      </x:c>
      <x:c r="E61" s="39" t="str">
        <x:v>2025-03-07</x:v>
      </x:c>
      <x:c r="F61" s="39" t="str">
        <x:v>https://www.chosun.com/economy/auto/2025/03/07/MPF2ABV3MRHA5FPAADA7BX4PMA</x:v>
      </x:c>
      <x:c r="G61" s="39" t="str">
        <x:v>6일 한국수입자동차협회(KAIDA)에 따르면, 작년 1억원이 넘는 고가 수입차를 구매한 50대(6229명)는 전년 대비 1.5% 늘어 역대 최고치를 기록했다.</x:v>
      </x:c>
      <x:c r="H61" s="38" t="str">
        <x:v>LEVEL</x:v>
      </x:c>
      <x:c r="I61" s="40" t="str">
        <x:v>1.0</x:v>
      </x:c>
      <x:c r="J61" s="38" t="str">
        <x:v>['일', '억원', '명', '%']</x:v>
      </x:c>
      <x:c r="K61" s="38" t="str">
        <x:v>REFUTES</x:v>
      </x:c>
      <x:c r="L61" s="38" t="str">
        <x:v>FULL_KOSIS_MCP</x:v>
      </x:c>
      <x:c r="M61" s="38" t="str">
        <x:v>Y</x:v>
      </x:c>
      <x:c r="N61" s="38" t="str">
        <x:v>Y</x:v>
      </x:c>
      <x:c r="O61" s="38" t="str">
        <x:v>N</x:v>
      </x:c>
      <x:c r="P61" s="38" t="str">
        <x:v>360</x:v>
      </x:c>
      <x:c r="Q61" s="38" t="str">
        <x:v>DT_1R11001_FRM101</x:v>
      </x:c>
      <x:c r="R61" s="38" t="str">
        <x:v>품목별 수출액 수입액</x:v>
      </x:c>
      <x:c r="S61" s="38" t="str">
        <x:v>13102112831A.781</x:v>
      </x:c>
      <x:c r="T61" s="38" t="str">
        <x:v>N/A</x:v>
      </x:c>
      <x:c r="U61" s="38" t="str">
        <x:v>13103112831T2</x:v>
      </x:c>
      <x:c r="V61" s="38" t="str">
        <x:v>수입액</x:v>
      </x:c>
      <x:c r="W61" s="38" t="str">
        <x:v>승용자동차 및 기타의 차량</x:v>
      </x:c>
      <x:c r="X61" s="38" t="str">
        <x:v>Y</x:v>
      </x:c>
      <x:c r="Y61" s="38" t="str">
        <x:v>2024</x:v>
      </x:c>
      <x:c r="Z61" s="38" t="str">
        <x:v>N/A</x:v>
      </x:c>
      <x:c r="AA61" s="41" t="str">
        <x:v>12100600.0</x:v>
      </x:c>
      <x:c r="AB61" s="41" t="str">
        <x:v>N/A</x:v>
      </x:c>
      <x:c r="AC61" s="41" t="str">
        <x:v>천달러</x:v>
      </x:c>
      <x:c r="AD61" s="41" t="str">
        <x:v>12100600.0</x:v>
      </x:c>
      <x:c r="AE61" s="39" t="str">
        <x:v>MCP current value × source unit scale (1)</x:v>
      </x:c>
      <x:c r="AF61" s="39" t="str">
        <x:v>MCP_ACTUAL_VALUE_CONFIRMED</x:v>
      </x:c>
      <x:c r="AG61" s="39" t="str">
        <x:v>KOSIS_MCP_GET_DATA</x:v>
      </x:c>
      <x:c r="AH61" s="39" t="str">
        <x:v>https://kosis.kr/statHtml/statHtml.do?orgId=360&amp;tblId=DT_1R11001_FRM101&amp;vw_cd=MT_ZTITLE&amp;list_id=&amp;seqNo=&amp;lang_mode=ko&amp;language=kor&amp;obj_var_id=&amp;itm_id=&amp;conn_path=MT_ZTITLE</x:v>
      </x:c>
      <x:c r="AI61" s="38" t="str">
        <x:v>21-60</x:v>
      </x:c>
      <x:c r="AJ61" s="38" t="n">
        <x:v>46239.355250231485</x:v>
      </x:c>
    </x:row>
    <x:row r="62">
      <x:c r="A62" s="38" t="str">
        <x:v>MCPG-061</x:v>
      </x:c>
      <x:c r="B62" s="38" t="str">
        <x:v>C09177</x:v>
      </x:c>
      <x:c r="C62" s="102" t="str">
        <x:v>A1186</x:v>
      </x:c>
      <x:c r="D62" s="39" t="str">
        <x:v>완성차 5사 3월 판매 내수 늘고, 수출 줄어</x:v>
      </x:c>
      <x:c r="E62" s="39" t="str">
        <x:v>2025-04-02</x:v>
      </x:c>
      <x:c r="F62" s="39" t="str">
        <x:v>https://www.chosun.com/economy/auto/2025/04/02/WGSJKEACLREGNPQWEDWLXBGH2Y</x:v>
      </x:c>
      <x:c r="G62" s="39" t="str">
        <x:v>내수 판매(12만3817대)는 작년 동월 대비 2.9% 늘었지만, 같은 기간 수출(57만9036대)이 2.6% 줄면서 전체 판매가 줄었다.</x:v>
      </x:c>
      <x:c r="H62" s="38" t="str">
        <x:v>CHANGE_RATE</x:v>
      </x:c>
      <x:c r="I62" s="40" t="str">
        <x:v>2.6</x:v>
      </x:c>
      <x:c r="J62" s="38" t="str">
        <x:v>['%', '%']</x:v>
      </x:c>
      <x:c r="K62" s="38" t="str">
        <x:v>REFUTES</x:v>
      </x:c>
      <x:c r="L62" s="38" t="str">
        <x:v>FULL_KOSIS_MCP</x:v>
      </x:c>
      <x:c r="M62" s="38" t="str">
        <x:v>Y</x:v>
      </x:c>
      <x:c r="N62" s="38" t="str">
        <x:v>Y</x:v>
      </x:c>
      <x:c r="O62" s="38" t="str">
        <x:v>N</x:v>
      </x:c>
      <x:c r="P62" s="38" t="str">
        <x:v>360</x:v>
      </x:c>
      <x:c r="Q62" s="38" t="str">
        <x:v>DT_1R11001_FRM101</x:v>
      </x:c>
      <x:c r="R62" s="38" t="str">
        <x:v>품목별 수출액 수입액</x:v>
      </x:c>
      <x:c r="S62" s="38" t="str">
        <x:v>13102112831A.A</x:v>
      </x:c>
      <x:c r="T62" s="38" t="str">
        <x:v>N/A</x:v>
      </x:c>
      <x:c r="U62" s="38" t="str">
        <x:v>13103112831T1</x:v>
      </x:c>
      <x:c r="V62" s="38" t="str">
        <x:v>수출액</x:v>
      </x:c>
      <x:c r="W62" s="38" t="str">
        <x:v>총액</x:v>
      </x:c>
      <x:c r="X62" s="38" t="str">
        <x:v>M</x:v>
      </x:c>
      <x:c r="Y62" s="38" t="str">
        <x:v>202412</x:v>
      </x:c>
      <x:c r="Z62" s="38" t="str">
        <x:v>202411</x:v>
      </x:c>
      <x:c r="AA62" s="41" t="str">
        <x:v>61359250.0</x:v>
      </x:c>
      <x:c r="AB62" s="41" t="str">
        <x:v>56288629.0</x:v>
      </x:c>
      <x:c r="AC62" s="41" t="str">
        <x:v>천달러</x:v>
      </x:c>
      <x:c r="AD62" s="41" t="str">
        <x:v>9.008251027041359</x:v>
      </x:c>
      <x:c r="AE62" s="39" t="str">
        <x:v>(MCP current − MCP previous) / |MCP previous| × 100</x:v>
      </x:c>
      <x:c r="AF62" s="39" t="str">
        <x:v>MCP_ACTUAL_VALUE_CONFIRMED</x:v>
      </x:c>
      <x:c r="AG62" s="39" t="str">
        <x:v>KOSIS_MCP_GET_DATA</x:v>
      </x:c>
      <x:c r="AH62" s="39" t="str">
        <x:v>https://kosis.kr/statHtml/statHtml.do?orgId=360&amp;tblId=DT_1R11001_FRM101&amp;vw_cd=MT_ZTITLE&amp;list_id=&amp;seqNo=&amp;lang_mode=ko&amp;language=kor&amp;obj_var_id=&amp;itm_id=&amp;conn_path=MT_ZTITLE</x:v>
      </x:c>
      <x:c r="AI62" s="38" t="str">
        <x:v>21-60</x:v>
      </x:c>
      <x:c r="AJ62" s="38" t="n">
        <x:v>46239.355250231485</x:v>
      </x:c>
    </x:row>
    <x:row r="63">
      <x:c r="A63" s="38" t="str">
        <x:v>MCPG-062</x:v>
      </x:c>
      <x:c r="B63" s="38" t="str">
        <x:v>C09806</x:v>
      </x:c>
      <x:c r="C63" s="102" t="str">
        <x:v>A1268</x:v>
      </x:c>
      <x:c r="D63" s="39" t="str">
        <x:v>KDI “대외 여건 급격히 나빠져… 경기 하방 압력 확대”</x:v>
      </x:c>
      <x:c r="E63" s="39" t="str">
        <x:v>2025-04-08</x:v>
      </x:c>
      <x:c r="F63" s="39" t="str">
        <x:v>https://www.chosun.com/economy/economy_general/2025/04/08/4MVRN3CQ4RGEXEDAWASNFVGZUA</x:v>
      </x:c>
      <x:c r="G63" s="39" t="str">
        <x:v>지난 1분기(1~3월) 반도체를 중심으로 한 정보통신기술(ICT) 수출은 전년 대비 6.1% 늘어나며 지난해 4분기(27.5%)보다 증가 폭이 대폭 줄었다.</x:v>
      </x:c>
      <x:c r="H63" s="38" t="str">
        <x:v>CHANGE_RATE</x:v>
      </x:c>
      <x:c r="I63" s="40" t="str">
        <x:v>27.5</x:v>
      </x:c>
      <x:c r="J63" s="38" t="str">
        <x:v>['분', '월', '%', '분', '%']</x:v>
      </x:c>
      <x:c r="K63" s="38" t="str">
        <x:v>REFUTES</x:v>
      </x:c>
      <x:c r="L63" s="38" t="str">
        <x:v>FULL_KOSIS_MCP</x:v>
      </x:c>
      <x:c r="M63" s="38" t="str">
        <x:v>Y</x:v>
      </x:c>
      <x:c r="N63" s="38" t="str">
        <x:v>Y</x:v>
      </x:c>
      <x:c r="O63" s="38" t="str">
        <x:v>N</x:v>
      </x:c>
      <x:c r="P63" s="38" t="str">
        <x:v>360</x:v>
      </x:c>
      <x:c r="Q63" s="38" t="str">
        <x:v>DT_1R11001_FRM101</x:v>
      </x:c>
      <x:c r="R63" s="38" t="str">
        <x:v>품목별 수출액 수입액</x:v>
      </x:c>
      <x:c r="S63" s="38" t="str">
        <x:v>13102112831A.7763</x:v>
      </x:c>
      <x:c r="T63" s="38" t="str">
        <x:v>N/A</x:v>
      </x:c>
      <x:c r="U63" s="38" t="str">
        <x:v>13103112831T1</x:v>
      </x:c>
      <x:c r="V63" s="38" t="str">
        <x:v>수출액</x:v>
      </x:c>
      <x:c r="W63" s="38" t="str">
        <x:v>다이오드트랜지스터 기타 이와 유사한 반도체 디바이스</x:v>
      </x:c>
      <x:c r="X63" s="38" t="str">
        <x:v>M</x:v>
      </x:c>
      <x:c r="Y63" s="38" t="str">
        <x:v>202403</x:v>
      </x:c>
      <x:c r="Z63" s="38" t="str">
        <x:v>202303</x:v>
      </x:c>
      <x:c r="AA63" s="41" t="str">
        <x:v>284987.0</x:v>
      </x:c>
      <x:c r="AB63" s="41" t="str">
        <x:v>369202.0</x:v>
      </x:c>
      <x:c r="AC63" s="41" t="str">
        <x:v>천달러</x:v>
      </x:c>
      <x:c r="AD63" s="41" t="str">
        <x:v>-22.81000644633561</x:v>
      </x:c>
      <x:c r="AE63" s="39" t="str">
        <x:v>(MCP current − MCP previous) / |MCP previous| × 100</x:v>
      </x:c>
      <x:c r="AF63" s="39" t="str">
        <x:v>MCP_ACTUAL_VALUE_CONFIRMED</x:v>
      </x:c>
      <x:c r="AG63" s="39" t="str">
        <x:v>KOSIS_MCP_GET_DATA</x:v>
      </x:c>
      <x:c r="AH63" s="39" t="str">
        <x:v>https://kosis.kr/statHtml/statHtml.do?orgId=360&amp;tblId=DT_1R11001_FRM101&amp;vw_cd=MT_ZTITLE&amp;list_id=&amp;seqNo=&amp;lang_mode=ko&amp;language=kor&amp;obj_var_id=&amp;itm_id=&amp;conn_path=MT_ZTITLE</x:v>
      </x:c>
      <x:c r="AI63" s="38" t="str">
        <x:v>21-60</x:v>
      </x:c>
      <x:c r="AJ63" s="38" t="n">
        <x:v>46239.35525025463</x:v>
      </x:c>
    </x:row>
    <x:row r="64">
      <x:c r="A64" s="38" t="str">
        <x:v>MCPG-063</x:v>
      </x:c>
      <x:c r="B64" s="38" t="str">
        <x:v>C12587</x:v>
      </x:c>
      <x:c r="C64" s="102" t="str">
        <x:v>A1642</x:v>
      </x:c>
      <x:c r="D64" s="39" t="str">
        <x:v>해외 소비자 K뷰티 구매, 지난해 10억달러에 육박… 1년 만에 2배가량 늘어</x:v>
      </x:c>
      <x:c r="E64" s="39" t="str">
        <x:v>2025-05-07</x:v>
      </x:c>
      <x:c r="F64" s="39" t="str">
        <x:v>https://www.chosun.com/economy/economy_general/2025/05/07/7MTBKSUIN5E6LA73WTMRNQRDTM</x:v>
      </x:c>
      <x:c r="G64" s="39" t="str">
        <x:v>올해 1분기(1~3월) 수출 실적도 지난해 동기보다 약 20% 늘어난 18억4000만달러(약 2조5539억원)로, 역대 1분기 최고치를 경신했다.</x:v>
      </x:c>
      <x:c r="H64" s="38" t="str">
        <x:v>LEVEL</x:v>
      </x:c>
      <x:c r="I64" s="40" t="str">
        <x:v>4000.0</x:v>
      </x:c>
      <x:c r="J64" s="38" t="str">
        <x:v>['분', '월', '%', '억원', '분']</x:v>
      </x:c>
      <x:c r="K64" s="38" t="str">
        <x:v>REFUTES</x:v>
      </x:c>
      <x:c r="L64" s="38" t="str">
        <x:v>FULL_KOSIS_MCP</x:v>
      </x:c>
      <x:c r="M64" s="38" t="str">
        <x:v>Y</x:v>
      </x:c>
      <x:c r="N64" s="38" t="str">
        <x:v>Y</x:v>
      </x:c>
      <x:c r="O64" s="38" t="str">
        <x:v>N</x:v>
      </x:c>
      <x:c r="P64" s="38" t="str">
        <x:v>360</x:v>
      </x:c>
      <x:c r="Q64" s="38" t="str">
        <x:v>DT_1R11001_FRM101</x:v>
      </x:c>
      <x:c r="R64" s="38" t="str">
        <x:v>품목별 수출액 수입액</x:v>
      </x:c>
      <x:c r="S64" s="38" t="str">
        <x:v>13102112831A.A</x:v>
      </x:c>
      <x:c r="T64" s="38" t="str">
        <x:v>N/A</x:v>
      </x:c>
      <x:c r="U64" s="38" t="str">
        <x:v>13103112831T1</x:v>
      </x:c>
      <x:c r="V64" s="38" t="str">
        <x:v>수출액</x:v>
      </x:c>
      <x:c r="W64" s="38" t="str">
        <x:v>총액</x:v>
      </x:c>
      <x:c r="X64" s="38" t="str">
        <x:v>M</x:v>
      </x:c>
      <x:c r="Y64" s="38" t="str">
        <x:v>202403</x:v>
      </x:c>
      <x:c r="Z64" s="38" t="str">
        <x:v>N/A</x:v>
      </x:c>
      <x:c r="AA64" s="41" t="str">
        <x:v>56518309.0</x:v>
      </x:c>
      <x:c r="AB64" s="41" t="str">
        <x:v>N/A</x:v>
      </x:c>
      <x:c r="AC64" s="41" t="str">
        <x:v>천달러</x:v>
      </x:c>
      <x:c r="AD64" s="41" t="str">
        <x:v>5651830.9</x:v>
      </x:c>
      <x:c r="AE64" s="39" t="str">
        <x:v>MCP current value × source unit scale (0.1)</x:v>
      </x:c>
      <x:c r="AF64" s="39" t="str">
        <x:v>MCP_ACTUAL_VALUE_CONFIRMED</x:v>
      </x:c>
      <x:c r="AG64" s="39" t="str">
        <x:v>KOSIS_MCP_GET_DATA</x:v>
      </x:c>
      <x:c r="AH64" s="39" t="str">
        <x:v>https://kosis.kr/statHtml/statHtml.do?orgId=360&amp;tblId=DT_1R11001_FRM101&amp;vw_cd=MT_ZTITLE&amp;list_id=&amp;seqNo=&amp;lang_mode=ko&amp;language=kor&amp;obj_var_id=&amp;itm_id=&amp;conn_path=MT_ZTITLE</x:v>
      </x:c>
      <x:c r="AI64" s="38" t="str">
        <x:v>21-60</x:v>
      </x:c>
      <x:c r="AJ64" s="38" t="n">
        <x:v>46239.35525025463</x:v>
      </x:c>
    </x:row>
    <x:row r="65">
      <x:c r="A65" s="38" t="str">
        <x:v>MCPG-064</x:v>
      </x:c>
      <x:c r="B65" s="38" t="str">
        <x:v>C12835</x:v>
      </x:c>
      <x:c r="C65" s="102" t="str">
        <x:v>A1681</x:v>
      </x:c>
      <x:c r="D65" s="39" t="str">
        <x:v>트럼프 “기본 관세 10% 항상 유지하지만 예외 있을 수 있다”</x:v>
      </x:c>
      <x:c r="E65" s="39" t="str">
        <x:v>2025-05-10</x:v>
      </x:c>
      <x:c r="F65" s="39" t="str">
        <x:v>https://www.chosun.com/economy/economy_general/2025/05/10/DXND5YC4CRDSHISNSEQQLSLHJU</x:v>
      </x:c>
      <x:c r="G65" s="39" t="str">
        <x:v>트럼프 대통령은 지난달 5일 대부분의 무역 대상국에 10%의 기본 관세를 부과했다.</x:v>
      </x:c>
      <x:c r="H65" s="38" t="str">
        <x:v>LEVEL</x:v>
      </x:c>
      <x:c r="I65" s="40" t="str">
        <x:v>10.0</x:v>
      </x:c>
      <x:c r="J65" s="38" t="str">
        <x:v>['일', '%']</x:v>
      </x:c>
      <x:c r="K65" s="38" t="str">
        <x:v>REFUTES</x:v>
      </x:c>
      <x:c r="L65" s="38" t="str">
        <x:v>FULL_KOSIS_MCP</x:v>
      </x:c>
      <x:c r="M65" s="38" t="str">
        <x:v>Y</x:v>
      </x:c>
      <x:c r="N65" s="38" t="str">
        <x:v>Y</x:v>
      </x:c>
      <x:c r="O65" s="38" t="str">
        <x:v>N</x:v>
      </x:c>
      <x:c r="P65" s="38" t="str">
        <x:v>360</x:v>
      </x:c>
      <x:c r="Q65" s="38" t="str">
        <x:v>DT_1R11001_FRM101</x:v>
      </x:c>
      <x:c r="R65" s="38" t="str">
        <x:v>품목별 수출액 수입액</x:v>
      </x:c>
      <x:c r="S65" s="38" t="str">
        <x:v>13102112831A.A</x:v>
      </x:c>
      <x:c r="T65" s="38" t="str">
        <x:v>N/A</x:v>
      </x:c>
      <x:c r="U65" s="38" t="str">
        <x:v>13103112831T1</x:v>
      </x:c>
      <x:c r="V65" s="38" t="str">
        <x:v>수출액</x:v>
      </x:c>
      <x:c r="W65" s="38" t="str">
        <x:v>총액</x:v>
      </x:c>
      <x:c r="X65" s="38" t="str">
        <x:v>M</x:v>
      </x:c>
      <x:c r="Y65" s="38" t="str">
        <x:v>202504</x:v>
      </x:c>
      <x:c r="Z65" s="38" t="str">
        <x:v>N/A</x:v>
      </x:c>
      <x:c r="AA65" s="41" t="str">
        <x:v>58035745.0</x:v>
      </x:c>
      <x:c r="AB65" s="41" t="str">
        <x:v>N/A</x:v>
      </x:c>
      <x:c r="AC65" s="41" t="str">
        <x:v>천달러</x:v>
      </x:c>
      <x:c r="AD65" s="41" t="str">
        <x:v>58035745.0</x:v>
      </x:c>
      <x:c r="AE65" s="39" t="str">
        <x:v>MCP current value × source unit scale (1)</x:v>
      </x:c>
      <x:c r="AF65" s="39" t="str">
        <x:v>MCP_ACTUAL_VALUE_CONFIRMED</x:v>
      </x:c>
      <x:c r="AG65" s="39" t="str">
        <x:v>KOSIS_MCP_GET_DATA</x:v>
      </x:c>
      <x:c r="AH65" s="39" t="str">
        <x:v>https://kosis.kr/statHtml/statHtml.do?orgId=360&amp;tblId=DT_1R11001_FRM101&amp;vw_cd=MT_ZTITLE&amp;list_id=&amp;seqNo=&amp;lang_mode=ko&amp;language=kor&amp;obj_var_id=&amp;itm_id=&amp;conn_path=MT_ZTITLE</x:v>
      </x:c>
      <x:c r="AI65" s="38" t="str">
        <x:v>21-60</x:v>
      </x:c>
      <x:c r="AJ65" s="38" t="n">
        <x:v>46239.355250266206</x:v>
      </x:c>
    </x:row>
    <x:row r="66">
      <x:c r="A66" s="38" t="str">
        <x:v>MCPG-065</x:v>
      </x:c>
      <x:c r="B66" s="38" t="str">
        <x:v>C13092</x:v>
      </x:c>
      <x:c r="C66" s="102" t="str">
        <x:v>A1713</x:v>
      </x:c>
      <x:c r="D66" s="39" t="str">
        <x:v>[모닝] 국내산 삼겹살 값 1년 새 7% 뛰었다</x:v>
      </x:c>
      <x:c r="E66" s="39" t="str">
        <x:v>2025-05-12</x:v>
      </x:c>
      <x:c r="F66" s="39" t="str">
        <x:v>https://www.chosun.com/economy/economy_general/2025/05/12/UYSKJDKGEZDJREULWV5EIPC4IM</x:v>
      </x:c>
      <x:c r="G66" s="39" t="str">
        <x:v>지난달 수입 돼지고기 삼겹살(냉동)은 100g당 1472원으로 1년 전보다 3.2% 올랐다.</x:v>
      </x:c>
      <x:c r="H66" s="38" t="str">
        <x:v>CHANGE_RATE</x:v>
      </x:c>
      <x:c r="I66" s="40" t="str">
        <x:v>3.2</x:v>
      </x:c>
      <x:c r="J66" s="38" t="str">
        <x:v>['g', '원', '년', '%']</x:v>
      </x:c>
      <x:c r="K66" s="38" t="str">
        <x:v>REFUTES</x:v>
      </x:c>
      <x:c r="L66" s="38" t="str">
        <x:v>FULL_KOSIS_MCP</x:v>
      </x:c>
      <x:c r="M66" s="38" t="str">
        <x:v>Y</x:v>
      </x:c>
      <x:c r="N66" s="38" t="str">
        <x:v>Y</x:v>
      </x:c>
      <x:c r="O66" s="38" t="str">
        <x:v>N</x:v>
      </x:c>
      <x:c r="P66" s="38" t="str">
        <x:v>360</x:v>
      </x:c>
      <x:c r="Q66" s="38" t="str">
        <x:v>DT_1R11001_FRM101</x:v>
      </x:c>
      <x:c r="R66" s="38" t="str">
        <x:v>품목별 수출액 수입액</x:v>
      </x:c>
      <x:c r="S66" s="38" t="str">
        <x:v>13102112831A.A</x:v>
      </x:c>
      <x:c r="T66" s="38" t="str">
        <x:v>N/A</x:v>
      </x:c>
      <x:c r="U66" s="38" t="str">
        <x:v>13103112831T2</x:v>
      </x:c>
      <x:c r="V66" s="38" t="str">
        <x:v>수입액</x:v>
      </x:c>
      <x:c r="W66" s="38" t="str">
        <x:v>총액</x:v>
      </x:c>
      <x:c r="X66" s="38" t="str">
        <x:v>M</x:v>
      </x:c>
      <x:c r="Y66" s="38" t="str">
        <x:v>202504</x:v>
      </x:c>
      <x:c r="Z66" s="38" t="str">
        <x:v>202503</x:v>
      </x:c>
      <x:c r="AA66" s="41" t="str">
        <x:v>53232716.0</x:v>
      </x:c>
      <x:c r="AB66" s="41" t="str">
        <x:v>53341032.0</x:v>
      </x:c>
      <x:c r="AC66" s="41" t="str">
        <x:v>천달러</x:v>
      </x:c>
      <x:c r="AD66" s="41" t="str">
        <x:v>-0.2030631878288369</x:v>
      </x:c>
      <x:c r="AE66" s="39" t="str">
        <x:v>(MCP current − MCP previous) / |MCP previous| × 100</x:v>
      </x:c>
      <x:c r="AF66" s="39" t="str">
        <x:v>MCP_ACTUAL_VALUE_CONFIRMED</x:v>
      </x:c>
      <x:c r="AG66" s="39" t="str">
        <x:v>KOSIS_MCP_GET_DATA</x:v>
      </x:c>
      <x:c r="AH66" s="39" t="str">
        <x:v>https://kosis.kr/statHtml/statHtml.do?orgId=360&amp;tblId=DT_1R11001_FRM101&amp;vw_cd=MT_ZTITLE&amp;list_id=&amp;seqNo=&amp;lang_mode=ko&amp;language=kor&amp;obj_var_id=&amp;itm_id=&amp;conn_path=MT_ZTITLE</x:v>
      </x:c>
      <x:c r="AI66" s="38" t="str">
        <x:v>21-60</x:v>
      </x:c>
      <x:c r="AJ66" s="38" t="n">
        <x:v>46239.355250266206</x:v>
      </x:c>
    </x:row>
    <x:row r="67">
      <x:c r="A67" s="38" t="str">
        <x:v>MCPG-066</x:v>
      </x:c>
      <x:c r="B67" s="38" t="str">
        <x:v>C13757</x:v>
      </x:c>
      <x:c r="C67" s="102" t="str">
        <x:v>A1798</x:v>
      </x:c>
      <x:c r="D67" s="39" t="str">
        <x:v>안 잡힌다는 고등어·오징어, 수출은 왜 늘었을까?</x:v>
      </x:c>
      <x:c r="E67" s="39" t="str">
        <x:v>2025-05-19</x:v>
      </x:c>
      <x:c r="F67" s="39" t="str">
        <x:v>https://www.chosun.com/economy/economy_general/2025/05/19/AURYAIAY3ZA77FIGY534GIODAY</x:v>
      </x:c>
      <x:c r="G67" s="39" t="str">
        <x:v>그런데 1~4월 고등어 수출량은 3만7888톤으로 전년 동월(1만4178톤) 대비 167%나 폭증했다.</x:v>
      </x:c>
      <x:c r="H67" s="38" t="str">
        <x:v>LEVEL</x:v>
      </x:c>
      <x:c r="I67" s="40" t="str">
        <x:v>167.0</x:v>
      </x:c>
      <x:c r="J67" s="38" t="str">
        <x:v>['월', '톤', '톤', '%']</x:v>
      </x:c>
      <x:c r="K67" s="38" t="str">
        <x:v>REFUTES</x:v>
      </x:c>
      <x:c r="L67" s="38" t="str">
        <x:v>FULL_KOSIS_MCP</x:v>
      </x:c>
      <x:c r="M67" s="38" t="str">
        <x:v>Y</x:v>
      </x:c>
      <x:c r="N67" s="38" t="str">
        <x:v>Y</x:v>
      </x:c>
      <x:c r="O67" s="38" t="str">
        <x:v>N</x:v>
      </x:c>
      <x:c r="P67" s="38" t="str">
        <x:v>360</x:v>
      </x:c>
      <x:c r="Q67" s="38" t="str">
        <x:v>DT_1R11001_FRM101</x:v>
      </x:c>
      <x:c r="R67" s="38" t="str">
        <x:v>품목별 수출액 수입액</x:v>
      </x:c>
      <x:c r="S67" s="38" t="str">
        <x:v>13102112831A.A</x:v>
      </x:c>
      <x:c r="T67" s="38" t="str">
        <x:v>N/A</x:v>
      </x:c>
      <x:c r="U67" s="38" t="str">
        <x:v>13103112831T1</x:v>
      </x:c>
      <x:c r="V67" s="38" t="str">
        <x:v>수출액</x:v>
      </x:c>
      <x:c r="W67" s="38" t="str">
        <x:v>총액</x:v>
      </x:c>
      <x:c r="X67" s="38" t="str">
        <x:v>M</x:v>
      </x:c>
      <x:c r="Y67" s="38" t="str">
        <x:v>202404</x:v>
      </x:c>
      <x:c r="Z67" s="38" t="str">
        <x:v>N/A</x:v>
      </x:c>
      <x:c r="AA67" s="41" t="str">
        <x:v>56148299.0</x:v>
      </x:c>
      <x:c r="AB67" s="41" t="str">
        <x:v>N/A</x:v>
      </x:c>
      <x:c r="AC67" s="41" t="str">
        <x:v>천달러</x:v>
      </x:c>
      <x:c r="AD67" s="41" t="str">
        <x:v>56148299.0</x:v>
      </x:c>
      <x:c r="AE67" s="39" t="str">
        <x:v>MCP current value × source unit scale (1)</x:v>
      </x:c>
      <x:c r="AF67" s="39" t="str">
        <x:v>MCP_ACTUAL_VALUE_CONFIRMED</x:v>
      </x:c>
      <x:c r="AG67" s="39" t="str">
        <x:v>KOSIS_MCP_GET_DATA</x:v>
      </x:c>
      <x:c r="AH67" s="39" t="str">
        <x:v>https://kosis.kr/statHtml/statHtml.do?orgId=360&amp;tblId=DT_1R11001_FRM101&amp;vw_cd=MT_ZTITLE&amp;list_id=&amp;seqNo=&amp;lang_mode=ko&amp;language=kor&amp;obj_var_id=&amp;itm_id=&amp;conn_path=MT_ZTITLE</x:v>
      </x:c>
      <x:c r="AI67" s="38" t="str">
        <x:v>21-60</x:v>
      </x:c>
      <x:c r="AJ67" s="38" t="n">
        <x:v>46239.355250266206</x:v>
      </x:c>
    </x:row>
    <x:row r="68">
      <x:c r="A68" s="38" t="str">
        <x:v>MCPG-067</x:v>
      </x:c>
      <x:c r="B68" s="38" t="str">
        <x:v>C13769</x:v>
      </x:c>
      <x:c r="C68" s="102" t="str">
        <x:v>A1799</x:v>
      </x:c>
      <x:c r="D68" s="39" t="str">
        <x:v>배추값 뛰자 김치 수입 16.7% 늘어</x:v>
      </x:c>
      <x:c r="E68" s="39" t="str">
        <x:v>2025-05-19</x:v>
      </x:c>
      <x:c r="F68" s="39" t="str">
        <x:v>https://www.chosun.com/economy/economy_general/2025/05/19/M7E3EWQ6VZBKTPTSVHNBMXWUG4</x:v>
      </x:c>
      <x:c r="G68" s="39" t="str">
        <x:v>18일 관세청에 따르면, 올해 1∼3월 김치 수입액은 4756만달러(약 670억원)로 작년 같은 기간보다 16.7% 늘었다.</x:v>
      </x:c>
      <x:c r="H68" s="38" t="str">
        <x:v>CHANGE_RATE</x:v>
      </x:c>
      <x:c r="I68" s="40" t="str">
        <x:v>16.7</x:v>
      </x:c>
      <x:c r="J68" s="38" t="str">
        <x:v>['일', '월', '억원', '%']</x:v>
      </x:c>
      <x:c r="K68" s="38" t="str">
        <x:v>REFUTES</x:v>
      </x:c>
      <x:c r="L68" s="38" t="str">
        <x:v>FULL_KOSIS_MCP</x:v>
      </x:c>
      <x:c r="M68" s="38" t="str">
        <x:v>Y</x:v>
      </x:c>
      <x:c r="N68" s="38" t="str">
        <x:v>Y</x:v>
      </x:c>
      <x:c r="O68" s="38" t="str">
        <x:v>N</x:v>
      </x:c>
      <x:c r="P68" s="38" t="str">
        <x:v>360</x:v>
      </x:c>
      <x:c r="Q68" s="38" t="str">
        <x:v>DT_1R11001_FRM101</x:v>
      </x:c>
      <x:c r="R68" s="38" t="str">
        <x:v>품목별 수출액 수입액</x:v>
      </x:c>
      <x:c r="S68" s="38" t="str">
        <x:v>13102112831A.A</x:v>
      </x:c>
      <x:c r="T68" s="38" t="str">
        <x:v>N/A</x:v>
      </x:c>
      <x:c r="U68" s="38" t="str">
        <x:v>13103112831T2</x:v>
      </x:c>
      <x:c r="V68" s="38" t="str">
        <x:v>수입액</x:v>
      </x:c>
      <x:c r="W68" s="38" t="str">
        <x:v>총액</x:v>
      </x:c>
      <x:c r="X68" s="38" t="str">
        <x:v>M</x:v>
      </x:c>
      <x:c r="Y68" s="38" t="str">
        <x:v>202403</x:v>
      </x:c>
      <x:c r="Z68" s="38" t="str">
        <x:v>202303</x:v>
      </x:c>
      <x:c r="AA68" s="41" t="str">
        <x:v>52112905.0</x:v>
      </x:c>
      <x:c r="AB68" s="41" t="str">
        <x:v>59635920.0</x:v>
      </x:c>
      <x:c r="AC68" s="41" t="str">
        <x:v>천달러</x:v>
      </x:c>
      <x:c r="AD68" s="41" t="str">
        <x:v>-12.614905580395172</x:v>
      </x:c>
      <x:c r="AE68" s="39" t="str">
        <x:v>(MCP current − MCP previous) / |MCP previous| × 100</x:v>
      </x:c>
      <x:c r="AF68" s="39" t="str">
        <x:v>MCP_ACTUAL_VALUE_CONFIRMED</x:v>
      </x:c>
      <x:c r="AG68" s="39" t="str">
        <x:v>KOSIS_MCP_GET_DATA</x:v>
      </x:c>
      <x:c r="AH68" s="39" t="str">
        <x:v>https://kosis.kr/statHtml/statHtml.do?orgId=360&amp;tblId=DT_1R11001_FRM101&amp;vw_cd=MT_ZTITLE&amp;list_id=&amp;seqNo=&amp;lang_mode=ko&amp;language=kor&amp;obj_var_id=&amp;itm_id=&amp;conn_path=MT_ZTITLE</x:v>
      </x:c>
      <x:c r="AI68" s="38" t="str">
        <x:v>21-60</x:v>
      </x:c>
      <x:c r="AJ68" s="38" t="n">
        <x:v>46239.355250266206</x:v>
      </x:c>
    </x:row>
    <x:row r="69">
      <x:c r="A69" s="38" t="str">
        <x:v>MCPG-068</x:v>
      </x:c>
      <x:c r="B69" s="38" t="str">
        <x:v>C15096</x:v>
      </x:c>
      <x:c r="C69" s="102" t="str">
        <x:v>A1986</x:v>
      </x:c>
      <x:c r="D69" s="39" t="str">
        <x:v>반도체 사상 최대에도 5월 수출은 마이너스</x:v>
      </x:c>
      <x:c r="E69" s="39" t="str">
        <x:v>2025-06-02</x:v>
      </x:c>
      <x:c r="F69" s="39" t="str">
        <x:v>https://www.chosun.com/economy/industry-company/2025/06/02/H7Z2IJ6SSRDTTFLMWJECW7ZFBQ</x:v>
      </x:c>
      <x:c r="G69" s="39" t="str">
        <x:v>설 연휴 영향을 빼면 ‘수출 마이너스’는 2023년 9월(-4.4%) 이후 사실상 20개월 만에 처음이다.</x:v>
      </x:c>
      <x:c r="H69" s="38" t="str">
        <x:v>LEVEL</x:v>
      </x:c>
      <x:c r="I69" s="40" t="str">
        <x:v>-4.4</x:v>
      </x:c>
      <x:c r="J69" s="38" t="str">
        <x:v>['년', '월', '%', '개']</x:v>
      </x:c>
      <x:c r="K69" s="38" t="str">
        <x:v>REFUTES</x:v>
      </x:c>
      <x:c r="L69" s="38" t="str">
        <x:v>FULL_KOSIS_MCP</x:v>
      </x:c>
      <x:c r="M69" s="38" t="str">
        <x:v>Y</x:v>
      </x:c>
      <x:c r="N69" s="38" t="str">
        <x:v>Y</x:v>
      </x:c>
      <x:c r="O69" s="38" t="str">
        <x:v>N</x:v>
      </x:c>
      <x:c r="P69" s="38" t="str">
        <x:v>360</x:v>
      </x:c>
      <x:c r="Q69" s="38" t="str">
        <x:v>DT_1R11001_FRM101</x:v>
      </x:c>
      <x:c r="R69" s="38" t="str">
        <x:v>품목별 수출액 수입액</x:v>
      </x:c>
      <x:c r="S69" s="38" t="str">
        <x:v>13102112831A.7763</x:v>
      </x:c>
      <x:c r="T69" s="38" t="str">
        <x:v>N/A</x:v>
      </x:c>
      <x:c r="U69" s="38" t="str">
        <x:v>13103112831T1</x:v>
      </x:c>
      <x:c r="V69" s="38" t="str">
        <x:v>수출액</x:v>
      </x:c>
      <x:c r="W69" s="38" t="str">
        <x:v>다이오드트랜지스터 기타 이와 유사한 반도체 디바이스</x:v>
      </x:c>
      <x:c r="X69" s="38" t="str">
        <x:v>M</x:v>
      </x:c>
      <x:c r="Y69" s="38" t="str">
        <x:v>202309</x:v>
      </x:c>
      <x:c r="Z69" s="38" t="str">
        <x:v>N/A</x:v>
      </x:c>
      <x:c r="AA69" s="41" t="str">
        <x:v>276630.0</x:v>
      </x:c>
      <x:c r="AB69" s="41" t="str">
        <x:v>N/A</x:v>
      </x:c>
      <x:c r="AC69" s="41" t="str">
        <x:v>천달러</x:v>
      </x:c>
      <x:c r="AD69" s="41" t="str">
        <x:v>276630.0</x:v>
      </x:c>
      <x:c r="AE69" s="39" t="str">
        <x:v>MCP current value × source unit scale (1)</x:v>
      </x:c>
      <x:c r="AF69" s="39" t="str">
        <x:v>MCP_ACTUAL_VALUE_CONFIRMED</x:v>
      </x:c>
      <x:c r="AG69" s="39" t="str">
        <x:v>KOSIS_MCP_GET_DATA</x:v>
      </x:c>
      <x:c r="AH69" s="39" t="str">
        <x:v>https://kosis.kr/statHtml/statHtml.do?orgId=360&amp;tblId=DT_1R11001_FRM101&amp;vw_cd=MT_ZTITLE&amp;list_id=&amp;seqNo=&amp;lang_mode=ko&amp;language=kor&amp;obj_var_id=&amp;itm_id=&amp;conn_path=MT_ZTITLE</x:v>
      </x:c>
      <x:c r="AI69" s="38" t="str">
        <x:v>21-60</x:v>
      </x:c>
      <x:c r="AJ69" s="38" t="n">
        <x:v>46239.355250277775</x:v>
      </x:c>
    </x:row>
    <x:row r="70">
      <x:c r="A70" s="38" t="str">
        <x:v>MCPG-069</x:v>
      </x:c>
      <x:c r="B70" s="38" t="str">
        <x:v>C15097</x:v>
      </x:c>
      <x:c r="C70" s="102" t="str">
        <x:v>A1986</x:v>
      </x:c>
      <x:c r="D70" s="39" t="str">
        <x:v>반도체 사상 최대에도 5월 수출은 마이너스</x:v>
      </x:c>
      <x:c r="E70" s="39" t="str">
        <x:v>2025-06-02</x:v>
      </x:c>
      <x:c r="F70" s="39" t="str">
        <x:v>https://www.chosun.com/economy/industry-company/2025/06/02/H7Z2IJ6SSRDTTFLMWJECW7ZFBQ</x:v>
      </x:c>
      <x:c r="G70" s="39" t="str">
        <x:v>산업통상자원부는 1일 지난달 수출액이 작년보다 1.3% 감소한 572억7000만달러(약 79조2500억원)로 집계됐다고 밝혔다.</x:v>
      </x:c>
      <x:c r="H70" s="38" t="str">
        <x:v>CHANGE_RATE</x:v>
      </x:c>
      <x:c r="I70" s="40" t="str">
        <x:v>1.3</x:v>
      </x:c>
      <x:c r="J70" s="38" t="str">
        <x:v>['일', '%', '억원']</x:v>
      </x:c>
      <x:c r="K70" s="38" t="str">
        <x:v>REFUTES</x:v>
      </x:c>
      <x:c r="L70" s="38" t="str">
        <x:v>FULL_KOSIS_MCP</x:v>
      </x:c>
      <x:c r="M70" s="38" t="str">
        <x:v>Y</x:v>
      </x:c>
      <x:c r="N70" s="38" t="str">
        <x:v>Y</x:v>
      </x:c>
      <x:c r="O70" s="38" t="str">
        <x:v>N</x:v>
      </x:c>
      <x:c r="P70" s="38" t="str">
        <x:v>360</x:v>
      </x:c>
      <x:c r="Q70" s="38" t="str">
        <x:v>DT_1R11001_FRM101</x:v>
      </x:c>
      <x:c r="R70" s="38" t="str">
        <x:v>품목별 수출액 수입액</x:v>
      </x:c>
      <x:c r="S70" s="38" t="str">
        <x:v>13102112831A.7763</x:v>
      </x:c>
      <x:c r="T70" s="38" t="str">
        <x:v>N/A</x:v>
      </x:c>
      <x:c r="U70" s="38" t="str">
        <x:v>13103112831T1</x:v>
      </x:c>
      <x:c r="V70" s="38" t="str">
        <x:v>수출액</x:v>
      </x:c>
      <x:c r="W70" s="38" t="str">
        <x:v>다이오드트랜지스터 기타 이와 유사한 반도체 디바이스</x:v>
      </x:c>
      <x:c r="X70" s="38" t="str">
        <x:v>M</x:v>
      </x:c>
      <x:c r="Y70" s="38" t="str">
        <x:v>202405</x:v>
      </x:c>
      <x:c r="Z70" s="38" t="str">
        <x:v>202404</x:v>
      </x:c>
      <x:c r="AA70" s="41" t="str">
        <x:v>275527.0</x:v>
      </x:c>
      <x:c r="AB70" s="41" t="str">
        <x:v>292533.0</x:v>
      </x:c>
      <x:c r="AC70" s="41" t="str">
        <x:v>천달러</x:v>
      </x:c>
      <x:c r="AD70" s="41" t="str">
        <x:v>-5.813361227622183</x:v>
      </x:c>
      <x:c r="AE70" s="39" t="str">
        <x:v>(MCP current − MCP previous) / |MCP previous| × 100</x:v>
      </x:c>
      <x:c r="AF70" s="39" t="str">
        <x:v>MCP_ACTUAL_VALUE_CONFIRMED</x:v>
      </x:c>
      <x:c r="AG70" s="39" t="str">
        <x:v>KOSIS_MCP_GET_DATA</x:v>
      </x:c>
      <x:c r="AH70" s="39" t="str">
        <x:v>https://kosis.kr/statHtml/statHtml.do?orgId=360&amp;tblId=DT_1R11001_FRM101&amp;vw_cd=MT_ZTITLE&amp;list_id=&amp;seqNo=&amp;lang_mode=ko&amp;language=kor&amp;obj_var_id=&amp;itm_id=&amp;conn_path=MT_ZTITLE</x:v>
      </x:c>
      <x:c r="AI70" s="38" t="str">
        <x:v>21-60</x:v>
      </x:c>
      <x:c r="AJ70" s="38" t="n">
        <x:v>46239.355250277775</x:v>
      </x:c>
    </x:row>
    <x:row r="71">
      <x:c r="A71" s="38" t="str">
        <x:v>MCPG-070</x:v>
      </x:c>
      <x:c r="B71" s="38" t="str">
        <x:v>C15425</x:v>
      </x:c>
      <x:c r="C71" s="102" t="str">
        <x:v>A2025</x:v>
      </x:c>
      <x:c r="D71" s="39" t="str">
        <x:v>테슬라 5월 수입차 판매서 첫 1위...수입차 판매 16%↑</x:v>
      </x:c>
      <x:c r="E71" s="39" t="str">
        <x:v>2025-06-05</x:v>
      </x:c>
      <x:c r="F71" s="39" t="str">
        <x:v>https://www.chosun.com/economy/industry-company/2025/06/05/LDLPZ54VU5EX7GKZQC5XXB7IL4</x:v>
      </x:c>
      <x:c r="G71" s="39" t="str">
        <x:v>5일 한국수입자동차협회(KAIDA)에 따르면 올해 5월 수입 승용차 신규 등록 대수는 작년 대비 16.4% 증가한 2만8189대로 집계됐다.</x:v>
      </x:c>
      <x:c r="H71" s="38" t="str">
        <x:v>CHANGE_RATE</x:v>
      </x:c>
      <x:c r="I71" s="40" t="str">
        <x:v>16.4</x:v>
      </x:c>
      <x:c r="J71" s="38" t="str">
        <x:v>['일', '월', '%']</x:v>
      </x:c>
      <x:c r="K71" s="38" t="str">
        <x:v>REFUTES</x:v>
      </x:c>
      <x:c r="L71" s="38" t="str">
        <x:v>FULL_KOSIS_MCP</x:v>
      </x:c>
      <x:c r="M71" s="38" t="str">
        <x:v>Y</x:v>
      </x:c>
      <x:c r="N71" s="38" t="str">
        <x:v>Y</x:v>
      </x:c>
      <x:c r="O71" s="38" t="str">
        <x:v>N</x:v>
      </x:c>
      <x:c r="P71" s="38" t="str">
        <x:v>360</x:v>
      </x:c>
      <x:c r="Q71" s="38" t="str">
        <x:v>DT_1R11001_FRM101</x:v>
      </x:c>
      <x:c r="R71" s="38" t="str">
        <x:v>품목별 수출액 수입액</x:v>
      </x:c>
      <x:c r="S71" s="38" t="str">
        <x:v>13102112831A.781</x:v>
      </x:c>
      <x:c r="T71" s="38" t="str">
        <x:v>N/A</x:v>
      </x:c>
      <x:c r="U71" s="38" t="str">
        <x:v>13103112831T2</x:v>
      </x:c>
      <x:c r="V71" s="38" t="str">
        <x:v>수입액</x:v>
      </x:c>
      <x:c r="W71" s="38" t="str">
        <x:v>승용자동차 및 기타의 차량</x:v>
      </x:c>
      <x:c r="X71" s="38" t="str">
        <x:v>M</x:v>
      </x:c>
      <x:c r="Y71" s="38" t="str">
        <x:v>202405</x:v>
      </x:c>
      <x:c r="Z71" s="38" t="str">
        <x:v>202305</x:v>
      </x:c>
      <x:c r="AA71" s="41" t="str">
        <x:v>1183589.0</x:v>
      </x:c>
      <x:c r="AB71" s="41" t="str">
        <x:v>1332951.0</x:v>
      </x:c>
      <x:c r="AC71" s="41" t="str">
        <x:v>천달러</x:v>
      </x:c>
      <x:c r="AD71" s="41" t="str">
        <x:v>-11.205363137879786</x:v>
      </x:c>
      <x:c r="AE71" s="39" t="str">
        <x:v>(MCP current − MCP previous) / |MCP previous| × 100</x:v>
      </x:c>
      <x:c r="AF71" s="39" t="str">
        <x:v>MCP_ACTUAL_VALUE_CONFIRMED</x:v>
      </x:c>
      <x:c r="AG71" s="39" t="str">
        <x:v>KOSIS_MCP_GET_DATA</x:v>
      </x:c>
      <x:c r="AH71" s="39" t="str">
        <x:v>https://kosis.kr/statHtml/statHtml.do?orgId=360&amp;tblId=DT_1R11001_FRM101&amp;vw_cd=MT_ZTITLE&amp;list_id=&amp;seqNo=&amp;lang_mode=ko&amp;language=kor&amp;obj_var_id=&amp;itm_id=&amp;conn_path=MT_ZTITLE</x:v>
      </x:c>
      <x:c r="AI71" s="38" t="str">
        <x:v>21-60</x:v>
      </x:c>
      <x:c r="AJ71" s="38" t="n">
        <x:v>46239.355250277775</x:v>
      </x:c>
    </x:row>
    <x:row r="72">
      <x:c r="A72" s="38" t="str">
        <x:v>MCPG-071</x:v>
      </x:c>
      <x:c r="B72" s="38" t="str">
        <x:v>C16535</x:v>
      </x:c>
      <x:c r="C72" s="102" t="str">
        <x:v>A2175</x:v>
      </x:c>
      <x:c r="D72" s="39" t="str">
        <x:v>5월 자동차 내수 판매, 친환경차가 내연차 첫 역전</x:v>
      </x:c>
      <x:c r="E72" s="39" t="str">
        <x:v>2025-06-17</x:v>
      </x:c>
      <x:c r="F72" s="39" t="str">
        <x:v>https://www.chosun.com/economy/auto/2025/06/17/7Q5BOD7QBZFKDGBIM5BG2IXI5U</x:v>
      </x:c>
      <x:c r="G72" s="39" t="str">
        <x:v>한편, 5월 자동차 수출액은 작년보다 4.4% 감소한 62억 달러로 집계됐다.</x:v>
      </x:c>
      <x:c r="H72" s="38" t="str">
        <x:v>CHANGE_RATE</x:v>
      </x:c>
      <x:c r="I72" s="40" t="str">
        <x:v>4.4</x:v>
      </x:c>
      <x:c r="J72" s="38" t="str">
        <x:v>['월', '%']</x:v>
      </x:c>
      <x:c r="K72" s="38" t="str">
        <x:v>REFUTES</x:v>
      </x:c>
      <x:c r="L72" s="38" t="str">
        <x:v>FULL_KOSIS_MCP</x:v>
      </x:c>
      <x:c r="M72" s="38" t="str">
        <x:v>Y</x:v>
      </x:c>
      <x:c r="N72" s="38" t="str">
        <x:v>Y</x:v>
      </x:c>
      <x:c r="O72" s="38" t="str">
        <x:v>N</x:v>
      </x:c>
      <x:c r="P72" s="38" t="str">
        <x:v>360</x:v>
      </x:c>
      <x:c r="Q72" s="38" t="str">
        <x:v>DT_1R11001_FRM101</x:v>
      </x:c>
      <x:c r="R72" s="38" t="str">
        <x:v>품목별 수출액 수입액</x:v>
      </x:c>
      <x:c r="S72" s="38" t="str">
        <x:v>13102112831A.781</x:v>
      </x:c>
      <x:c r="T72" s="38" t="str">
        <x:v>N/A</x:v>
      </x:c>
      <x:c r="U72" s="38" t="str">
        <x:v>13103112831T1</x:v>
      </x:c>
      <x:c r="V72" s="38" t="str">
        <x:v>수출액</x:v>
      </x:c>
      <x:c r="W72" s="38" t="str">
        <x:v>승용자동차 및 기타의 차량</x:v>
      </x:c>
      <x:c r="X72" s="38" t="str">
        <x:v>M</x:v>
      </x:c>
      <x:c r="Y72" s="38" t="str">
        <x:v>202405</x:v>
      </x:c>
      <x:c r="Z72" s="38" t="str">
        <x:v>202404</x:v>
      </x:c>
      <x:c r="AA72" s="41" t="str">
        <x:v>6292123.0</x:v>
      </x:c>
      <x:c r="AB72" s="41" t="str">
        <x:v>6571649.0</x:v>
      </x:c>
      <x:c r="AC72" s="41" t="str">
        <x:v>천달러</x:v>
      </x:c>
      <x:c r="AD72" s="41" t="str">
        <x:v>-4.253513844089969</x:v>
      </x:c>
      <x:c r="AE72" s="39" t="str">
        <x:v>(MCP current − MCP previous) / |MCP previous| × 100</x:v>
      </x:c>
      <x:c r="AF72" s="39" t="str">
        <x:v>MCP_ACTUAL_VALUE_CONFIRMED</x:v>
      </x:c>
      <x:c r="AG72" s="39" t="str">
        <x:v>KOSIS_MCP_GET_DATA</x:v>
      </x:c>
      <x:c r="AH72" s="39" t="str">
        <x:v>https://kosis.kr/statHtml/statHtml.do?orgId=360&amp;tblId=DT_1R11001_FRM101&amp;vw_cd=MT_ZTITLE&amp;list_id=&amp;seqNo=&amp;lang_mode=ko&amp;language=kor&amp;obj_var_id=&amp;itm_id=&amp;conn_path=MT_ZTITLE</x:v>
      </x:c>
      <x:c r="AI72" s="38" t="str">
        <x:v>21-60</x:v>
      </x:c>
      <x:c r="AJ72" s="38" t="n">
        <x:v>46239.35525028935</x:v>
      </x:c>
    </x:row>
    <x:row r="73">
      <x:c r="A73" s="38" t="str">
        <x:v>MCPG-072</x:v>
      </x:c>
      <x:c r="B73" s="38" t="str">
        <x:v>C00225</x:v>
      </x:c>
      <x:c r="C73" s="102" t="str">
        <x:v>A0023</x:v>
      </x:c>
      <x:c r="D73" s="39" t="str">
        <x:v>정부 “올해 경제성장률 1.8%”… 한은 전망보다 더 낮췄다</x:v>
      </x:c>
      <x:c r="E73" s="39" t="str">
        <x:v>2025-01-02</x:v>
      </x:c>
      <x:c r="F73" s="39" t="str">
        <x:v>https://www.chosun.com/economy/economy_general/2025/01/02/FWT5PD42TZED7JTIXYCIECCFRE</x:v>
      </x:c>
      <x:c r="G73" s="39" t="str">
        <x:v>기재부는 우리나라 주력 수출 품목인 메모리반도체의 매출 성장세가 올해 13.4%로 작년(81%)의 16.5% 수준으로 쪼그라들 것이라는 세계반도체무역통계기구(WSTS)의 최근 전망을 인용하기도 했다.</x:v>
      </x:c>
      <x:c r="H73" s="38" t="str">
        <x:v>CHANGE_RATE</x:v>
      </x:c>
      <x:c r="I73" s="40" t="str">
        <x:v>16.5</x:v>
      </x:c>
      <x:c r="J73" s="38" t="str">
        <x:v>['%', '%', '%']</x:v>
      </x:c>
      <x:c r="K73" s="38" t="str">
        <x:v>REFUTES</x:v>
      </x:c>
      <x:c r="L73" s="38" t="str">
        <x:v>FULL_KOSIS_MCP</x:v>
      </x:c>
      <x:c r="M73" s="38" t="str">
        <x:v>Y</x:v>
      </x:c>
      <x:c r="N73" s="38" t="str">
        <x:v>Y</x:v>
      </x:c>
      <x:c r="O73" s="38" t="str">
        <x:v>N</x:v>
      </x:c>
      <x:c r="P73" s="38" t="str">
        <x:v>360</x:v>
      </x:c>
      <x:c r="Q73" s="38" t="str">
        <x:v>DT_1R11006_FRM101</x:v>
      </x:c>
      <x:c r="R73" s="38" t="str">
        <x:v>국가별 수출액 수입액</x:v>
      </x:c>
      <x:c r="S73" s="38" t="str">
        <x:v>13102103829E.00</x:v>
      </x:c>
      <x:c r="T73" s="38" t="str">
        <x:v>N/A</x:v>
      </x:c>
      <x:c r="U73" s="38" t="str">
        <x:v>13103103829T1</x:v>
      </x:c>
      <x:c r="V73" s="38" t="str">
        <x:v>수출액</x:v>
      </x:c>
      <x:c r="W73" s="38" t="str">
        <x:v>계</x:v>
      </x:c>
      <x:c r="X73" s="38" t="str">
        <x:v>Y</x:v>
      </x:c>
      <x:c r="Y73" s="38" t="str">
        <x:v>2024</x:v>
      </x:c>
      <x:c r="Z73" s="38" t="str">
        <x:v>2023</x:v>
      </x:c>
      <x:c r="AA73" s="41" t="str">
        <x:v>683609488.0</x:v>
      </x:c>
      <x:c r="AB73" s="41" t="str">
        <x:v>632225824.0</x:v>
      </x:c>
      <x:c r="AC73" s="41" t="str">
        <x:v>천달러</x:v>
      </x:c>
      <x:c r="AD73" s="41" t="str">
        <x:v>8.127422520469521</x:v>
      </x:c>
      <x:c r="AE73" s="39" t="str">
        <x:v>(MCP current − MCP previous) / |MCP previous| × 100</x:v>
      </x:c>
      <x:c r="AF73" s="39" t="str">
        <x:v>MCP_ACTUAL_VALUE_CONFIRMED</x:v>
      </x:c>
      <x:c r="AG73" s="39" t="str">
        <x:v>KOSIS_MCP_GET_DATA</x:v>
      </x:c>
      <x:c r="AH73" s="39" t="str">
        <x:v>https://kosis.kr/statHtml/statHtml.do?orgId=360&amp;tblId=DT_1R11006_FRM101&amp;vw_cd=MT_ZTITLE&amp;list_id=&amp;seqNo=&amp;lang_mode=ko&amp;language=kor&amp;obj_var_id=&amp;itm_id=&amp;conn_path=MT_ZTITLE</x:v>
      </x:c>
      <x:c r="AI73" s="38" t="str">
        <x:v>21-60</x:v>
      </x:c>
      <x:c r="AJ73" s="38" t="n">
        <x:v>46239.35525028935</x:v>
      </x:c>
    </x:row>
    <x:row r="74">
      <x:c r="A74" s="38" t="str">
        <x:v>MCPG-073</x:v>
      </x:c>
      <x:c r="B74" s="38" t="str">
        <x:v>C00588</x:v>
      </x:c>
      <x:c r="C74" s="102" t="str">
        <x:v>A0070</x:v>
      </x:c>
      <x:c r="D74" s="39" t="str">
        <x:v>대중-대미 수출 격차 21년 만 최소...트럼프 2기 미국 수출 1위 올라서나</x:v>
      </x:c>
      <x:c r="E74" s="39" t="str">
        <x:v>2025-01-06</x:v>
      </x:c>
      <x:c r="F74" s="39" t="str">
        <x:v>https://www.chosun.com/economy/economy_general/2025/01/06/BXDMXSYJWZDNDOGA5VONBDMCWY</x:v>
      </x:c>
      <x:c r="G74" s="39" t="str">
        <x:v>6일 한국무역협회에 따르면, 지난해 대중 수출액은 1330억2600만달러로 전년 대비 6.6% 늘었다.</x:v>
      </x:c>
      <x:c r="H74" s="38" t="str">
        <x:v>CHANGE_RATE</x:v>
      </x:c>
      <x:c r="I74" s="40" t="str">
        <x:v>6.6</x:v>
      </x:c>
      <x:c r="J74" s="38" t="str">
        <x:v>['일', '%']</x:v>
      </x:c>
      <x:c r="K74" s="38" t="str">
        <x:v>REFUTES</x:v>
      </x:c>
      <x:c r="L74" s="38" t="str">
        <x:v>FULL_KOSIS_MCP</x:v>
      </x:c>
      <x:c r="M74" s="38" t="str">
        <x:v>Y</x:v>
      </x:c>
      <x:c r="N74" s="38" t="str">
        <x:v>Y</x:v>
      </x:c>
      <x:c r="O74" s="38" t="str">
        <x:v>N</x:v>
      </x:c>
      <x:c r="P74" s="38" t="str">
        <x:v>360</x:v>
      </x:c>
      <x:c r="Q74" s="38" t="str">
        <x:v>DT_1R11006_FRM101</x:v>
      </x:c>
      <x:c r="R74" s="38" t="str">
        <x:v>국가별 수출액 수입액</x:v>
      </x:c>
      <x:c r="S74" s="38" t="str">
        <x:v>13102103829E.US</x:v>
      </x:c>
      <x:c r="T74" s="38" t="str">
        <x:v>N/A</x:v>
      </x:c>
      <x:c r="U74" s="38" t="str">
        <x:v>13103103829T1</x:v>
      </x:c>
      <x:c r="V74" s="38" t="str">
        <x:v>수출액</x:v>
      </x:c>
      <x:c r="W74" s="38" t="str">
        <x:v>미국</x:v>
      </x:c>
      <x:c r="X74" s="38" t="str">
        <x:v>Y</x:v>
      </x:c>
      <x:c r="Y74" s="38" t="str">
        <x:v>2024</x:v>
      </x:c>
      <x:c r="Z74" s="38" t="str">
        <x:v>2023</x:v>
      </x:c>
      <x:c r="AA74" s="41" t="str">
        <x:v>127761371.0</x:v>
      </x:c>
      <x:c r="AB74" s="41" t="str">
        <x:v>115696334.0</x:v>
      </x:c>
      <x:c r="AC74" s="41" t="str">
        <x:v>천달러</x:v>
      </x:c>
      <x:c r="AD74" s="41" t="str">
        <x:v>10.428192997022705</x:v>
      </x:c>
      <x:c r="AE74" s="39" t="str">
        <x:v>(MCP current − MCP previous) / |MCP previous| × 100</x:v>
      </x:c>
      <x:c r="AF74" s="39" t="str">
        <x:v>MCP_ACTUAL_VALUE_CONFIRMED</x:v>
      </x:c>
      <x:c r="AG74" s="39" t="str">
        <x:v>KOSIS_MCP_GET_DATA</x:v>
      </x:c>
      <x:c r="AH74" s="39" t="str">
        <x:v>https://kosis.kr/statHtml/statHtml.do?orgId=360&amp;tblId=DT_1R11006_FRM101&amp;vw_cd=MT_ZTITLE&amp;list_id=&amp;seqNo=&amp;lang_mode=ko&amp;language=kor&amp;obj_var_id=&amp;itm_id=&amp;conn_path=MT_ZTITLE</x:v>
      </x:c>
      <x:c r="AI74" s="38" t="str">
        <x:v>21-60</x:v>
      </x:c>
      <x:c r="AJ74" s="38" t="n">
        <x:v>46239.35525030093</x:v>
      </x:c>
    </x:row>
    <x:row r="75">
      <x:c r="A75" s="38" t="str">
        <x:v>MCPG-074</x:v>
      </x:c>
      <x:c r="B75" s="38" t="str">
        <x:v>C00592</x:v>
      </x:c>
      <x:c r="C75" s="102" t="str">
        <x:v>A0070</x:v>
      </x:c>
      <x:c r="D75" s="39" t="str">
        <x:v>대중-대미 수출 격차 21년 만 최소...트럼프 2기 미국 수출 1위 올라서나</x:v>
      </x:c>
      <x:c r="E75" s="39" t="str">
        <x:v>2025-01-06</x:v>
      </x:c>
      <x:c r="F75" s="39" t="str">
        <x:v>https://www.chosun.com/economy/economy_general/2025/01/06/BXDMXSYJWZDNDOGA5VONBDMCWY</x:v>
      </x:c>
      <x:c r="G75" s="39" t="str">
        <x:v>그러나 이후 대미 수출액이 매년 역대 최대치를 갱신하며, 2022년(1097억6600만달러) 처음으로 1000억달러선을 넘어섰다.</x:v>
      </x:c>
      <x:c r="H75" s="38" t="str">
        <x:v>LEVEL</x:v>
      </x:c>
      <x:c r="I75" s="40" t="str">
        <x:v>1000.0</x:v>
      </x:c>
      <x:c r="J75" s="38" t="str">
        <x:v>['년']</x:v>
      </x:c>
      <x:c r="K75" s="38" t="str">
        <x:v>REFUTES</x:v>
      </x:c>
      <x:c r="L75" s="38" t="str">
        <x:v>FULL_KOSIS_MCP</x:v>
      </x:c>
      <x:c r="M75" s="38" t="str">
        <x:v>Y</x:v>
      </x:c>
      <x:c r="N75" s="38" t="str">
        <x:v>Y</x:v>
      </x:c>
      <x:c r="O75" s="38" t="str">
        <x:v>N</x:v>
      </x:c>
      <x:c r="P75" s="38" t="str">
        <x:v>360</x:v>
      </x:c>
      <x:c r="Q75" s="38" t="str">
        <x:v>DT_1R11006_FRM101</x:v>
      </x:c>
      <x:c r="R75" s="38" t="str">
        <x:v>국가별 수출액 수입액</x:v>
      </x:c>
      <x:c r="S75" s="38" t="str">
        <x:v>13102103829E.US</x:v>
      </x:c>
      <x:c r="T75" s="38" t="str">
        <x:v>N/A</x:v>
      </x:c>
      <x:c r="U75" s="38" t="str">
        <x:v>13103103829T1</x:v>
      </x:c>
      <x:c r="V75" s="38" t="str">
        <x:v>수출액</x:v>
      </x:c>
      <x:c r="W75" s="38" t="str">
        <x:v>미국</x:v>
      </x:c>
      <x:c r="X75" s="38" t="str">
        <x:v>Y</x:v>
      </x:c>
      <x:c r="Y75" s="38" t="str">
        <x:v>2022</x:v>
      </x:c>
      <x:c r="Z75" s="38" t="str">
        <x:v>N/A</x:v>
      </x:c>
      <x:c r="AA75" s="41" t="str">
        <x:v>109765705.0</x:v>
      </x:c>
      <x:c r="AB75" s="41" t="str">
        <x:v>N/A</x:v>
      </x:c>
      <x:c r="AC75" s="41" t="str">
        <x:v>천달러</x:v>
      </x:c>
      <x:c r="AD75" s="41" t="str">
        <x:v>1097.65705</x:v>
      </x:c>
      <x:c r="AE75" s="39" t="str">
        <x:v>MCP current value × source unit scale (1e-05)</x:v>
      </x:c>
      <x:c r="AF75" s="39" t="str">
        <x:v>MCP_ACTUAL_VALUE_CONFIRMED</x:v>
      </x:c>
      <x:c r="AG75" s="39" t="str">
        <x:v>KOSIS_MCP_GET_DATA</x:v>
      </x:c>
      <x:c r="AH75" s="39" t="str">
        <x:v>https://kosis.kr/statHtml/statHtml.do?orgId=360&amp;tblId=DT_1R11006_FRM101&amp;vw_cd=MT_ZTITLE&amp;list_id=&amp;seqNo=&amp;lang_mode=ko&amp;language=kor&amp;obj_var_id=&amp;itm_id=&amp;conn_path=MT_ZTITLE</x:v>
      </x:c>
      <x:c r="AI75" s="38" t="str">
        <x:v>21-60</x:v>
      </x:c>
      <x:c r="AJ75" s="38" t="n">
        <x:v>46239.3552503125</x:v>
      </x:c>
    </x:row>
    <x:row r="76">
      <x:c r="A76" s="38" t="str">
        <x:v>MCPG-075</x:v>
      </x:c>
      <x:c r="B76" s="38" t="str">
        <x:v>C00648</x:v>
      </x:c>
      <x:c r="C76" s="102" t="str">
        <x:v>A0076</x:v>
      </x:c>
      <x:c r="D76" s="39" t="str">
        <x:v>반도체 수출, 中·홍콩 비율 9%p 이상 줄어</x:v>
      </x:c>
      <x:c r="E76" s="39" t="str">
        <x:v>2025-01-06</x:v>
      </x:c>
      <x:c r="F76" s="39" t="str">
        <x:v>https://www.chosun.com/economy/industry-company/2025/01/06/BMVO4ZZBRRFZ7NTLK4INPJWIF4</x:v>
      </x:c>
      <x:c r="G76" s="39" t="str">
        <x:v>5일 산업통상자원부와 한국무역협회에 따르면 작년 1~11월 반도체 수출(1274억달러) 가운데 중국 비율은 33.3%, 홍콩 비율은 18.4%로 나타났다.</x:v>
      </x:c>
      <x:c r="H76" s="38" t="str">
        <x:v>LEVEL</x:v>
      </x:c>
      <x:c r="I76" s="40" t="str">
        <x:v>1274.0</x:v>
      </x:c>
      <x:c r="J76" s="38" t="str">
        <x:v>['일', '월', '%', '%']</x:v>
      </x:c>
      <x:c r="K76" s="38" t="str">
        <x:v>REFUTES</x:v>
      </x:c>
      <x:c r="L76" s="38" t="str">
        <x:v>FULL_KOSIS_MCP</x:v>
      </x:c>
      <x:c r="M76" s="38" t="str">
        <x:v>Y</x:v>
      </x:c>
      <x:c r="N76" s="38" t="str">
        <x:v>Y</x:v>
      </x:c>
      <x:c r="O76" s="38" t="str">
        <x:v>N</x:v>
      </x:c>
      <x:c r="P76" s="38" t="str">
        <x:v>360</x:v>
      </x:c>
      <x:c r="Q76" s="38" t="str">
        <x:v>DT_1R11006_FRM101</x:v>
      </x:c>
      <x:c r="R76" s="38" t="str">
        <x:v>국가별 수출액 수입액</x:v>
      </x:c>
      <x:c r="S76" s="38" t="str">
        <x:v>13102103829E.CN</x:v>
      </x:c>
      <x:c r="T76" s="38" t="str">
        <x:v>N/A</x:v>
      </x:c>
      <x:c r="U76" s="38" t="str">
        <x:v>13103103829T1</x:v>
      </x:c>
      <x:c r="V76" s="38" t="str">
        <x:v>수출액</x:v>
      </x:c>
      <x:c r="W76" s="38" t="str">
        <x:v>중국</x:v>
      </x:c>
      <x:c r="X76" s="38" t="str">
        <x:v>M</x:v>
      </x:c>
      <x:c r="Y76" s="38" t="str">
        <x:v>202411</x:v>
      </x:c>
      <x:c r="Z76" s="38" t="str">
        <x:v>N/A</x:v>
      </x:c>
      <x:c r="AA76" s="41" t="str">
        <x:v>11290362.0</x:v>
      </x:c>
      <x:c r="AB76" s="41" t="str">
        <x:v>N/A</x:v>
      </x:c>
      <x:c r="AC76" s="41" t="str">
        <x:v>천달러</x:v>
      </x:c>
      <x:c r="AD76" s="41" t="str">
        <x:v>112.90362</x:v>
      </x:c>
      <x:c r="AE76" s="39" t="str">
        <x:v>MCP current value × source unit scale (1e-05)</x:v>
      </x:c>
      <x:c r="AF76" s="39" t="str">
        <x:v>MCP_ACTUAL_VALUE_CONFIRMED</x:v>
      </x:c>
      <x:c r="AG76" s="39" t="str">
        <x:v>KOSIS_MCP_GET_DATA</x:v>
      </x:c>
      <x:c r="AH76" s="39" t="str">
        <x:v>https://kosis.kr/statHtml/statHtml.do?orgId=360&amp;tblId=DT_1R11006_FRM101&amp;vw_cd=MT_ZTITLE&amp;list_id=&amp;seqNo=&amp;lang_mode=ko&amp;language=kor&amp;obj_var_id=&amp;itm_id=&amp;conn_path=MT_ZTITLE</x:v>
      </x:c>
      <x:c r="AI76" s="38" t="str">
        <x:v>21-60</x:v>
      </x:c>
      <x:c r="AJ76" s="38" t="n">
        <x:v>46239.3552503125</x:v>
      </x:c>
    </x:row>
    <x:row r="77">
      <x:c r="A77" s="38" t="str">
        <x:v>MCPG-076</x:v>
      </x:c>
      <x:c r="B77" s="38" t="str">
        <x:v>C00812</x:v>
      </x:c>
      <x:c r="C77" s="102" t="str">
        <x:v>A0103</x:v>
      </x:c>
      <x:c r="D77" s="39" t="str">
        <x:v>라면·냉동 김밥… K푸드 수출 1위는 미국</x:v>
      </x:c>
      <x:c r="E77" s="39" t="str">
        <x:v>2025-01-08</x:v>
      </x:c>
      <x:c r="F77" s="39" t="str">
        <x:v>https://www.chosun.com/economy/economy_general/2025/01/08/OCB6UW6X6NHHJAWKHI34GRQSBI</x:v>
      </x:c>
      <x:c r="G77" s="39" t="str">
        <x:v>대(對)미국 수출은 15억9000만달러로 2023년보다 21.2% 늘었다.</x:v>
      </x:c>
      <x:c r="H77" s="38" t="str">
        <x:v>CHANGE_RATE</x:v>
      </x:c>
      <x:c r="I77" s="40" t="str">
        <x:v>21.2</x:v>
      </x:c>
      <x:c r="J77" s="38" t="str">
        <x:v>['년', '%']</x:v>
      </x:c>
      <x:c r="K77" s="38" t="str">
        <x:v>REFUTES</x:v>
      </x:c>
      <x:c r="L77" s="38" t="str">
        <x:v>FULL_KOSIS_MCP</x:v>
      </x:c>
      <x:c r="M77" s="38" t="str">
        <x:v>Y</x:v>
      </x:c>
      <x:c r="N77" s="38" t="str">
        <x:v>Y</x:v>
      </x:c>
      <x:c r="O77" s="38" t="str">
        <x:v>N</x:v>
      </x:c>
      <x:c r="P77" s="38" t="str">
        <x:v>360</x:v>
      </x:c>
      <x:c r="Q77" s="38" t="str">
        <x:v>DT_1R11006_FRM101</x:v>
      </x:c>
      <x:c r="R77" s="38" t="str">
        <x:v>국가별 수출액 수입액</x:v>
      </x:c>
      <x:c r="S77" s="38" t="str">
        <x:v>13102103829E.US</x:v>
      </x:c>
      <x:c r="T77" s="38" t="str">
        <x:v>N/A</x:v>
      </x:c>
      <x:c r="U77" s="38" t="str">
        <x:v>13103103829T1</x:v>
      </x:c>
      <x:c r="V77" s="38" t="str">
        <x:v>수출액</x:v>
      </x:c>
      <x:c r="W77" s="38" t="str">
        <x:v>미국</x:v>
      </x:c>
      <x:c r="X77" s="38" t="str">
        <x:v>Y</x:v>
      </x:c>
      <x:c r="Y77" s="38" t="str">
        <x:v>2023</x:v>
      </x:c>
      <x:c r="Z77" s="38" t="str">
        <x:v>2022</x:v>
      </x:c>
      <x:c r="AA77" s="41" t="str">
        <x:v>115696334.0</x:v>
      </x:c>
      <x:c r="AB77" s="41" t="str">
        <x:v>109765705.0</x:v>
      </x:c>
      <x:c r="AC77" s="41" t="str">
        <x:v>천달러</x:v>
      </x:c>
      <x:c r="AD77" s="41" t="str">
        <x:v>5.402989030134686</x:v>
      </x:c>
      <x:c r="AE77" s="39" t="str">
        <x:v>(MCP current − MCP previous) / |MCP previous| × 100</x:v>
      </x:c>
      <x:c r="AF77" s="39" t="str">
        <x:v>MCP_ACTUAL_VALUE_CONFIRMED</x:v>
      </x:c>
      <x:c r="AG77" s="39" t="str">
        <x:v>KOSIS_MCP_GET_DATA</x:v>
      </x:c>
      <x:c r="AH77" s="39" t="str">
        <x:v>https://kosis.kr/statHtml/statHtml.do?orgId=360&amp;tblId=DT_1R11006_FRM101&amp;vw_cd=MT_ZTITLE&amp;list_id=&amp;seqNo=&amp;lang_mode=ko&amp;language=kor&amp;obj_var_id=&amp;itm_id=&amp;conn_path=MT_ZTITLE</x:v>
      </x:c>
      <x:c r="AI77" s="38" t="str">
        <x:v>21-60</x:v>
      </x:c>
      <x:c r="AJ77" s="38" t="n">
        <x:v>46239.3552503125</x:v>
      </x:c>
    </x:row>
    <x:row r="78">
      <x:c r="A78" s="38" t="str">
        <x:v>MCPG-077</x:v>
      </x:c>
      <x:c r="B78" s="38" t="str">
        <x:v>C01374</x:v>
      </x:c>
      <x:c r="C78" s="102" t="str">
        <x:v>A0191</x:v>
      </x:c>
      <x:c r="D78" s="39" t="str">
        <x:v>“트럼프 2기 출범 후 일괄 관세 부과하면 한국 수출 큰 타격”</x:v>
      </x:c>
      <x:c r="E78" s="39" t="str">
        <x:v>2025-01-15</x:v>
      </x:c>
      <x:c r="F78" s="39" t="str">
        <x:v>https://www.chosun.com/economy/economy_general/2025/01/15/NGXOCXC67ZDMXJGBKFCDZHY77Q</x:v>
      </x:c>
      <x:c r="G78" s="39" t="str">
        <x:v>트럼프 당선인은 지난해 선거 기간 동안 중국 제품에 대해 최대 60%, 다른 나라들에는 10%의 관세를 부과하겠다는 공약을 내놨다.</x:v>
      </x:c>
      <x:c r="H78" s="38" t="str">
        <x:v>LEVEL</x:v>
      </x:c>
      <x:c r="I78" s="40" t="str">
        <x:v>10.0</x:v>
      </x:c>
      <x:c r="J78" s="38" t="str">
        <x:v>['%', '%']</x:v>
      </x:c>
      <x:c r="K78" s="38" t="str">
        <x:v>REFUTES</x:v>
      </x:c>
      <x:c r="L78" s="38" t="str">
        <x:v>FULL_KOSIS_MCP</x:v>
      </x:c>
      <x:c r="M78" s="38" t="str">
        <x:v>Y</x:v>
      </x:c>
      <x:c r="N78" s="38" t="str">
        <x:v>Y</x:v>
      </x:c>
      <x:c r="O78" s="38" t="str">
        <x:v>N</x:v>
      </x:c>
      <x:c r="P78" s="38" t="str">
        <x:v>360</x:v>
      </x:c>
      <x:c r="Q78" s="38" t="str">
        <x:v>DT_1R11006_FRM101</x:v>
      </x:c>
      <x:c r="R78" s="38" t="str">
        <x:v>국가별 수출액 수입액</x:v>
      </x:c>
      <x:c r="S78" s="38" t="str">
        <x:v>13102103829E.CN</x:v>
      </x:c>
      <x:c r="T78" s="38" t="str">
        <x:v>N/A</x:v>
      </x:c>
      <x:c r="U78" s="38" t="str">
        <x:v>13103103829T1</x:v>
      </x:c>
      <x:c r="V78" s="38" t="str">
        <x:v>수출액</x:v>
      </x:c>
      <x:c r="W78" s="38" t="str">
        <x:v>중국</x:v>
      </x:c>
      <x:c r="X78" s="38" t="str">
        <x:v>Y</x:v>
      </x:c>
      <x:c r="Y78" s="38" t="str">
        <x:v>2024</x:v>
      </x:c>
      <x:c r="Z78" s="38" t="str">
        <x:v>N/A</x:v>
      </x:c>
      <x:c r="AA78" s="41" t="str">
        <x:v>133011386.0</x:v>
      </x:c>
      <x:c r="AB78" s="41" t="str">
        <x:v>N/A</x:v>
      </x:c>
      <x:c r="AC78" s="41" t="str">
        <x:v>천달러</x:v>
      </x:c>
      <x:c r="AD78" s="41" t="str">
        <x:v>133011386.0</x:v>
      </x:c>
      <x:c r="AE78" s="39" t="str">
        <x:v>MCP current value × source unit scale (1)</x:v>
      </x:c>
      <x:c r="AF78" s="39" t="str">
        <x:v>MCP_ACTUAL_VALUE_CONFIRMED</x:v>
      </x:c>
      <x:c r="AG78" s="39" t="str">
        <x:v>KOSIS_MCP_GET_DATA</x:v>
      </x:c>
      <x:c r="AH78" s="39" t="str">
        <x:v>https://kosis.kr/statHtml/statHtml.do?orgId=360&amp;tblId=DT_1R11006_FRM101&amp;vw_cd=MT_ZTITLE&amp;list_id=&amp;seqNo=&amp;lang_mode=ko&amp;language=kor&amp;obj_var_id=&amp;itm_id=&amp;conn_path=MT_ZTITLE</x:v>
      </x:c>
      <x:c r="AI78" s="38" t="str">
        <x:v>21-60</x:v>
      </x:c>
      <x:c r="AJ78" s="38" t="n">
        <x:v>46239.3552503125</x:v>
      </x:c>
    </x:row>
    <x:row r="79">
      <x:c r="A79" s="38" t="str">
        <x:v>MCPG-078</x:v>
      </x:c>
      <x:c r="B79" s="38" t="str">
        <x:v>C01872</x:v>
      </x:c>
      <x:c r="C79" s="102" t="str">
        <x:v>A0257</x:v>
      </x:c>
      <x:c r="D79" s="39" t="str">
        <x:v>2000만톤 넘겼다… 美원유 수입 역대 최대</x:v>
      </x:c>
      <x:c r="E79" s="39" t="str">
        <x:v>2025-01-20</x:v>
      </x:c>
      <x:c r="F79" s="39" t="str">
        <x:v>https://www.chosun.com/economy/industry-company/2025/01/20/7ZW4SFHX4JEOREMLIKUISOXJHM</x:v>
      </x:c>
      <x:c r="G79" s="39" t="str">
        <x:v>19일 한국무역협회에 따르면, 지난해 한국이 수입한 원유 약 1억3700만t 중 미국산은 약 2151만t(15.7%)을 기록했다.</x:v>
      </x:c>
      <x:c r="H79" s="38" t="str">
        <x:v>LEVEL</x:v>
      </x:c>
      <x:c r="I79" s="40" t="str">
        <x:v>15.7</x:v>
      </x:c>
      <x:c r="J79" s="38" t="str">
        <x:v>['일', '%']</x:v>
      </x:c>
      <x:c r="K79" s="38" t="str">
        <x:v>REFUTES</x:v>
      </x:c>
      <x:c r="L79" s="38" t="str">
        <x:v>FULL_KOSIS_MCP</x:v>
      </x:c>
      <x:c r="M79" s="38" t="str">
        <x:v>Y</x:v>
      </x:c>
      <x:c r="N79" s="38" t="str">
        <x:v>Y</x:v>
      </x:c>
      <x:c r="O79" s="38" t="str">
        <x:v>N</x:v>
      </x:c>
      <x:c r="P79" s="38" t="str">
        <x:v>360</x:v>
      </x:c>
      <x:c r="Q79" s="38" t="str">
        <x:v>DT_1R11006_FRM101</x:v>
      </x:c>
      <x:c r="R79" s="38" t="str">
        <x:v>국가별 수출액 수입액</x:v>
      </x:c>
      <x:c r="S79" s="38" t="str">
        <x:v>13102103829E.US</x:v>
      </x:c>
      <x:c r="T79" s="38" t="str">
        <x:v>N/A</x:v>
      </x:c>
      <x:c r="U79" s="38" t="str">
        <x:v>13103103829T2</x:v>
      </x:c>
      <x:c r="V79" s="38" t="str">
        <x:v>수입액</x:v>
      </x:c>
      <x:c r="W79" s="38" t="str">
        <x:v>미국</x:v>
      </x:c>
      <x:c r="X79" s="38" t="str">
        <x:v>Y</x:v>
      </x:c>
      <x:c r="Y79" s="38" t="str">
        <x:v>2024</x:v>
      </x:c>
      <x:c r="Z79" s="38" t="str">
        <x:v>N/A</x:v>
      </x:c>
      <x:c r="AA79" s="41" t="str">
        <x:v>72132305.0</x:v>
      </x:c>
      <x:c r="AB79" s="41" t="str">
        <x:v>N/A</x:v>
      </x:c>
      <x:c r="AC79" s="41" t="str">
        <x:v>천달러</x:v>
      </x:c>
      <x:c r="AD79" s="41" t="str">
        <x:v>72132305.0</x:v>
      </x:c>
      <x:c r="AE79" s="39" t="str">
        <x:v>MCP current value × source unit scale (1)</x:v>
      </x:c>
      <x:c r="AF79" s="39" t="str">
        <x:v>MCP_ACTUAL_VALUE_CONFIRMED</x:v>
      </x:c>
      <x:c r="AG79" s="39" t="str">
        <x:v>KOSIS_MCP_GET_DATA</x:v>
      </x:c>
      <x:c r="AH79" s="39" t="str">
        <x:v>https://kosis.kr/statHtml/statHtml.do?orgId=360&amp;tblId=DT_1R11006_FRM101&amp;vw_cd=MT_ZTITLE&amp;list_id=&amp;seqNo=&amp;lang_mode=ko&amp;language=kor&amp;obj_var_id=&amp;itm_id=&amp;conn_path=MT_ZTITLE</x:v>
      </x:c>
      <x:c r="AI79" s="38" t="str">
        <x:v>21-60</x:v>
      </x:c>
      <x:c r="AJ79" s="38" t="n">
        <x:v>46239.3552503125</x:v>
      </x:c>
    </x:row>
    <x:row r="80">
      <x:c r="A80" s="38" t="str">
        <x:v>MCPG-079</x:v>
      </x:c>
      <x:c r="B80" s="38" t="str">
        <x:v>C02323</x:v>
      </x:c>
      <x:c r="C80" s="102" t="str">
        <x:v>A0312</x:v>
      </x:c>
      <x:c r="D80" s="39" t="str">
        <x:v>“對美 수출 50%가 美 제조업 부흥·MAGA 위한 것”</x:v>
      </x:c>
      <x:c r="E80" s="39" t="str">
        <x:v>2025-01-24</x:v>
      </x:c>
      <x:c r="F80" s="39" t="str">
        <x:v>https://www.chosun.com/economy/industry-company/2025/01/24/B2VTXBPKAJCRBN2E3LVAVYALP4</x:v>
      </x:c>
      <x:c r="G80" s="39" t="str">
        <x:v>한국의 대미 투자 비율은 2018년에는 21.7%였지만, 이후 꾸준히 증가해 2023년에는 43%를 차지하며 역대 최대를 기록하기도 했다.</x:v>
      </x:c>
      <x:c r="H80" s="38" t="str">
        <x:v>CHANGE_RATE</x:v>
      </x:c>
      <x:c r="I80" s="40" t="str">
        <x:v>43.0</x:v>
      </x:c>
      <x:c r="J80" s="38" t="str">
        <x:v>['년', '%', '년', '%']</x:v>
      </x:c>
      <x:c r="K80" s="38" t="str">
        <x:v>REFUTES</x:v>
      </x:c>
      <x:c r="L80" s="38" t="str">
        <x:v>FULL_KOSIS_MCP</x:v>
      </x:c>
      <x:c r="M80" s="38" t="str">
        <x:v>Y</x:v>
      </x:c>
      <x:c r="N80" s="38" t="str">
        <x:v>Y</x:v>
      </x:c>
      <x:c r="O80" s="38" t="str">
        <x:v>N</x:v>
      </x:c>
      <x:c r="P80" s="38" t="str">
        <x:v>360</x:v>
      </x:c>
      <x:c r="Q80" s="38" t="str">
        <x:v>DT_1R11006_FRM101</x:v>
      </x:c>
      <x:c r="R80" s="38" t="str">
        <x:v>국가별 수출액 수입액</x:v>
      </x:c>
      <x:c r="S80" s="38" t="str">
        <x:v>13102103829E.00</x:v>
      </x:c>
      <x:c r="T80" s="38" t="str">
        <x:v>N/A</x:v>
      </x:c>
      <x:c r="U80" s="38" t="str">
        <x:v>13103103829T1</x:v>
      </x:c>
      <x:c r="V80" s="38" t="str">
        <x:v>수출액</x:v>
      </x:c>
      <x:c r="W80" s="38" t="str">
        <x:v>계</x:v>
      </x:c>
      <x:c r="X80" s="38" t="str">
        <x:v>Y</x:v>
      </x:c>
      <x:c r="Y80" s="38" t="str">
        <x:v>2023</x:v>
      </x:c>
      <x:c r="Z80" s="38" t="str">
        <x:v>2022</x:v>
      </x:c>
      <x:c r="AA80" s="41" t="str">
        <x:v>632225824.0</x:v>
      </x:c>
      <x:c r="AB80" s="41" t="str">
        <x:v>683584760.0</x:v>
      </x:c>
      <x:c r="AC80" s="41" t="str">
        <x:v>천달러</x:v>
      </x:c>
      <x:c r="AD80" s="41" t="str">
        <x:v>-7.513177444154841</x:v>
      </x:c>
      <x:c r="AE80" s="39" t="str">
        <x:v>(MCP current − MCP previous) / |MCP previous| × 100</x:v>
      </x:c>
      <x:c r="AF80" s="39" t="str">
        <x:v>MCP_ACTUAL_VALUE_CONFIRMED</x:v>
      </x:c>
      <x:c r="AG80" s="39" t="str">
        <x:v>KOSIS_MCP_GET_DATA</x:v>
      </x:c>
      <x:c r="AH80" s="39" t="str">
        <x:v>https://kosis.kr/statHtml/statHtml.do?orgId=360&amp;tblId=DT_1R11006_FRM101&amp;vw_cd=MT_ZTITLE&amp;list_id=&amp;seqNo=&amp;lang_mode=ko&amp;language=kor&amp;obj_var_id=&amp;itm_id=&amp;conn_path=MT_ZTITLE</x:v>
      </x:c>
      <x:c r="AI80" s="38" t="str">
        <x:v>21-60</x:v>
      </x:c>
      <x:c r="AJ80" s="38" t="n">
        <x:v>46239.3552503125</x:v>
      </x:c>
    </x:row>
    <x:row r="81">
      <x:c r="A81" s="38" t="str">
        <x:v>MCPG-080</x:v>
      </x:c>
      <x:c r="B81" s="38" t="str">
        <x:v>C02813</x:v>
      </x:c>
      <x:c r="C81" s="102" t="str">
        <x:v>A0360</x:v>
      </x:c>
      <x:c r="D81" s="39" t="str">
        <x:v>시진핑, 새해 ‘경제 자신감’ 강조했지만…현실은 과제 산적</x:v>
      </x:c>
      <x:c r="E81" s="39" t="str">
        <x:v>2025-01-28</x:v>
      </x:c>
      <x:c r="F81" s="39" t="str">
        <x:v>https://www.chosun.com/economy/int_economy/2025/01/28/UA46WL6DXVBMHHVW3JXY5I5CVU</x:v>
      </x:c>
      <x:c r="G81" s="39" t="str">
        <x:v>2023년 초부터 2024년 9월까지 미 달러 기준으로 중국의 수출가격지수는 15% 하락한 반면, 같은 기간 다른 주요 신흥 시장의 수출가격지수는 3% 이내에 그쳤다.</x:v>
      </x:c>
      <x:c r="H81" s="38" t="str">
        <x:v>CHANGE_RATE</x:v>
      </x:c>
      <x:c r="I81" s="40" t="str">
        <x:v>3.0</x:v>
      </x:c>
      <x:c r="J81" s="38" t="str">
        <x:v>['년', '년', '월', '%', '%']</x:v>
      </x:c>
      <x:c r="K81" s="38" t="str">
        <x:v>REFUTES</x:v>
      </x:c>
      <x:c r="L81" s="38" t="str">
        <x:v>FULL_KOSIS_MCP</x:v>
      </x:c>
      <x:c r="M81" s="38" t="str">
        <x:v>Y</x:v>
      </x:c>
      <x:c r="N81" s="38" t="str">
        <x:v>Y</x:v>
      </x:c>
      <x:c r="O81" s="38" t="str">
        <x:v>N</x:v>
      </x:c>
      <x:c r="P81" s="38" t="str">
        <x:v>360</x:v>
      </x:c>
      <x:c r="Q81" s="38" t="str">
        <x:v>DT_1R11006_FRM101</x:v>
      </x:c>
      <x:c r="R81" s="38" t="str">
        <x:v>국가별 수출액 수입액</x:v>
      </x:c>
      <x:c r="S81" s="38" t="str">
        <x:v>13102103829E.CN</x:v>
      </x:c>
      <x:c r="T81" s="38" t="str">
        <x:v>N/A</x:v>
      </x:c>
      <x:c r="U81" s="38" t="str">
        <x:v>13103103829T1</x:v>
      </x:c>
      <x:c r="V81" s="38" t="str">
        <x:v>수출액</x:v>
      </x:c>
      <x:c r="W81" s="38" t="str">
        <x:v>중국</x:v>
      </x:c>
      <x:c r="X81" s="38" t="str">
        <x:v>M</x:v>
      </x:c>
      <x:c r="Y81" s="38" t="str">
        <x:v>202409</x:v>
      </x:c>
      <x:c r="Z81" s="38" t="str">
        <x:v>202408</x:v>
      </x:c>
      <x:c r="AA81" s="41" t="str">
        <x:v>11626573.0</x:v>
      </x:c>
      <x:c r="AB81" s="41" t="str">
        <x:v>11340799.0</x:v>
      </x:c>
      <x:c r="AC81" s="41" t="str">
        <x:v>천달러</x:v>
      </x:c>
      <x:c r="AD81" s="41" t="str">
        <x:v>2.5198753632790774</x:v>
      </x:c>
      <x:c r="AE81" s="39" t="str">
        <x:v>(MCP current − MCP previous) / |MCP previous| × 100</x:v>
      </x:c>
      <x:c r="AF81" s="39" t="str">
        <x:v>MCP_ACTUAL_VALUE_CONFIRMED</x:v>
      </x:c>
      <x:c r="AG81" s="39" t="str">
        <x:v>KOSIS_MCP_GET_DATA</x:v>
      </x:c>
      <x:c r="AH81" s="39" t="str">
        <x:v>https://kosis.kr/statHtml/statHtml.do?orgId=360&amp;tblId=DT_1R11006_FRM101&amp;vw_cd=MT_ZTITLE&amp;list_id=&amp;seqNo=&amp;lang_mode=ko&amp;language=kor&amp;obj_var_id=&amp;itm_id=&amp;conn_path=MT_ZTITLE</x:v>
      </x:c>
      <x:c r="AI81" s="38" t="str">
        <x:v>21-60</x:v>
      </x:c>
      <x:c r="AJ81" s="38" t="n">
        <x:v>46239.3552503125</x:v>
      </x:c>
    </x:row>
    <x:row r="82">
      <x:c r="A82" s="38" t="str">
        <x:v>MCPG-081</x:v>
      </x:c>
      <x:c r="B82" s="38" t="str">
        <x:v>C02873</x:v>
      </x:c>
      <x:c r="C82" s="102" t="str">
        <x:v>A0366</x:v>
      </x:c>
      <x:c r="D82" s="39" t="str">
        <x:v>중국發 ‘카마겟돈’ 생존경쟁…문 닫고, 손잡고, 합치고, 高관세</x:v>
      </x:c>
      <x:c r="E82" s="39" t="str">
        <x:v>2025-01-29</x:v>
      </x:c>
      <x:c r="F82" s="39" t="str">
        <x:v>https://www.chosun.com/economy/auto/2025/01/29/4KUU2IM55ZB5PFF33ADIGU7KME</x:v>
      </x:c>
      <x:c r="G82" s="39" t="str">
        <x:v>中, 美·유럽 규제에 직진출과 시장 다변화 유럽연합(EU) 집행위원회는 2024년 10월 중국산 전기차에 17.8~45.3%의 반덤핑 관세를 부과한다고 밝혔다.</x:v>
      </x:c>
      <x:c r="H82" s="38" t="str">
        <x:v>LEVEL</x:v>
      </x:c>
      <x:c r="I82" s="40" t="str">
        <x:v>45.3</x:v>
      </x:c>
      <x:c r="J82" s="38" t="str">
        <x:v>['년', '월', '%']</x:v>
      </x:c>
      <x:c r="K82" s="38" t="str">
        <x:v>REFUTES</x:v>
      </x:c>
      <x:c r="L82" s="38" t="str">
        <x:v>FULL_KOSIS_MCP</x:v>
      </x:c>
      <x:c r="M82" s="38" t="str">
        <x:v>Y</x:v>
      </x:c>
      <x:c r="N82" s="38" t="str">
        <x:v>Y</x:v>
      </x:c>
      <x:c r="O82" s="38" t="str">
        <x:v>N</x:v>
      </x:c>
      <x:c r="P82" s="38" t="str">
        <x:v>360</x:v>
      </x:c>
      <x:c r="Q82" s="38" t="str">
        <x:v>DT_1R11006_FRM101</x:v>
      </x:c>
      <x:c r="R82" s="38" t="str">
        <x:v>국가별 수출액 수입액</x:v>
      </x:c>
      <x:c r="S82" s="38" t="str">
        <x:v>13102103829E.CN</x:v>
      </x:c>
      <x:c r="T82" s="38" t="str">
        <x:v>N/A</x:v>
      </x:c>
      <x:c r="U82" s="38" t="str">
        <x:v>13103103829T1</x:v>
      </x:c>
      <x:c r="V82" s="38" t="str">
        <x:v>수출액</x:v>
      </x:c>
      <x:c r="W82" s="38" t="str">
        <x:v>중국</x:v>
      </x:c>
      <x:c r="X82" s="38" t="str">
        <x:v>M</x:v>
      </x:c>
      <x:c r="Y82" s="38" t="str">
        <x:v>202410</x:v>
      </x:c>
      <x:c r="Z82" s="38" t="str">
        <x:v>N/A</x:v>
      </x:c>
      <x:c r="AA82" s="41" t="str">
        <x:v>12172811.0</x:v>
      </x:c>
      <x:c r="AB82" s="41" t="str">
        <x:v>N/A</x:v>
      </x:c>
      <x:c r="AC82" s="41" t="str">
        <x:v>천달러</x:v>
      </x:c>
      <x:c r="AD82" s="41" t="str">
        <x:v>12172811.0</x:v>
      </x:c>
      <x:c r="AE82" s="39" t="str">
        <x:v>MCP current value × source unit scale (1)</x:v>
      </x:c>
      <x:c r="AF82" s="39" t="str">
        <x:v>MCP_ACTUAL_VALUE_CONFIRMED</x:v>
      </x:c>
      <x:c r="AG82" s="39" t="str">
        <x:v>KOSIS_MCP_GET_DATA</x:v>
      </x:c>
      <x:c r="AH82" s="39" t="str">
        <x:v>https://kosis.kr/statHtml/statHtml.do?orgId=360&amp;tblId=DT_1R11006_FRM101&amp;vw_cd=MT_ZTITLE&amp;list_id=&amp;seqNo=&amp;lang_mode=ko&amp;language=kor&amp;obj_var_id=&amp;itm_id=&amp;conn_path=MT_ZTITLE</x:v>
      </x:c>
      <x:c r="AI82" s="38" t="str">
        <x:v>21-60</x:v>
      </x:c>
      <x:c r="AJ82" s="38" t="n">
        <x:v>46239.3552503125</x:v>
      </x:c>
    </x:row>
    <x:row r="83">
      <x:c r="A83" s="38" t="str">
        <x:v>MCPG-082</x:v>
      </x:c>
      <x:c r="B83" s="38" t="str">
        <x:v>C02874</x:v>
      </x:c>
      <x:c r="C83" s="102" t="str">
        <x:v>A0366</x:v>
      </x:c>
      <x:c r="D83" s="39" t="str">
        <x:v>중국發 ‘카마겟돈’ 생존경쟁…문 닫고, 손잡고, 합치고, 高관세</x:v>
      </x:c>
      <x:c r="E83" s="39" t="str">
        <x:v>2025-01-29</x:v>
      </x:c>
      <x:c r="F83" s="39" t="str">
        <x:v>https://www.chosun.com/economy/auto/2025/01/29/4KUU2IM55ZB5PFF33ADIGU7KME</x:v>
      </x:c>
      <x:c r="G83" s="39" t="str">
        <x:v>미국도 2024년 9월 중국산 전기차에 102.5%(최혜국 관세 2.5%에 100% 추가)의 관세를 매기기 시작했다.</x:v>
      </x:c>
      <x:c r="H83" s="38" t="str">
        <x:v>LEVEL</x:v>
      </x:c>
      <x:c r="I83" s="40" t="str">
        <x:v>100.0</x:v>
      </x:c>
      <x:c r="J83" s="38" t="str">
        <x:v>['년', '월', '%', '%', '%']</x:v>
      </x:c>
      <x:c r="K83" s="38" t="str">
        <x:v>REFUTES</x:v>
      </x:c>
      <x:c r="L83" s="38" t="str">
        <x:v>FULL_KOSIS_MCP</x:v>
      </x:c>
      <x:c r="M83" s="38" t="str">
        <x:v>Y</x:v>
      </x:c>
      <x:c r="N83" s="38" t="str">
        <x:v>Y</x:v>
      </x:c>
      <x:c r="O83" s="38" t="str">
        <x:v>N</x:v>
      </x:c>
      <x:c r="P83" s="38" t="str">
        <x:v>360</x:v>
      </x:c>
      <x:c r="Q83" s="38" t="str">
        <x:v>DT_1R11006_FRM101</x:v>
      </x:c>
      <x:c r="R83" s="38" t="str">
        <x:v>국가별 수출액 수입액</x:v>
      </x:c>
      <x:c r="S83" s="38" t="str">
        <x:v>13102103829E.US</x:v>
      </x:c>
      <x:c r="T83" s="38" t="str">
        <x:v>N/A</x:v>
      </x:c>
      <x:c r="U83" s="38" t="str">
        <x:v>13103103829T1</x:v>
      </x:c>
      <x:c r="V83" s="38" t="str">
        <x:v>수출액</x:v>
      </x:c>
      <x:c r="W83" s="38" t="str">
        <x:v>미국</x:v>
      </x:c>
      <x:c r="X83" s="38" t="str">
        <x:v>M</x:v>
      </x:c>
      <x:c r="Y83" s="38" t="str">
        <x:v>202409</x:v>
      </x:c>
      <x:c r="Z83" s="38" t="str">
        <x:v>N/A</x:v>
      </x:c>
      <x:c r="AA83" s="41" t="str">
        <x:v>10411877.0</x:v>
      </x:c>
      <x:c r="AB83" s="41" t="str">
        <x:v>N/A</x:v>
      </x:c>
      <x:c r="AC83" s="41" t="str">
        <x:v>천달러</x:v>
      </x:c>
      <x:c r="AD83" s="41" t="str">
        <x:v>10411877.0</x:v>
      </x:c>
      <x:c r="AE83" s="39" t="str">
        <x:v>MCP current value × source unit scale (1)</x:v>
      </x:c>
      <x:c r="AF83" s="39" t="str">
        <x:v>MCP_ACTUAL_VALUE_CONFIRMED</x:v>
      </x:c>
      <x:c r="AG83" s="39" t="str">
        <x:v>KOSIS_MCP_GET_DATA</x:v>
      </x:c>
      <x:c r="AH83" s="39" t="str">
        <x:v>https://kosis.kr/statHtml/statHtml.do?orgId=360&amp;tblId=DT_1R11006_FRM101&amp;vw_cd=MT_ZTITLE&amp;list_id=&amp;seqNo=&amp;lang_mode=ko&amp;language=kor&amp;obj_var_id=&amp;itm_id=&amp;conn_path=MT_ZTITLE</x:v>
      </x:c>
      <x:c r="AI83" s="38" t="str">
        <x:v>21-60</x:v>
      </x:c>
      <x:c r="AJ83" s="38" t="n">
        <x:v>46239.3552503125</x:v>
      </x:c>
    </x:row>
    <x:row r="84">
      <x:c r="A84" s="38" t="str">
        <x:v>MCPG-083</x:v>
      </x:c>
      <x:c r="B84" s="38" t="str">
        <x:v>C02931</x:v>
      </x:c>
      <x:c r="C84" s="102" t="str">
        <x:v>A0372</x:v>
      </x:c>
      <x:c r="D84" s="39" t="str">
        <x:v>中 저가 공세 몸살… 급증하는 무역조사</x:v>
      </x:c>
      <x:c r="E84" s="39" t="str">
        <x:v>2025-01-29</x:v>
      </x:c>
      <x:c r="F84" s="39" t="str">
        <x:v>https://www.chosun.com/economy/industry-company/2025/01/29/CM2GRQXEAZCLRCTGVEVFGUDERE</x:v>
      </x:c>
      <x:c r="G84" s="39" t="str">
        <x:v>반덤핑 조사를 담당하는 무역위는 국내 철강 기업 DKC가 지난해 6월 신청한 ‘중국산 스테인리스스틸 후판’에 대해 최근 예비조사를 마치고 기획재정부에 잠정 덤핑방지 관세 21.62% 부과를 건의했다.</x:v>
      </x:c>
      <x:c r="H84" s="38" t="str">
        <x:v>LEVEL</x:v>
      </x:c>
      <x:c r="I84" s="40" t="str">
        <x:v>21.62</x:v>
      </x:c>
      <x:c r="J84" s="38" t="str">
        <x:v>['월', '%']</x:v>
      </x:c>
      <x:c r="K84" s="38" t="str">
        <x:v>REFUTES</x:v>
      </x:c>
      <x:c r="L84" s="38" t="str">
        <x:v>FULL_KOSIS_MCP</x:v>
      </x:c>
      <x:c r="M84" s="38" t="str">
        <x:v>Y</x:v>
      </x:c>
      <x:c r="N84" s="38" t="str">
        <x:v>Y</x:v>
      </x:c>
      <x:c r="O84" s="38" t="str">
        <x:v>N</x:v>
      </x:c>
      <x:c r="P84" s="38" t="str">
        <x:v>360</x:v>
      </x:c>
      <x:c r="Q84" s="38" t="str">
        <x:v>DT_1R11006_FRM101</x:v>
      </x:c>
      <x:c r="R84" s="38" t="str">
        <x:v>국가별 수출액 수입액</x:v>
      </x:c>
      <x:c r="S84" s="38" t="str">
        <x:v>13102103829E.CN</x:v>
      </x:c>
      <x:c r="T84" s="38" t="str">
        <x:v>N/A</x:v>
      </x:c>
      <x:c r="U84" s="38" t="str">
        <x:v>13103103829T1</x:v>
      </x:c>
      <x:c r="V84" s="38" t="str">
        <x:v>수출액</x:v>
      </x:c>
      <x:c r="W84" s="38" t="str">
        <x:v>중국</x:v>
      </x:c>
      <x:c r="X84" s="38" t="str">
        <x:v>M</x:v>
      </x:c>
      <x:c r="Y84" s="38" t="str">
        <x:v>202406</x:v>
      </x:c>
      <x:c r="Z84" s="38" t="str">
        <x:v>N/A</x:v>
      </x:c>
      <x:c r="AA84" s="41" t="str">
        <x:v>10706131.0</x:v>
      </x:c>
      <x:c r="AB84" s="41" t="str">
        <x:v>N/A</x:v>
      </x:c>
      <x:c r="AC84" s="41" t="str">
        <x:v>천달러</x:v>
      </x:c>
      <x:c r="AD84" s="41" t="str">
        <x:v>10706131.0</x:v>
      </x:c>
      <x:c r="AE84" s="39" t="str">
        <x:v>MCP current value × source unit scale (1)</x:v>
      </x:c>
      <x:c r="AF84" s="39" t="str">
        <x:v>MCP_ACTUAL_VALUE_CONFIRMED</x:v>
      </x:c>
      <x:c r="AG84" s="39" t="str">
        <x:v>KOSIS_MCP_GET_DATA</x:v>
      </x:c>
      <x:c r="AH84" s="39" t="str">
        <x:v>https://kosis.kr/statHtml/statHtml.do?orgId=360&amp;tblId=DT_1R11006_FRM101&amp;vw_cd=MT_ZTITLE&amp;list_id=&amp;seqNo=&amp;lang_mode=ko&amp;language=kor&amp;obj_var_id=&amp;itm_id=&amp;conn_path=MT_ZTITLE</x:v>
      </x:c>
      <x:c r="AI84" s="38" t="str">
        <x:v>21-60</x:v>
      </x:c>
      <x:c r="AJ84" s="38" t="n">
        <x:v>46239.3552503125</x:v>
      </x:c>
    </x:row>
    <x:row r="85">
      <x:c r="A85" s="38" t="str">
        <x:v>MCPG-084</x:v>
      </x:c>
      <x:c r="B85" s="38" t="str">
        <x:v>C02932</x:v>
      </x:c>
      <x:c r="C85" s="102" t="str">
        <x:v>A0372</x:v>
      </x:c>
      <x:c r="D85" s="39" t="str">
        <x:v>中 저가 공세 몸살… 급증하는 무역조사</x:v>
      </x:c>
      <x:c r="E85" s="39" t="str">
        <x:v>2025-01-29</x:v>
      </x:c>
      <x:c r="F85" s="39" t="str">
        <x:v>https://www.chosun.com/economy/industry-company/2025/01/29/CM2GRQXEAZCLRCTGVEVFGUDERE</x:v>
      </x:c>
      <x:c r="G85" s="39" t="str">
        <x:v>코오롱인더스트리가 지난해 5월 신청한 ‘중국‧대만산 석유수지’에 대해서도 잠정 덤핑방지 관세 4.45~18.52% 부과를 기재부에 요청했다.</x:v>
      </x:c>
      <x:c r="H85" s="38" t="str">
        <x:v>LEVEL</x:v>
      </x:c>
      <x:c r="I85" s="40" t="str">
        <x:v>18.52</x:v>
      </x:c>
      <x:c r="J85" s="38" t="str">
        <x:v>['월', '%']</x:v>
      </x:c>
      <x:c r="K85" s="38" t="str">
        <x:v>REFUTES</x:v>
      </x:c>
      <x:c r="L85" s="38" t="str">
        <x:v>FULL_KOSIS_MCP</x:v>
      </x:c>
      <x:c r="M85" s="38" t="str">
        <x:v>Y</x:v>
      </x:c>
      <x:c r="N85" s="38" t="str">
        <x:v>Y</x:v>
      </x:c>
      <x:c r="O85" s="38" t="str">
        <x:v>N</x:v>
      </x:c>
      <x:c r="P85" s="38" t="str">
        <x:v>360</x:v>
      </x:c>
      <x:c r="Q85" s="38" t="str">
        <x:v>DT_1R11006_FRM101</x:v>
      </x:c>
      <x:c r="R85" s="38" t="str">
        <x:v>국가별 수출액 수입액</x:v>
      </x:c>
      <x:c r="S85" s="38" t="str">
        <x:v>13102103829E.CN</x:v>
      </x:c>
      <x:c r="T85" s="38" t="str">
        <x:v>N/A</x:v>
      </x:c>
      <x:c r="U85" s="38" t="str">
        <x:v>13103103829T1</x:v>
      </x:c>
      <x:c r="V85" s="38" t="str">
        <x:v>수출액</x:v>
      </x:c>
      <x:c r="W85" s="38" t="str">
        <x:v>중국</x:v>
      </x:c>
      <x:c r="X85" s="38" t="str">
        <x:v>M</x:v>
      </x:c>
      <x:c r="Y85" s="38" t="str">
        <x:v>202405</x:v>
      </x:c>
      <x:c r="Z85" s="38" t="str">
        <x:v>N/A</x:v>
      </x:c>
      <x:c r="AA85" s="41" t="str">
        <x:v>11378217.0</x:v>
      </x:c>
      <x:c r="AB85" s="41" t="str">
        <x:v>N/A</x:v>
      </x:c>
      <x:c r="AC85" s="41" t="str">
        <x:v>천달러</x:v>
      </x:c>
      <x:c r="AD85" s="41" t="str">
        <x:v>11378217.0</x:v>
      </x:c>
      <x:c r="AE85" s="39" t="str">
        <x:v>MCP current value × source unit scale (1)</x:v>
      </x:c>
      <x:c r="AF85" s="39" t="str">
        <x:v>MCP_ACTUAL_VALUE_CONFIRMED</x:v>
      </x:c>
      <x:c r="AG85" s="39" t="str">
        <x:v>KOSIS_MCP_GET_DATA</x:v>
      </x:c>
      <x:c r="AH85" s="39" t="str">
        <x:v>https://kosis.kr/statHtml/statHtml.do?orgId=360&amp;tblId=DT_1R11006_FRM101&amp;vw_cd=MT_ZTITLE&amp;list_id=&amp;seqNo=&amp;lang_mode=ko&amp;language=kor&amp;obj_var_id=&amp;itm_id=&amp;conn_path=MT_ZTITLE</x:v>
      </x:c>
      <x:c r="AI85" s="38" t="str">
        <x:v>21-60</x:v>
      </x:c>
      <x:c r="AJ85" s="38" t="n">
        <x:v>46239.35525032407</x:v>
      </x:c>
    </x:row>
    <x:row r="86">
      <x:c r="A86" s="38" t="str">
        <x:v>MCPG-085</x:v>
      </x:c>
      <x:c r="B86" s="38" t="str">
        <x:v>C03105</x:v>
      </x:c>
      <x:c r="C86" s="102" t="str">
        <x:v>A0392</x:v>
      </x:c>
      <x:c r="D86" s="39" t="str">
        <x:v>전기차 겨울 주행거리 ‘최강자는 나야, 나’</x:v>
      </x:c>
      <x:c r="E86" s="39" t="str">
        <x:v>2025-01-31</x:v>
      </x:c>
      <x:c r="F86" s="39" t="str">
        <x:v>https://www.chosun.com/economy/auto/2025/01/31/H5FWFVF6JJDEJIOVAHFJTXQFDY</x:v>
      </x:c>
      <x:c r="G86" s="39" t="str">
        <x:v>지난해 테슬라가 처음 수입차 3위로 처음 오르는 데 주효했던 중국산 ‘모델 Y(후륜구동)’는 상온 대비 저온 주행거리 비율이 77.8%에 그쳤다.</x:v>
      </x:c>
      <x:c r="H86" s="38" t="str">
        <x:v>LEVEL</x:v>
      </x:c>
      <x:c r="I86" s="40" t="str">
        <x:v>77.8</x:v>
      </x:c>
      <x:c r="J86" s="38" t="str">
        <x:v>['%']</x:v>
      </x:c>
      <x:c r="K86" s="38" t="str">
        <x:v>REFUTES</x:v>
      </x:c>
      <x:c r="L86" s="38" t="str">
        <x:v>FULL_KOSIS_MCP</x:v>
      </x:c>
      <x:c r="M86" s="38" t="str">
        <x:v>Y</x:v>
      </x:c>
      <x:c r="N86" s="38" t="str">
        <x:v>Y</x:v>
      </x:c>
      <x:c r="O86" s="38" t="str">
        <x:v>N</x:v>
      </x:c>
      <x:c r="P86" s="38" t="str">
        <x:v>360</x:v>
      </x:c>
      <x:c r="Q86" s="38" t="str">
        <x:v>DT_1R11006_FRM101</x:v>
      </x:c>
      <x:c r="R86" s="38" t="str">
        <x:v>국가별 수출액 수입액</x:v>
      </x:c>
      <x:c r="S86" s="38" t="str">
        <x:v>13102103829E.CN</x:v>
      </x:c>
      <x:c r="T86" s="38" t="str">
        <x:v>N/A</x:v>
      </x:c>
      <x:c r="U86" s="38" t="str">
        <x:v>13103103829T2</x:v>
      </x:c>
      <x:c r="V86" s="38" t="str">
        <x:v>수입액</x:v>
      </x:c>
      <x:c r="W86" s="38" t="str">
        <x:v>중국</x:v>
      </x:c>
      <x:c r="X86" s="38" t="str">
        <x:v>Y</x:v>
      </x:c>
      <x:c r="Y86" s="38" t="str">
        <x:v>2024</x:v>
      </x:c>
      <x:c r="Z86" s="38" t="str">
        <x:v>N/A</x:v>
      </x:c>
      <x:c r="AA86" s="41" t="str">
        <x:v>139878481.0</x:v>
      </x:c>
      <x:c r="AB86" s="41" t="str">
        <x:v>N/A</x:v>
      </x:c>
      <x:c r="AC86" s="41" t="str">
        <x:v>천달러</x:v>
      </x:c>
      <x:c r="AD86" s="41" t="str">
        <x:v>139878481.0</x:v>
      </x:c>
      <x:c r="AE86" s="39" t="str">
        <x:v>MCP current value × source unit scale (1)</x:v>
      </x:c>
      <x:c r="AF86" s="39" t="str">
        <x:v>MCP_ACTUAL_VALUE_CONFIRMED</x:v>
      </x:c>
      <x:c r="AG86" s="39" t="str">
        <x:v>KOSIS_MCP_GET_DATA</x:v>
      </x:c>
      <x:c r="AH86" s="39" t="str">
        <x:v>https://kosis.kr/statHtml/statHtml.do?orgId=360&amp;tblId=DT_1R11006_FRM101&amp;vw_cd=MT_ZTITLE&amp;list_id=&amp;seqNo=&amp;lang_mode=ko&amp;language=kor&amp;obj_var_id=&amp;itm_id=&amp;conn_path=MT_ZTITLE</x:v>
      </x:c>
      <x:c r="AI86" s="38" t="str">
        <x:v>21-60</x:v>
      </x:c>
      <x:c r="AJ86" s="38" t="n">
        <x:v>46239.35525032407</x:v>
      </x:c>
    </x:row>
    <x:row r="87">
      <x:c r="A87" s="38" t="str">
        <x:v>MCPG-086</x:v>
      </x:c>
      <x:c r="B87" s="38" t="str">
        <x:v>C04418</x:v>
      </x:c>
      <x:c r="C87" s="102" t="str">
        <x:v>A0559</x:v>
      </x:c>
      <x:c r="D87" s="39" t="str">
        <x:v>트럼프, 세상에 없던 ‘반도체 관세’ 꺼냈다</x:v>
      </x:c>
      <x:c r="E87" s="39" t="str">
        <x:v>2025-02-12</x:v>
      </x:c>
      <x:c r="F87" s="39" t="str">
        <x:v>https://www.chosun.com/economy/industry-company/2025/02/12/25AH2GBFAZEKVGNXQ7ZPACNOJU</x:v>
      </x:c>
      <x:c r="G87" s="39" t="str">
        <x:v>우리나라는 2018년 미국과 협상 끝에 연 263만t으로 수출 물량을 제한하는 대신 관세를 물지 않는 무관세 쿼터를 받기로 합의했지만, 이번 포고령에 따라 앞으로 모든 수출 물량에 대해 25% 관세를 물게 됐다.</x:v>
      </x:c>
      <x:c r="H87" s="38" t="str">
        <x:v>LEVEL</x:v>
      </x:c>
      <x:c r="I87" s="40" t="str">
        <x:v>25.0</x:v>
      </x:c>
      <x:c r="J87" s="38" t="str">
        <x:v>['년', '%']</x:v>
      </x:c>
      <x:c r="K87" s="38" t="str">
        <x:v>REFUTES</x:v>
      </x:c>
      <x:c r="L87" s="38" t="str">
        <x:v>FULL_KOSIS_MCP</x:v>
      </x:c>
      <x:c r="M87" s="38" t="str">
        <x:v>Y</x:v>
      </x:c>
      <x:c r="N87" s="38" t="str">
        <x:v>Y</x:v>
      </x:c>
      <x:c r="O87" s="38" t="str">
        <x:v>N</x:v>
      </x:c>
      <x:c r="P87" s="38" t="str">
        <x:v>360</x:v>
      </x:c>
      <x:c r="Q87" s="38" t="str">
        <x:v>DT_1R11006_FRM101</x:v>
      </x:c>
      <x:c r="R87" s="38" t="str">
        <x:v>국가별 수출액 수입액</x:v>
      </x:c>
      <x:c r="S87" s="38" t="str">
        <x:v>13102103829E.US</x:v>
      </x:c>
      <x:c r="T87" s="38" t="str">
        <x:v>N/A</x:v>
      </x:c>
      <x:c r="U87" s="38" t="str">
        <x:v>13103103829T1</x:v>
      </x:c>
      <x:c r="V87" s="38" t="str">
        <x:v>수출액</x:v>
      </x:c>
      <x:c r="W87" s="38" t="str">
        <x:v>미국</x:v>
      </x:c>
      <x:c r="X87" s="38" t="str">
        <x:v>Y</x:v>
      </x:c>
      <x:c r="Y87" s="38" t="str">
        <x:v>2018</x:v>
      </x:c>
      <x:c r="Z87" s="38" t="str">
        <x:v>N/A</x:v>
      </x:c>
      <x:c r="AA87" s="41" t="str">
        <x:v>72719932.0</x:v>
      </x:c>
      <x:c r="AB87" s="41" t="str">
        <x:v>N/A</x:v>
      </x:c>
      <x:c r="AC87" s="41" t="str">
        <x:v>천달러</x:v>
      </x:c>
      <x:c r="AD87" s="41" t="str">
        <x:v>72719932.0</x:v>
      </x:c>
      <x:c r="AE87" s="39" t="str">
        <x:v>MCP current value × source unit scale (1)</x:v>
      </x:c>
      <x:c r="AF87" s="39" t="str">
        <x:v>MCP_ACTUAL_VALUE_CONFIRMED</x:v>
      </x:c>
      <x:c r="AG87" s="39" t="str">
        <x:v>KOSIS_MCP_GET_DATA</x:v>
      </x:c>
      <x:c r="AH87" s="39" t="str">
        <x:v>https://kosis.kr/statHtml/statHtml.do?orgId=360&amp;tblId=DT_1R11006_FRM101&amp;vw_cd=MT_ZTITLE&amp;list_id=&amp;seqNo=&amp;lang_mode=ko&amp;language=kor&amp;obj_var_id=&amp;itm_id=&amp;conn_path=MT_ZTITLE</x:v>
      </x:c>
      <x:c r="AI87" s="38" t="str">
        <x:v>61-120</x:v>
      </x:c>
      <x:c r="AJ87" s="38" t="n">
        <x:v>46239.358261458336</x:v>
      </x:c>
    </x:row>
    <x:row r="88">
      <x:c r="A88" s="38" t="str">
        <x:v>MCPG-087</x:v>
      </x:c>
      <x:c r="B88" s="38" t="str">
        <x:v>C05034</x:v>
      </x:c>
      <x:c r="C88" s="102" t="str">
        <x:v>A0641</x:v>
      </x:c>
      <x:c r="D88" s="39" t="str">
        <x:v>현대차 年100만대 ‘美 관세 폭격’ 땐... 영업익 35% 줄어</x:v>
      </x:c>
      <x:c r="E88" s="39" t="str">
        <x:v>2025-02-19</x:v>
      </x:c>
      <x:c r="F88" s="39" t="str">
        <x:v>https://www.chosun.com/economy/auto/2025/02/19/JED6ZDX5LFHF5N4F3IGNW6UE7U</x:v>
      </x:c>
      <x:c r="G88" s="39" t="str">
        <x:v>특히 미국이 차를 주로 수입하는 주요 5국 중 멕시코와 캐나다는 이미 모든 품목에 대한 25% 관세가 예고됐고, 일본의 혼다·도요타 등은 1980년대부터 미국에서 공장을 가동하면서 현지 생산 비율이 높아진 상황에서 현대차·기아가 유럽연합(EU) 소속인 독일 자동차 회사들과 함께 표적이 될 것이란 우려가 나온다.</x:v>
      </x:c>
      <x:c r="H88" s="38" t="str">
        <x:v>LEVEL</x:v>
      </x:c>
      <x:c r="I88" s="40" t="str">
        <x:v>25.0</x:v>
      </x:c>
      <x:c r="J88" s="38" t="str">
        <x:v>['%', '년']</x:v>
      </x:c>
      <x:c r="K88" s="38" t="str">
        <x:v>REFUTES</x:v>
      </x:c>
      <x:c r="L88" s="38" t="str">
        <x:v>FULL_KOSIS_MCP</x:v>
      </x:c>
      <x:c r="M88" s="38" t="str">
        <x:v>Y</x:v>
      </x:c>
      <x:c r="N88" s="38" t="str">
        <x:v>Y</x:v>
      </x:c>
      <x:c r="O88" s="38" t="str">
        <x:v>N</x:v>
      </x:c>
      <x:c r="P88" s="38" t="str">
        <x:v>360</x:v>
      </x:c>
      <x:c r="Q88" s="38" t="str">
        <x:v>DT_1R11006_FRM101</x:v>
      </x:c>
      <x:c r="R88" s="38" t="str">
        <x:v>국가별 수출액 수입액</x:v>
      </x:c>
      <x:c r="S88" s="38" t="str">
        <x:v>13102103829E.US</x:v>
      </x:c>
      <x:c r="T88" s="38" t="str">
        <x:v>N/A</x:v>
      </x:c>
      <x:c r="U88" s="38" t="str">
        <x:v>13103103829T2</x:v>
      </x:c>
      <x:c r="V88" s="38" t="str">
        <x:v>수입액</x:v>
      </x:c>
      <x:c r="W88" s="38" t="str">
        <x:v>미국</x:v>
      </x:c>
      <x:c r="X88" s="38" t="str">
        <x:v>Y</x:v>
      </x:c>
      <x:c r="Y88" s="38" t="str">
        <x:v>1980</x:v>
      </x:c>
      <x:c r="Z88" s="38" t="str">
        <x:v>N/A</x:v>
      </x:c>
      <x:c r="AA88" s="41" t="str">
        <x:v>4890248.0</x:v>
      </x:c>
      <x:c r="AB88" s="41" t="str">
        <x:v>N/A</x:v>
      </x:c>
      <x:c r="AC88" s="41" t="str">
        <x:v>천달러</x:v>
      </x:c>
      <x:c r="AD88" s="41" t="str">
        <x:v>4890248.0</x:v>
      </x:c>
      <x:c r="AE88" s="39" t="str">
        <x:v>MCP current value × source unit scale (1)</x:v>
      </x:c>
      <x:c r="AF88" s="39" t="str">
        <x:v>MCP_ACTUAL_VALUE_CONFIRMED</x:v>
      </x:c>
      <x:c r="AG88" s="39" t="str">
        <x:v>KOSIS_MCP_GET_DATA</x:v>
      </x:c>
      <x:c r="AH88" s="39" t="str">
        <x:v>https://kosis.kr/statHtml/statHtml.do?orgId=360&amp;tblId=DT_1R11006_FRM101&amp;vw_cd=MT_ZTITLE&amp;list_id=&amp;seqNo=&amp;lang_mode=ko&amp;language=kor&amp;obj_var_id=&amp;itm_id=&amp;conn_path=MT_ZTITLE</x:v>
      </x:c>
      <x:c r="AI88" s="38" t="str">
        <x:v>61-120</x:v>
      </x:c>
      <x:c r="AJ88" s="38" t="n">
        <x:v>46239.358261458336</x:v>
      </x:c>
    </x:row>
    <x:row r="89">
      <x:c r="A89" s="38" t="str">
        <x:v>MCPG-088</x:v>
      </x:c>
      <x:c r="B89" s="38" t="str">
        <x:v>C05272</x:v>
      </x:c>
      <x:c r="C89" s="102" t="str">
        <x:v>A0672</x:v>
      </x:c>
      <x:c r="D89" s="39" t="str">
        <x:v>EU·베트남도 “中 철강 덤핑 조사”… 세계가 ‘무역 성벽’ 쌓기 시작</x:v>
      </x:c>
      <x:c r="E89" s="39" t="str">
        <x:v>2025-02-21</x:v>
      </x:c>
      <x:c r="F89" s="39" t="str">
        <x:v>https://www.chosun.com/economy/economy_general/2025/02/21/OIRKXJ62Q5GV5L4DXPPFZHQI4Q</x:v>
      </x:c>
      <x:c r="G89" s="39" t="str">
        <x:v>브라질은 자국 철강 업체가 종업원을 해고하는 지경에 이르자 중국에 대한 관세율을 최대 14.4%로 높인 데 이어, 지난해 6월부턴 쿼터를 초과하는 수입 물량에 25% 관세를 매기기 시작했다.</x:v>
      </x:c>
      <x:c r="H89" s="38" t="str">
        <x:v>LEVEL</x:v>
      </x:c>
      <x:c r="I89" s="40" t="str">
        <x:v>25.0</x:v>
      </x:c>
      <x:c r="J89" s="38" t="str">
        <x:v>['%', '월', '%']</x:v>
      </x:c>
      <x:c r="K89" s="38" t="str">
        <x:v>REFUTES</x:v>
      </x:c>
      <x:c r="L89" s="38" t="str">
        <x:v>FULL_KOSIS_MCP</x:v>
      </x:c>
      <x:c r="M89" s="38" t="str">
        <x:v>Y</x:v>
      </x:c>
      <x:c r="N89" s="38" t="str">
        <x:v>Y</x:v>
      </x:c>
      <x:c r="O89" s="38" t="str">
        <x:v>N</x:v>
      </x:c>
      <x:c r="P89" s="38" t="str">
        <x:v>360</x:v>
      </x:c>
      <x:c r="Q89" s="38" t="str">
        <x:v>DT_1R11006_FRM101</x:v>
      </x:c>
      <x:c r="R89" s="38" t="str">
        <x:v>국가별 수출액 수입액</x:v>
      </x:c>
      <x:c r="S89" s="38" t="str">
        <x:v>13102103829E.CN</x:v>
      </x:c>
      <x:c r="T89" s="38" t="str">
        <x:v>N/A</x:v>
      </x:c>
      <x:c r="U89" s="38" t="str">
        <x:v>13103103829T2</x:v>
      </x:c>
      <x:c r="V89" s="38" t="str">
        <x:v>수입액</x:v>
      </x:c>
      <x:c r="W89" s="38" t="str">
        <x:v>중국</x:v>
      </x:c>
      <x:c r="X89" s="38" t="str">
        <x:v>M</x:v>
      </x:c>
      <x:c r="Y89" s="38" t="str">
        <x:v>202406</x:v>
      </x:c>
      <x:c r="Z89" s="38" t="str">
        <x:v>N/A</x:v>
      </x:c>
      <x:c r="AA89" s="41" t="str">
        <x:v>10941026.0</x:v>
      </x:c>
      <x:c r="AB89" s="41" t="str">
        <x:v>N/A</x:v>
      </x:c>
      <x:c r="AC89" s="41" t="str">
        <x:v>천달러</x:v>
      </x:c>
      <x:c r="AD89" s="41" t="str">
        <x:v>10941026.0</x:v>
      </x:c>
      <x:c r="AE89" s="39" t="str">
        <x:v>MCP current value × source unit scale (1)</x:v>
      </x:c>
      <x:c r="AF89" s="39" t="str">
        <x:v>MCP_ACTUAL_VALUE_CONFIRMED</x:v>
      </x:c>
      <x:c r="AG89" s="39" t="str">
        <x:v>KOSIS_MCP_GET_DATA</x:v>
      </x:c>
      <x:c r="AH89" s="39" t="str">
        <x:v>https://kosis.kr/statHtml/statHtml.do?orgId=360&amp;tblId=DT_1R11006_FRM101&amp;vw_cd=MT_ZTITLE&amp;list_id=&amp;seqNo=&amp;lang_mode=ko&amp;language=kor&amp;obj_var_id=&amp;itm_id=&amp;conn_path=MT_ZTITLE</x:v>
      </x:c>
      <x:c r="AI89" s="38" t="str">
        <x:v>61-120</x:v>
      </x:c>
      <x:c r="AJ89" s="38" t="n">
        <x:v>46239.358261469904</x:v>
      </x:c>
    </x:row>
    <x:row r="90">
      <x:c r="A90" s="38" t="str">
        <x:v>MCPG-089</x:v>
      </x:c>
      <x:c r="B90" s="38" t="str">
        <x:v>C06483</x:v>
      </x:c>
      <x:c r="C90" s="102" t="str">
        <x:v>A0815</x:v>
      </x:c>
      <x:c r="D90" s="39" t="str">
        <x:v>K2 전차·천무… 中企가 만든 ‘방탄 세라믹’ 두르고 수출</x:v>
      </x:c>
      <x:c r="E90" s="39" t="str">
        <x:v>2025-03-04</x:v>
      </x:c>
      <x:c r="F90" s="39" t="str">
        <x:v>https://www.chosun.com/economy/economy_general/2025/03/04/FHVQH7KULRBFVPG4F2L53S3ALQ</x:v>
      </x:c>
      <x:c r="G90" s="39" t="str">
        <x:v>1980년대 후반부터 기술 이전을 통해 미국 기업이 설계하고 국내에서 생산한 K1 전차도 방탄 장갑은 100% 수입했다.</x:v>
      </x:c>
      <x:c r="H90" s="38" t="str">
        <x:v>LEVEL</x:v>
      </x:c>
      <x:c r="I90" s="40" t="str">
        <x:v>100.0</x:v>
      </x:c>
      <x:c r="J90" s="38" t="str">
        <x:v>['년', '%']</x:v>
      </x:c>
      <x:c r="K90" s="38" t="str">
        <x:v>REFUTES</x:v>
      </x:c>
      <x:c r="L90" s="38" t="str">
        <x:v>FULL_KOSIS_MCP</x:v>
      </x:c>
      <x:c r="M90" s="38" t="str">
        <x:v>Y</x:v>
      </x:c>
      <x:c r="N90" s="38" t="str">
        <x:v>Y</x:v>
      </x:c>
      <x:c r="O90" s="38" t="str">
        <x:v>N</x:v>
      </x:c>
      <x:c r="P90" s="38" t="str">
        <x:v>360</x:v>
      </x:c>
      <x:c r="Q90" s="38" t="str">
        <x:v>DT_1R11006_FRM101</x:v>
      </x:c>
      <x:c r="R90" s="38" t="str">
        <x:v>국가별 수출액 수입액</x:v>
      </x:c>
      <x:c r="S90" s="38" t="str">
        <x:v>13102103829E.US</x:v>
      </x:c>
      <x:c r="T90" s="38" t="str">
        <x:v>N/A</x:v>
      </x:c>
      <x:c r="U90" s="38" t="str">
        <x:v>13103103829T1</x:v>
      </x:c>
      <x:c r="V90" s="38" t="str">
        <x:v>수출액</x:v>
      </x:c>
      <x:c r="W90" s="38" t="str">
        <x:v>미국</x:v>
      </x:c>
      <x:c r="X90" s="38" t="str">
        <x:v>Y</x:v>
      </x:c>
      <x:c r="Y90" s="38" t="str">
        <x:v>1980</x:v>
      </x:c>
      <x:c r="Z90" s="38" t="str">
        <x:v>N/A</x:v>
      </x:c>
      <x:c r="AA90" s="41" t="str">
        <x:v>4606625.0</x:v>
      </x:c>
      <x:c r="AB90" s="41" t="str">
        <x:v>N/A</x:v>
      </x:c>
      <x:c r="AC90" s="41" t="str">
        <x:v>천달러</x:v>
      </x:c>
      <x:c r="AD90" s="41" t="str">
        <x:v>4606625.0</x:v>
      </x:c>
      <x:c r="AE90" s="39" t="str">
        <x:v>MCP current value × source unit scale (1)</x:v>
      </x:c>
      <x:c r="AF90" s="39" t="str">
        <x:v>MCP_ACTUAL_VALUE_CONFIRMED</x:v>
      </x:c>
      <x:c r="AG90" s="39" t="str">
        <x:v>KOSIS_MCP_GET_DATA</x:v>
      </x:c>
      <x:c r="AH90" s="39" t="str">
        <x:v>https://kosis.kr/statHtml/statHtml.do?orgId=360&amp;tblId=DT_1R11006_FRM101&amp;vw_cd=MT_ZTITLE&amp;list_id=&amp;seqNo=&amp;lang_mode=ko&amp;language=kor&amp;obj_var_id=&amp;itm_id=&amp;conn_path=MT_ZTITLE</x:v>
      </x:c>
      <x:c r="AI90" s="38" t="str">
        <x:v>61-120</x:v>
      </x:c>
      <x:c r="AJ90" s="38" t="n">
        <x:v>46239.358261469904</x:v>
      </x:c>
    </x:row>
    <x:row r="91">
      <x:c r="A91" s="38" t="str">
        <x:v>MCPG-090</x:v>
      </x:c>
      <x:c r="B91" s="38" t="str">
        <x:v>C06701</x:v>
      </x:c>
      <x:c r="C91" s="102" t="str">
        <x:v>A0844</x:v>
      </x:c>
      <x:c r="D91" s="39" t="str">
        <x:v>“美 관세 조치 피하려 중국산→한국산 둔갑” 관세청, 대대적 단속</x:v>
      </x:c>
      <x:c r="E91" s="39" t="str">
        <x:v>2025-03-06</x:v>
      </x:c>
      <x:c r="F91" s="39" t="str">
        <x:v>https://www.chosun.com/economy/economy_general/2025/03/06/ZR7GEJJC4JBDZFXJL7PERUNYRU</x:v>
      </x:c>
      <x:c r="G91" s="39" t="str">
        <x:v>미국은 중국산 수입품에 지난달 10%의 관세를 추가로 부과한 데 이어 이달 들어 10%를 더 붙였고, 중국도 보복관세로 미국산 농산물에 10~15% 관세를 부과하기로 했다.</x:v>
      </x:c>
      <x:c r="H91" s="38" t="str">
        <x:v>LEVEL</x:v>
      </x:c>
      <x:c r="I91" s="40" t="str">
        <x:v>15.0</x:v>
      </x:c>
      <x:c r="J91" s="38" t="str">
        <x:v>['%', '%', '%']</x:v>
      </x:c>
      <x:c r="K91" s="38" t="str">
        <x:v>REFUTES</x:v>
      </x:c>
      <x:c r="L91" s="38" t="str">
        <x:v>FULL_KOSIS_MCP</x:v>
      </x:c>
      <x:c r="M91" s="38" t="str">
        <x:v>Y</x:v>
      </x:c>
      <x:c r="N91" s="38" t="str">
        <x:v>Y</x:v>
      </x:c>
      <x:c r="O91" s="38" t="str">
        <x:v>N</x:v>
      </x:c>
      <x:c r="P91" s="38" t="str">
        <x:v>360</x:v>
      </x:c>
      <x:c r="Q91" s="38" t="str">
        <x:v>DT_1R11006_FRM101</x:v>
      </x:c>
      <x:c r="R91" s="38" t="str">
        <x:v>국가별 수출액 수입액</x:v>
      </x:c>
      <x:c r="S91" s="38" t="str">
        <x:v>13102103829E.US</x:v>
      </x:c>
      <x:c r="T91" s="38" t="str">
        <x:v>N/A</x:v>
      </x:c>
      <x:c r="U91" s="38" t="str">
        <x:v>13103103829T2</x:v>
      </x:c>
      <x:c r="V91" s="38" t="str">
        <x:v>수입액</x:v>
      </x:c>
      <x:c r="W91" s="38" t="str">
        <x:v>미국</x:v>
      </x:c>
      <x:c r="X91" s="38" t="str">
        <x:v>M</x:v>
      </x:c>
      <x:c r="Y91" s="38" t="str">
        <x:v>202502</x:v>
      </x:c>
      <x:c r="Z91" s="38" t="str">
        <x:v>N/A</x:v>
      </x:c>
      <x:c r="AA91" s="41" t="str">
        <x:v>5739598.0</x:v>
      </x:c>
      <x:c r="AB91" s="41" t="str">
        <x:v>N/A</x:v>
      </x:c>
      <x:c r="AC91" s="41" t="str">
        <x:v>천달러</x:v>
      </x:c>
      <x:c r="AD91" s="41" t="str">
        <x:v>5739598.0</x:v>
      </x:c>
      <x:c r="AE91" s="39" t="str">
        <x:v>MCP current value × source unit scale (1)</x:v>
      </x:c>
      <x:c r="AF91" s="39" t="str">
        <x:v>MCP_ACTUAL_VALUE_CONFIRMED</x:v>
      </x:c>
      <x:c r="AG91" s="39" t="str">
        <x:v>KOSIS_MCP_GET_DATA</x:v>
      </x:c>
      <x:c r="AH91" s="39" t="str">
        <x:v>https://kosis.kr/statHtml/statHtml.do?orgId=360&amp;tblId=DT_1R11006_FRM101&amp;vw_cd=MT_ZTITLE&amp;list_id=&amp;seqNo=&amp;lang_mode=ko&amp;language=kor&amp;obj_var_id=&amp;itm_id=&amp;conn_path=MT_ZTITLE</x:v>
      </x:c>
      <x:c r="AI91" s="38" t="str">
        <x:v>61-120</x:v>
      </x:c>
      <x:c r="AJ91" s="38" t="n">
        <x:v>46239.358261469904</x:v>
      </x:c>
    </x:row>
    <x:row r="92">
      <x:c r="A92" s="38" t="str">
        <x:v>MCPG-091</x:v>
      </x:c>
      <x:c r="B92" s="38" t="str">
        <x:v>C08292</x:v>
      </x:c>
      <x:c r="C92" s="102" t="str">
        <x:v>A1069</x:v>
      </x:c>
      <x:c r="D92" s="39" t="str">
        <x:v>中, 전기차·배터리 美 수출 통제 검토</x:v>
      </x:c>
      <x:c r="E92" s="39" t="str">
        <x:v>2025-03-24</x:v>
      </x:c>
      <x:c r="F92" s="39" t="str">
        <x:v>https://www.chosun.com/economy/auto/2025/03/24/PG3R3OJBSRCERGS2UTBS72D4LE</x:v>
      </x:c>
      <x:c r="G92" s="39" t="str">
        <x:v>도널드 트럼프 대통령은 지난달 펜타닐 문제를 이유로 모든 중국산 수입품에 10% 관세를 추가 부과하기 시작했고, 지난 4일엔 추가 관세율을 20%로 높였다.</x:v>
      </x:c>
      <x:c r="H92" s="38" t="str">
        <x:v>LEVEL</x:v>
      </x:c>
      <x:c r="I92" s="40" t="str">
        <x:v>20.0</x:v>
      </x:c>
      <x:c r="J92" s="38" t="str">
        <x:v>['%', '일', '%']</x:v>
      </x:c>
      <x:c r="K92" s="38" t="str">
        <x:v>REFUTES</x:v>
      </x:c>
      <x:c r="L92" s="38" t="str">
        <x:v>FULL_KOSIS_MCP</x:v>
      </x:c>
      <x:c r="M92" s="38" t="str">
        <x:v>Y</x:v>
      </x:c>
      <x:c r="N92" s="38" t="str">
        <x:v>Y</x:v>
      </x:c>
      <x:c r="O92" s="38" t="str">
        <x:v>N</x:v>
      </x:c>
      <x:c r="P92" s="38" t="str">
        <x:v>360</x:v>
      </x:c>
      <x:c r="Q92" s="38" t="str">
        <x:v>DT_1R11006_FRM101</x:v>
      </x:c>
      <x:c r="R92" s="38" t="str">
        <x:v>국가별 수출액 수입액</x:v>
      </x:c>
      <x:c r="S92" s="38" t="str">
        <x:v>13102103829E.CN</x:v>
      </x:c>
      <x:c r="T92" s="38" t="str">
        <x:v>N/A</x:v>
      </x:c>
      <x:c r="U92" s="38" t="str">
        <x:v>13103103829T1</x:v>
      </x:c>
      <x:c r="V92" s="38" t="str">
        <x:v>수출액</x:v>
      </x:c>
      <x:c r="W92" s="38" t="str">
        <x:v>중국</x:v>
      </x:c>
      <x:c r="X92" s="38" t="str">
        <x:v>M</x:v>
      </x:c>
      <x:c r="Y92" s="38" t="str">
        <x:v>202502</x:v>
      </x:c>
      <x:c r="Z92" s="38" t="str">
        <x:v>N/A</x:v>
      </x:c>
      <x:c r="AA92" s="41" t="str">
        <x:v>9505605.0</x:v>
      </x:c>
      <x:c r="AB92" s="41" t="str">
        <x:v>N/A</x:v>
      </x:c>
      <x:c r="AC92" s="41" t="str">
        <x:v>천달러</x:v>
      </x:c>
      <x:c r="AD92" s="41" t="str">
        <x:v>9505605.0</x:v>
      </x:c>
      <x:c r="AE92" s="39" t="str">
        <x:v>MCP current value × source unit scale (1)</x:v>
      </x:c>
      <x:c r="AF92" s="39" t="str">
        <x:v>MCP_ACTUAL_VALUE_CONFIRMED</x:v>
      </x:c>
      <x:c r="AG92" s="39" t="str">
        <x:v>KOSIS_MCP_GET_DATA</x:v>
      </x:c>
      <x:c r="AH92" s="39" t="str">
        <x:v>https://kosis.kr/statHtml/statHtml.do?orgId=360&amp;tblId=DT_1R11006_FRM101&amp;vw_cd=MT_ZTITLE&amp;list_id=&amp;seqNo=&amp;lang_mode=ko&amp;language=kor&amp;obj_var_id=&amp;itm_id=&amp;conn_path=MT_ZTITLE</x:v>
      </x:c>
      <x:c r="AI92" s="38" t="str">
        <x:v>61-120</x:v>
      </x:c>
      <x:c r="AJ92" s="38" t="n">
        <x:v>46239.358261469904</x:v>
      </x:c>
    </x:row>
    <x:row r="93">
      <x:c r="A93" s="38" t="str">
        <x:v>MCPG-092</x:v>
      </x:c>
      <x:c r="B93" s="38" t="str">
        <x:v>C08407</x:v>
      </x:c>
      <x:c r="C93" s="102" t="str">
        <x:v>A1089</x:v>
      </x:c>
      <x:c r="D93" s="39" t="str">
        <x:v>요소 비축 54일분→70일분 확대...핵심 광물 재자원화 R&amp;D 세제 지원도</x:v>
      </x:c>
      <x:c r="E93" s="39" t="str">
        <x:v>2025-03-25</x:v>
      </x:c>
      <x:c r="F93" s="39" t="str">
        <x:v>https://www.chosun.com/economy/economy_general/2025/03/25/6I5OOM6D35AC5F5ZEM6KUYTROY</x:v>
      </x:c>
      <x:c r="G93" s="39" t="str">
        <x:v>요소를 가공해 만든 요소수는 배기가스 배출 저감장치를 부착한 화물차에 필수적인데, 지난 2011년 국내 생산이 중단된 이후 요소 수입은 100% 중국에 의존하는 실정이었다.</x:v>
      </x:c>
      <x:c r="H93" s="38" t="str">
        <x:v>LEVEL</x:v>
      </x:c>
      <x:c r="I93" s="40" t="str">
        <x:v>100.0</x:v>
      </x:c>
      <x:c r="J93" s="38" t="str">
        <x:v>['년', '%']</x:v>
      </x:c>
      <x:c r="K93" s="38" t="str">
        <x:v>REFUTES</x:v>
      </x:c>
      <x:c r="L93" s="38" t="str">
        <x:v>FULL_KOSIS_MCP</x:v>
      </x:c>
      <x:c r="M93" s="38" t="str">
        <x:v>Y</x:v>
      </x:c>
      <x:c r="N93" s="38" t="str">
        <x:v>Y</x:v>
      </x:c>
      <x:c r="O93" s="38" t="str">
        <x:v>N</x:v>
      </x:c>
      <x:c r="P93" s="38" t="str">
        <x:v>360</x:v>
      </x:c>
      <x:c r="Q93" s="38" t="str">
        <x:v>DT_1R11006_FRM101</x:v>
      </x:c>
      <x:c r="R93" s="38" t="str">
        <x:v>국가별 수출액 수입액</x:v>
      </x:c>
      <x:c r="S93" s="38" t="str">
        <x:v>13102103829E.CN</x:v>
      </x:c>
      <x:c r="T93" s="38" t="str">
        <x:v>N/A</x:v>
      </x:c>
      <x:c r="U93" s="38" t="str">
        <x:v>13103103829T2</x:v>
      </x:c>
      <x:c r="V93" s="38" t="str">
        <x:v>수입액</x:v>
      </x:c>
      <x:c r="W93" s="38" t="str">
        <x:v>중국</x:v>
      </x:c>
      <x:c r="X93" s="38" t="str">
        <x:v>Y</x:v>
      </x:c>
      <x:c r="Y93" s="38" t="str">
        <x:v>2011</x:v>
      </x:c>
      <x:c r="Z93" s="38" t="str">
        <x:v>N/A</x:v>
      </x:c>
      <x:c r="AA93" s="41" t="str">
        <x:v>86432238.0</x:v>
      </x:c>
      <x:c r="AB93" s="41" t="str">
        <x:v>N/A</x:v>
      </x:c>
      <x:c r="AC93" s="41" t="str">
        <x:v>천달러</x:v>
      </x:c>
      <x:c r="AD93" s="41" t="str">
        <x:v>86432238.0</x:v>
      </x:c>
      <x:c r="AE93" s="39" t="str">
        <x:v>MCP current value × source unit scale (1)</x:v>
      </x:c>
      <x:c r="AF93" s="39" t="str">
        <x:v>MCP_ACTUAL_VALUE_CONFIRMED</x:v>
      </x:c>
      <x:c r="AG93" s="39" t="str">
        <x:v>KOSIS_MCP_GET_DATA</x:v>
      </x:c>
      <x:c r="AH93" s="39" t="str">
        <x:v>https://kosis.kr/statHtml/statHtml.do?orgId=360&amp;tblId=DT_1R11006_FRM101&amp;vw_cd=MT_ZTITLE&amp;list_id=&amp;seqNo=&amp;lang_mode=ko&amp;language=kor&amp;obj_var_id=&amp;itm_id=&amp;conn_path=MT_ZTITLE</x:v>
      </x:c>
      <x:c r="AI93" s="38" t="str">
        <x:v>61-120</x:v>
      </x:c>
      <x:c r="AJ93" s="38" t="n">
        <x:v>46239.358261469904</x:v>
      </x:c>
    </x:row>
    <x:row r="94">
      <x:c r="A94" s="38" t="str">
        <x:v>MCPG-093</x:v>
      </x:c>
      <x:c r="B94" s="38" t="str">
        <x:v>C08644</x:v>
      </x:c>
      <x:c r="C94" s="102" t="str">
        <x:v>A1120</x:v>
      </x:c>
      <x:c r="D94" s="39" t="str">
        <x:v>대미 수출의 27%, 車가 흔들린다… GM의 한국 공장 최대 타격</x:v>
      </x:c>
      <x:c r="E94" s="39" t="str">
        <x:v>2025-03-28</x:v>
      </x:c>
      <x:c r="F94" s="39" t="str">
        <x:v>https://www.chosun.com/economy/auto/2025/03/28/7PKR6UAHUZCMZOYVHUBNJ76PNU</x:v>
      </x:c>
      <x:c r="G94" s="39" t="str">
        <x:v>한국GM은 2018년 군산 공장이 문을 닫는 부침 속에 대미(對美) 수출 기지로 탈바꿈하며 살아나는가 싶었지만, 트럼프 2기 출범과 함께 25% 관세 부과가 눈앞에 다가오자 존립까지 위태로워졌다.</x:v>
      </x:c>
      <x:c r="H94" s="38" t="str">
        <x:v>LEVEL</x:v>
      </x:c>
      <x:c r="I94" s="40" t="str">
        <x:v>25.0</x:v>
      </x:c>
      <x:c r="J94" s="38" t="str">
        <x:v>['년', '%']</x:v>
      </x:c>
      <x:c r="K94" s="38" t="str">
        <x:v>REFUTES</x:v>
      </x:c>
      <x:c r="L94" s="38" t="str">
        <x:v>FULL_KOSIS_MCP</x:v>
      </x:c>
      <x:c r="M94" s="38" t="str">
        <x:v>Y</x:v>
      </x:c>
      <x:c r="N94" s="38" t="str">
        <x:v>Y</x:v>
      </x:c>
      <x:c r="O94" s="38" t="str">
        <x:v>N</x:v>
      </x:c>
      <x:c r="P94" s="38" t="str">
        <x:v>360</x:v>
      </x:c>
      <x:c r="Q94" s="38" t="str">
        <x:v>DT_1R11006_FRM101</x:v>
      </x:c>
      <x:c r="R94" s="38" t="str">
        <x:v>국가별 수출액 수입액</x:v>
      </x:c>
      <x:c r="S94" s="38" t="str">
        <x:v>13102103829E.00</x:v>
      </x:c>
      <x:c r="T94" s="38" t="str">
        <x:v>N/A</x:v>
      </x:c>
      <x:c r="U94" s="38" t="str">
        <x:v>13103103829T1</x:v>
      </x:c>
      <x:c r="V94" s="38" t="str">
        <x:v>수출액</x:v>
      </x:c>
      <x:c r="W94" s="38" t="str">
        <x:v>계</x:v>
      </x:c>
      <x:c r="X94" s="38" t="str">
        <x:v>Y</x:v>
      </x:c>
      <x:c r="Y94" s="38" t="str">
        <x:v>2018</x:v>
      </x:c>
      <x:c r="Z94" s="38" t="str">
        <x:v>N/A</x:v>
      </x:c>
      <x:c r="AA94" s="41" t="str">
        <x:v>604859657.0</x:v>
      </x:c>
      <x:c r="AB94" s="41" t="str">
        <x:v>N/A</x:v>
      </x:c>
      <x:c r="AC94" s="41" t="str">
        <x:v>천달러</x:v>
      </x:c>
      <x:c r="AD94" s="41" t="str">
        <x:v>604859657.0</x:v>
      </x:c>
      <x:c r="AE94" s="39" t="str">
        <x:v>MCP current value × source unit scale (1)</x:v>
      </x:c>
      <x:c r="AF94" s="39" t="str">
        <x:v>MCP_ACTUAL_VALUE_CONFIRMED</x:v>
      </x:c>
      <x:c r="AG94" s="39" t="str">
        <x:v>KOSIS_MCP_GET_DATA</x:v>
      </x:c>
      <x:c r="AH94" s="39" t="str">
        <x:v>https://kosis.kr/statHtml/statHtml.do?orgId=360&amp;tblId=DT_1R11006_FRM101&amp;vw_cd=MT_ZTITLE&amp;list_id=&amp;seqNo=&amp;lang_mode=ko&amp;language=kor&amp;obj_var_id=&amp;itm_id=&amp;conn_path=MT_ZTITLE</x:v>
      </x:c>
      <x:c r="AI94" s="38" t="str">
        <x:v>61-120</x:v>
      </x:c>
      <x:c r="AJ94" s="38" t="n">
        <x:v>46239.358261469904</x:v>
      </x:c>
    </x:row>
    <x:row r="95">
      <x:c r="A95" s="38" t="str">
        <x:v>MCPG-094</x:v>
      </x:c>
      <x:c r="B95" s="38" t="str">
        <x:v>C09181</x:v>
      </x:c>
      <x:c r="C95" s="102" t="str">
        <x:v>A1186</x:v>
      </x:c>
      <x:c r="D95" s="39" t="str">
        <x:v>완성차 5사 3월 판매 내수 늘고, 수출 줄어</x:v>
      </x:c>
      <x:c r="E95" s="39" t="str">
        <x:v>2025-04-02</x:v>
      </x:c>
      <x:c r="F95" s="39" t="str">
        <x:v>https://www.chosun.com/economy/auto/2025/04/02/WGSJKEACLREGNPQWEDWLXBGH2Y</x:v>
      </x:c>
      <x:c r="G95" s="39" t="str">
        <x:v>한편, 현대차는 지난달 수출이 작년 동기 대비 2.6% 줄었고, 수출 물량의 90% 안팎이 미국으로 향하는 GM 한국사업장도 같은 기간 수출이 19.3% 급감했다.</x:v>
      </x:c>
      <x:c r="H95" s="38" t="str">
        <x:v>CHANGE_RATE</x:v>
      </x:c>
      <x:c r="I95" s="40" t="str">
        <x:v>19.3</x:v>
      </x:c>
      <x:c r="J95" s="38" t="str">
        <x:v>['%', '%', '%']</x:v>
      </x:c>
      <x:c r="K95" s="38" t="str">
        <x:v>REFUTES</x:v>
      </x:c>
      <x:c r="L95" s="38" t="str">
        <x:v>FULL_KOSIS_MCP</x:v>
      </x:c>
      <x:c r="M95" s="38" t="str">
        <x:v>Y</x:v>
      </x:c>
      <x:c r="N95" s="38" t="str">
        <x:v>Y</x:v>
      </x:c>
      <x:c r="O95" s="38" t="str">
        <x:v>N</x:v>
      </x:c>
      <x:c r="P95" s="38" t="str">
        <x:v>360</x:v>
      </x:c>
      <x:c r="Q95" s="38" t="str">
        <x:v>DT_1R11006_FRM101</x:v>
      </x:c>
      <x:c r="R95" s="38" t="str">
        <x:v>국가별 수출액 수입액</x:v>
      </x:c>
      <x:c r="S95" s="38" t="str">
        <x:v>13102103829E.US</x:v>
      </x:c>
      <x:c r="T95" s="38" t="str">
        <x:v>N/A</x:v>
      </x:c>
      <x:c r="U95" s="38" t="str">
        <x:v>13103103829T1</x:v>
      </x:c>
      <x:c r="V95" s="38" t="str">
        <x:v>수출액</x:v>
      </x:c>
      <x:c r="W95" s="38" t="str">
        <x:v>미국</x:v>
      </x:c>
      <x:c r="X95" s="38" t="str">
        <x:v>M</x:v>
      </x:c>
      <x:c r="Y95" s="38" t="str">
        <x:v>202403</x:v>
      </x:c>
      <x:c r="Z95" s="38" t="str">
        <x:v>202303</x:v>
      </x:c>
      <x:c r="AA95" s="41" t="str">
        <x:v>10880793.0</x:v>
      </x:c>
      <x:c r="AB95" s="41" t="str">
        <x:v>9775068.0</x:v>
      </x:c>
      <x:c r="AC95" s="41" t="str">
        <x:v>천달러</x:v>
      </x:c>
      <x:c r="AD95" s="41" t="str">
        <x:v>11.311686015892677</x:v>
      </x:c>
      <x:c r="AE95" s="39" t="str">
        <x:v>(MCP current − MCP previous) / |MCP previous| × 100</x:v>
      </x:c>
      <x:c r="AF95" s="39" t="str">
        <x:v>MCP_ACTUAL_VALUE_CONFIRMED</x:v>
      </x:c>
      <x:c r="AG95" s="39" t="str">
        <x:v>KOSIS_MCP_GET_DATA</x:v>
      </x:c>
      <x:c r="AH95" s="39" t="str">
        <x:v>https://kosis.kr/statHtml/statHtml.do?orgId=360&amp;tblId=DT_1R11006_FRM101&amp;vw_cd=MT_ZTITLE&amp;list_id=&amp;seqNo=&amp;lang_mode=ko&amp;language=kor&amp;obj_var_id=&amp;itm_id=&amp;conn_path=MT_ZTITLE</x:v>
      </x:c>
      <x:c r="AI95" s="38" t="str">
        <x:v>61-120</x:v>
      </x:c>
      <x:c r="AJ95" s="38" t="n">
        <x:v>46239.358261469904</x:v>
      </x:c>
    </x:row>
    <x:row r="96">
      <x:c r="A96" s="38" t="str">
        <x:v>MCPG-095</x:v>
      </x:c>
      <x:c r="B96" s="38" t="str">
        <x:v>C09723</x:v>
      </x:c>
      <x:c r="C96" s="102" t="str">
        <x:v>A1255</x:v>
      </x:c>
      <x:c r="D96" s="39" t="str">
        <x:v>‘관세 전쟁’ 반영 안 했는데도… 올 한국 성장률 1.4%로 내려</x:v>
      </x:c>
      <x:c r="E96" s="39" t="str">
        <x:v>2025-04-07</x:v>
      </x:c>
      <x:c r="F96" s="39" t="str">
        <x:v>https://www.chosun.com/economy/economy_general/2025/04/07/VVA56JEZHRGWBM24Z4F4FHUU5E</x:v>
      </x:c>
      <x:c r="G96" s="39" t="str">
        <x:v>미국의 관세 정책이 본격적으로 발표되기 전인 3월 말 해외 IB들은 이미 우리나라가 올해 1.4% 성장에 그칠 것으로 본 것이다.</x:v>
      </x:c>
      <x:c r="H96" s="38" t="str">
        <x:v>CHANGE_RATE</x:v>
      </x:c>
      <x:c r="I96" s="40" t="str">
        <x:v>1.4</x:v>
      </x:c>
      <x:c r="J96" s="38" t="str">
        <x:v>['월', '%']</x:v>
      </x:c>
      <x:c r="K96" s="38" t="str">
        <x:v>REFUTES</x:v>
      </x:c>
      <x:c r="L96" s="38" t="str">
        <x:v>FULL_KOSIS_MCP</x:v>
      </x:c>
      <x:c r="M96" s="38" t="str">
        <x:v>Y</x:v>
      </x:c>
      <x:c r="N96" s="38" t="str">
        <x:v>Y</x:v>
      </x:c>
      <x:c r="O96" s="38" t="str">
        <x:v>N</x:v>
      </x:c>
      <x:c r="P96" s="38" t="str">
        <x:v>360</x:v>
      </x:c>
      <x:c r="Q96" s="38" t="str">
        <x:v>DT_1R11006_FRM101</x:v>
      </x:c>
      <x:c r="R96" s="38" t="str">
        <x:v>국가별 수출액 수입액</x:v>
      </x:c>
      <x:c r="S96" s="38" t="str">
        <x:v>13102103829E.US</x:v>
      </x:c>
      <x:c r="T96" s="38" t="str">
        <x:v>N/A</x:v>
      </x:c>
      <x:c r="U96" s="38" t="str">
        <x:v>13103103829T1</x:v>
      </x:c>
      <x:c r="V96" s="38" t="str">
        <x:v>수출액</x:v>
      </x:c>
      <x:c r="W96" s="38" t="str">
        <x:v>미국</x:v>
      </x:c>
      <x:c r="X96" s="38" t="str">
        <x:v>M</x:v>
      </x:c>
      <x:c r="Y96" s="38" t="str">
        <x:v>202503</x:v>
      </x:c>
      <x:c r="Z96" s="38" t="str">
        <x:v>202502</x:v>
      </x:c>
      <x:c r="AA96" s="41" t="str">
        <x:v>11109476.0</x:v>
      </x:c>
      <x:c r="AB96" s="41" t="str">
        <x:v>9889640.0</x:v>
      </x:c>
      <x:c r="AC96" s="41" t="str">
        <x:v>천달러</x:v>
      </x:c>
      <x:c r="AD96" s="41" t="str">
        <x:v>12.33448335834267</x:v>
      </x:c>
      <x:c r="AE96" s="39" t="str">
        <x:v>(MCP current − MCP previous) / |MCP previous| × 100</x:v>
      </x:c>
      <x:c r="AF96" s="39" t="str">
        <x:v>MCP_ACTUAL_VALUE_CONFIRMED</x:v>
      </x:c>
      <x:c r="AG96" s="39" t="str">
        <x:v>KOSIS_MCP_GET_DATA</x:v>
      </x:c>
      <x:c r="AH96" s="39" t="str">
        <x:v>https://kosis.kr/statHtml/statHtml.do?orgId=360&amp;tblId=DT_1R11006_FRM101&amp;vw_cd=MT_ZTITLE&amp;list_id=&amp;seqNo=&amp;lang_mode=ko&amp;language=kor&amp;obj_var_id=&amp;itm_id=&amp;conn_path=MT_ZTITLE</x:v>
      </x:c>
      <x:c r="AI96" s="38" t="str">
        <x:v>61-120</x:v>
      </x:c>
      <x:c r="AJ96" s="38" t="n">
        <x:v>46239.358261469904</x:v>
      </x:c>
    </x:row>
    <x:row r="97">
      <x:c r="A97" s="38" t="str">
        <x:v>MCPG-096</x:v>
      </x:c>
      <x:c r="B97" s="38" t="str">
        <x:v>C10741</x:v>
      </x:c>
      <x:c r="C97" s="102" t="str">
        <x:v>A1388</x:v>
      </x:c>
      <x:c r="D97" s="39" t="str">
        <x:v>1분기 미국산 농·축·수산물 수입 17년 만에 최대</x:v>
      </x:c>
      <x:c r="E97" s="39" t="str">
        <x:v>2025-04-17</x:v>
      </x:c>
      <x:c r="F97" s="39" t="str">
        <x:v>https://www.chosun.com/economy/economy_general/2025/04/17/INS4VBCL4ZDZNLKDGVKLX6T2WY</x:v>
      </x:c>
      <x:c r="G97" s="39" t="str">
        <x:v>1 올해 1분기(1~3월) 미국산 농·축·수산물 수입량이 전년보다 60% 넘게 늘며 17년 만에 최대를 기록했다.</x:v>
      </x:c>
      <x:c r="H97" s="38" t="str">
        <x:v>LEVEL</x:v>
      </x:c>
      <x:c r="I97" s="40" t="str">
        <x:v>60.0</x:v>
      </x:c>
      <x:c r="J97" s="38" t="str">
        <x:v>['분', '월', '%', '년']</x:v>
      </x:c>
      <x:c r="K97" s="38" t="str">
        <x:v>REFUTES</x:v>
      </x:c>
      <x:c r="L97" s="38" t="str">
        <x:v>FULL_KOSIS_MCP</x:v>
      </x:c>
      <x:c r="M97" s="38" t="str">
        <x:v>Y</x:v>
      </x:c>
      <x:c r="N97" s="38" t="str">
        <x:v>Y</x:v>
      </x:c>
      <x:c r="O97" s="38" t="str">
        <x:v>N</x:v>
      </x:c>
      <x:c r="P97" s="38" t="str">
        <x:v>360</x:v>
      </x:c>
      <x:c r="Q97" s="38" t="str">
        <x:v>DT_1R11006_FRM101</x:v>
      </x:c>
      <x:c r="R97" s="38" t="str">
        <x:v>국가별 수출액 수입액</x:v>
      </x:c>
      <x:c r="S97" s="38" t="str">
        <x:v>13102103829E.US</x:v>
      </x:c>
      <x:c r="T97" s="38" t="str">
        <x:v>N/A</x:v>
      </x:c>
      <x:c r="U97" s="38" t="str">
        <x:v>13103103829T2</x:v>
      </x:c>
      <x:c r="V97" s="38" t="str">
        <x:v>수입액</x:v>
      </x:c>
      <x:c r="W97" s="38" t="str">
        <x:v>미국</x:v>
      </x:c>
      <x:c r="X97" s="38" t="str">
        <x:v>M</x:v>
      </x:c>
      <x:c r="Y97" s="38" t="str">
        <x:v>202403</x:v>
      </x:c>
      <x:c r="Z97" s="38" t="str">
        <x:v>N/A</x:v>
      </x:c>
      <x:c r="AA97" s="41" t="str">
        <x:v>5975811.0</x:v>
      </x:c>
      <x:c r="AB97" s="41" t="str">
        <x:v>N/A</x:v>
      </x:c>
      <x:c r="AC97" s="41" t="str">
        <x:v>천달러</x:v>
      </x:c>
      <x:c r="AD97" s="41" t="str">
        <x:v>5975811.0</x:v>
      </x:c>
      <x:c r="AE97" s="39" t="str">
        <x:v>MCP current value × source unit scale (1)</x:v>
      </x:c>
      <x:c r="AF97" s="39" t="str">
        <x:v>MCP_ACTUAL_VALUE_CONFIRMED</x:v>
      </x:c>
      <x:c r="AG97" s="39" t="str">
        <x:v>KOSIS_MCP_GET_DATA</x:v>
      </x:c>
      <x:c r="AH97" s="39" t="str">
        <x:v>https://kosis.kr/statHtml/statHtml.do?orgId=360&amp;tblId=DT_1R11006_FRM101&amp;vw_cd=MT_ZTITLE&amp;list_id=&amp;seqNo=&amp;lang_mode=ko&amp;language=kor&amp;obj_var_id=&amp;itm_id=&amp;conn_path=MT_ZTITLE</x:v>
      </x:c>
      <x:c r="AI97" s="38" t="str">
        <x:v>61-120</x:v>
      </x:c>
      <x:c r="AJ97" s="38" t="n">
        <x:v>46239.358261469904</x:v>
      </x:c>
    </x:row>
    <x:row r="98">
      <x:c r="A98" s="38" t="str">
        <x:v>MCPG-097</x:v>
      </x:c>
      <x:c r="B98" s="38" t="str">
        <x:v>C11270</x:v>
      </x:c>
      <x:c r="C98" s="102" t="str">
        <x:v>A1455</x:v>
      </x:c>
      <x:c r="D98" s="39" t="str">
        <x:v>트럼프 관세 폭탄에 대미 수출 -14.3%</x:v>
      </x:c>
      <x:c r="E98" s="39" t="str">
        <x:v>2025-04-22</x:v>
      </x:c>
      <x:c r="F98" s="39" t="str">
        <x:v>https://www.chosun.com/economy/industry-company/2025/04/22/NR2ZC5HTINERVEL3IZIBUC74TA</x:v>
      </x:c>
      <x:c r="G98" s="39" t="str">
        <x:v>4월 대미 수출이 이 같은 추세로 마감된다면 코로나 시기였던 2020년 5월(-29.4%) 이후 월간 기준 10% 이상 처음 줄어들게 된다.</x:v>
      </x:c>
      <x:c r="H98" s="38" t="str">
        <x:v>LEVEL</x:v>
      </x:c>
      <x:c r="I98" s="40" t="str">
        <x:v>10.0</x:v>
      </x:c>
      <x:c r="J98" s="38" t="str">
        <x:v>['월', '년', '월', '%', '%']</x:v>
      </x:c>
      <x:c r="K98" s="38" t="str">
        <x:v>REFUTES</x:v>
      </x:c>
      <x:c r="L98" s="38" t="str">
        <x:v>FULL_KOSIS_MCP</x:v>
      </x:c>
      <x:c r="M98" s="38" t="str">
        <x:v>Y</x:v>
      </x:c>
      <x:c r="N98" s="38" t="str">
        <x:v>Y</x:v>
      </x:c>
      <x:c r="O98" s="38" t="str">
        <x:v>N</x:v>
      </x:c>
      <x:c r="P98" s="38" t="str">
        <x:v>360</x:v>
      </x:c>
      <x:c r="Q98" s="38" t="str">
        <x:v>DT_1R11006_FRM101</x:v>
      </x:c>
      <x:c r="R98" s="38" t="str">
        <x:v>국가별 수출액 수입액</x:v>
      </x:c>
      <x:c r="S98" s="38" t="str">
        <x:v>13102103829E.00</x:v>
      </x:c>
      <x:c r="T98" s="38" t="str">
        <x:v>N/A</x:v>
      </x:c>
      <x:c r="U98" s="38" t="str">
        <x:v>13103103829T1</x:v>
      </x:c>
      <x:c r="V98" s="38" t="str">
        <x:v>수출액</x:v>
      </x:c>
      <x:c r="W98" s="38" t="str">
        <x:v>계</x:v>
      </x:c>
      <x:c r="X98" s="38" t="str">
        <x:v>M</x:v>
      </x:c>
      <x:c r="Y98" s="38" t="str">
        <x:v>202005</x:v>
      </x:c>
      <x:c r="Z98" s="38" t="str">
        <x:v>N/A</x:v>
      </x:c>
      <x:c r="AA98" s="41" t="str">
        <x:v>34854511.0</x:v>
      </x:c>
      <x:c r="AB98" s="41" t="str">
        <x:v>N/A</x:v>
      </x:c>
      <x:c r="AC98" s="41" t="str">
        <x:v>천달러</x:v>
      </x:c>
      <x:c r="AD98" s="41" t="str">
        <x:v>34854511.0</x:v>
      </x:c>
      <x:c r="AE98" s="39" t="str">
        <x:v>MCP current value × source unit scale (1)</x:v>
      </x:c>
      <x:c r="AF98" s="39" t="str">
        <x:v>MCP_ACTUAL_VALUE_CONFIRMED</x:v>
      </x:c>
      <x:c r="AG98" s="39" t="str">
        <x:v>KOSIS_MCP_GET_DATA</x:v>
      </x:c>
      <x:c r="AH98" s="39" t="str">
        <x:v>https://kosis.kr/statHtml/statHtml.do?orgId=360&amp;tblId=DT_1R11006_FRM101&amp;vw_cd=MT_ZTITLE&amp;list_id=&amp;seqNo=&amp;lang_mode=ko&amp;language=kor&amp;obj_var_id=&amp;itm_id=&amp;conn_path=MT_ZTITLE</x:v>
      </x:c>
      <x:c r="AI98" s="38" t="str">
        <x:v>61-120</x:v>
      </x:c>
      <x:c r="AJ98" s="38" t="n">
        <x:v>46239.358261469904</x:v>
      </x:c>
    </x:row>
    <x:row r="99">
      <x:c r="A99" s="38" t="str">
        <x:v>MCPG-098</x:v>
      </x:c>
      <x:c r="B99" s="38" t="str">
        <x:v>C12366</x:v>
      </x:c>
      <x:c r="C99" s="102" t="str">
        <x:v>A1615</x:v>
      </x:c>
      <x:c r="D99" s="39" t="str">
        <x:v>車 부품 업계, 관세로 영업이익 1조5000억 급감할 듯</x:v>
      </x:c>
      <x:c r="E99" s="39" t="str">
        <x:v>2025-05-05</x:v>
      </x:c>
      <x:c r="F99" s="39" t="str">
        <x:v>https://www.chosun.com/economy/auto/2025/05/05/F42BIZ3NLVFEPAPIC45E2V5YVA</x:v>
      </x:c>
      <x:c r="G99" s="39" t="str">
        <x:v>지난달 3일부터 외국산 자동차에 25% 관세 부과로 국내에서 생산한 자동차의 미국 수출에 차질이 빚어지는 가운데, 작년 기준 대미 수출액이 11조5000억원에 달하는 자동차 부품까지 막히는 이중고가 우려된다.</x:v>
      </x:c>
      <x:c r="H99" s="38" t="str">
        <x:v>LEVEL</x:v>
      </x:c>
      <x:c r="I99" s="40" t="str">
        <x:v>5000.0</x:v>
      </x:c>
      <x:c r="J99" s="38" t="str">
        <x:v>['일', '%', '억원']</x:v>
      </x:c>
      <x:c r="K99" s="38" t="str">
        <x:v>REFUTES</x:v>
      </x:c>
      <x:c r="L99" s="38" t="str">
        <x:v>FULL_KOSIS_MCP</x:v>
      </x:c>
      <x:c r="M99" s="38" t="str">
        <x:v>Y</x:v>
      </x:c>
      <x:c r="N99" s="38" t="str">
        <x:v>Y</x:v>
      </x:c>
      <x:c r="O99" s="38" t="str">
        <x:v>N</x:v>
      </x:c>
      <x:c r="P99" s="38" t="str">
        <x:v>360</x:v>
      </x:c>
      <x:c r="Q99" s="38" t="str">
        <x:v>DT_1R11006_FRM101</x:v>
      </x:c>
      <x:c r="R99" s="38" t="str">
        <x:v>국가별 수출액 수입액</x:v>
      </x:c>
      <x:c r="S99" s="38" t="str">
        <x:v>13102103829E.US</x:v>
      </x:c>
      <x:c r="T99" s="38" t="str">
        <x:v>N/A</x:v>
      </x:c>
      <x:c r="U99" s="38" t="str">
        <x:v>13103103829T1</x:v>
      </x:c>
      <x:c r="V99" s="38" t="str">
        <x:v>수출액</x:v>
      </x:c>
      <x:c r="W99" s="38" t="str">
        <x:v>미국</x:v>
      </x:c>
      <x:c r="X99" s="38" t="str">
        <x:v>M</x:v>
      </x:c>
      <x:c r="Y99" s="38" t="str">
        <x:v>202404</x:v>
      </x:c>
      <x:c r="Z99" s="38" t="str">
        <x:v>N/A</x:v>
      </x:c>
      <x:c r="AA99" s="41" t="str">
        <x:v>11400587.0</x:v>
      </x:c>
      <x:c r="AB99" s="41" t="str">
        <x:v>N/A</x:v>
      </x:c>
      <x:c r="AC99" s="41" t="str">
        <x:v>천달러</x:v>
      </x:c>
      <x:c r="AD99" s="41" t="str">
        <x:v>11400587.0</x:v>
      </x:c>
      <x:c r="AE99" s="39" t="str">
        <x:v>MCP current value × source unit scale (1)</x:v>
      </x:c>
      <x:c r="AF99" s="39" t="str">
        <x:v>MCP_ACTUAL_VALUE_CONFIRMED</x:v>
      </x:c>
      <x:c r="AG99" s="39" t="str">
        <x:v>KOSIS_MCP_GET_DATA</x:v>
      </x:c>
      <x:c r="AH99" s="39" t="str">
        <x:v>https://kosis.kr/statHtml/statHtml.do?orgId=360&amp;tblId=DT_1R11006_FRM101&amp;vw_cd=MT_ZTITLE&amp;list_id=&amp;seqNo=&amp;lang_mode=ko&amp;language=kor&amp;obj_var_id=&amp;itm_id=&amp;conn_path=MT_ZTITLE</x:v>
      </x:c>
      <x:c r="AI99" s="38" t="str">
        <x:v>61-120</x:v>
      </x:c>
      <x:c r="AJ99" s="38" t="n">
        <x:v>46239.358261469904</x:v>
      </x:c>
    </x:row>
    <x:row r="100">
      <x:c r="A100" s="38" t="str">
        <x:v>MCPG-099</x:v>
      </x:c>
      <x:c r="B100" s="38" t="str">
        <x:v>C12553</x:v>
      </x:c>
      <x:c r="C100" s="102" t="str">
        <x:v>A1640</x:v>
      </x:c>
      <x:c r="D100" s="39" t="str">
        <x:v>美ㆍ中 첫 대화 소식, 中 금리 인하에...환율 널뛰기</x:v>
      </x:c>
      <x:c r="E100" s="39" t="str">
        <x:v>2025-05-07</x:v>
      </x:c>
      <x:c r="F100" s="39" t="str">
        <x:v>https://www.chosun.com/economy/economy_general/2025/05/07/4V4C6GOTR5FZPLY5QYERY47PWE</x:v>
      </x:c>
      <x:c r="G100" s="39" t="str">
        <x:v>지난달 트럼프 행정부가 중국산 수입품에 145%의 관세를 부과하고 이에 맞서 중국이 미국산 제품에 최대 125%의 보복 관세를 매긴 뒤 양국 간 고위급 인사가 갖는 첫 회담이다.</x:v>
      </x:c>
      <x:c r="H100" s="38" t="str">
        <x:v>LEVEL</x:v>
      </x:c>
      <x:c r="I100" s="40" t="str">
        <x:v>125.0</x:v>
      </x:c>
      <x:c r="J100" s="38" t="str">
        <x:v>['%', '%']</x:v>
      </x:c>
      <x:c r="K100" s="38" t="str">
        <x:v>REFUTES</x:v>
      </x:c>
      <x:c r="L100" s="38" t="str">
        <x:v>FULL_KOSIS_MCP</x:v>
      </x:c>
      <x:c r="M100" s="38" t="str">
        <x:v>Y</x:v>
      </x:c>
      <x:c r="N100" s="38" t="str">
        <x:v>Y</x:v>
      </x:c>
      <x:c r="O100" s="38" t="str">
        <x:v>N</x:v>
      </x:c>
      <x:c r="P100" s="38" t="str">
        <x:v>360</x:v>
      </x:c>
      <x:c r="Q100" s="38" t="str">
        <x:v>DT_1R11006_FRM101</x:v>
      </x:c>
      <x:c r="R100" s="38" t="str">
        <x:v>국가별 수출액 수입액</x:v>
      </x:c>
      <x:c r="S100" s="38" t="str">
        <x:v>13102103829E.US</x:v>
      </x:c>
      <x:c r="T100" s="38" t="str">
        <x:v>N/A</x:v>
      </x:c>
      <x:c r="U100" s="38" t="str">
        <x:v>13103103829T2</x:v>
      </x:c>
      <x:c r="V100" s="38" t="str">
        <x:v>수입액</x:v>
      </x:c>
      <x:c r="W100" s="38" t="str">
        <x:v>미국</x:v>
      </x:c>
      <x:c r="X100" s="38" t="str">
        <x:v>M</x:v>
      </x:c>
      <x:c r="Y100" s="38" t="str">
        <x:v>202504</x:v>
      </x:c>
      <x:c r="Z100" s="38" t="str">
        <x:v>N/A</x:v>
      </x:c>
      <x:c r="AA100" s="41" t="str">
        <x:v>6139710.0</x:v>
      </x:c>
      <x:c r="AB100" s="41" t="str">
        <x:v>N/A</x:v>
      </x:c>
      <x:c r="AC100" s="41" t="str">
        <x:v>천달러</x:v>
      </x:c>
      <x:c r="AD100" s="41" t="str">
        <x:v>6139710.0</x:v>
      </x:c>
      <x:c r="AE100" s="39" t="str">
        <x:v>MCP current value × source unit scale (1)</x:v>
      </x:c>
      <x:c r="AF100" s="39" t="str">
        <x:v>MCP_ACTUAL_VALUE_CONFIRMED</x:v>
      </x:c>
      <x:c r="AG100" s="39" t="str">
        <x:v>KOSIS_MCP_GET_DATA</x:v>
      </x:c>
      <x:c r="AH100" s="39" t="str">
        <x:v>https://kosis.kr/statHtml/statHtml.do?orgId=360&amp;tblId=DT_1R11006_FRM101&amp;vw_cd=MT_ZTITLE&amp;list_id=&amp;seqNo=&amp;lang_mode=ko&amp;language=kor&amp;obj_var_id=&amp;itm_id=&amp;conn_path=MT_ZTITLE</x:v>
      </x:c>
      <x:c r="AI100" s="38" t="str">
        <x:v>61-120</x:v>
      </x:c>
      <x:c r="AJ100" s="38" t="n">
        <x:v>46239.358261469904</x:v>
      </x:c>
    </x:row>
    <x:row r="101">
      <x:c r="A101" s="38" t="str">
        <x:v>MCPG-100</x:v>
      </x:c>
      <x:c r="B101" s="38" t="str">
        <x:v>C12735</x:v>
      </x:c>
      <x:c r="C101" s="102" t="str">
        <x:v>A1666</x:v>
      </x:c>
      <x:c r="D101" s="39" t="str">
        <x:v>포드, 최대 280만원 올려… 미국 車가격 인상 현실화</x:v>
      </x:c>
      <x:c r="E101" s="39" t="str">
        <x:v>2025-05-09</x:v>
      </x:c>
      <x:c r="F101" s="39" t="str">
        <x:v>https://www.chosun.com/economy/auto/2025/05/09/32LFRMSA5VGCLGL2CQSS5PANBU</x:v>
      </x:c>
      <x:c r="G101" s="39" t="str">
        <x:v>포드는 지난달 3일부터 시행된 미국의 25% 자동차 관세로 인해 15억달러(약 2조원)의 비용이 올해 발생할 것으로 봤는데, 소비자 판매가를 인상해 손실을 만회하려는 것으로 보인다.</x:v>
      </x:c>
      <x:c r="H101" s="38" t="str">
        <x:v>LEVEL</x:v>
      </x:c>
      <x:c r="I101" s="40" t="str">
        <x:v>15.0</x:v>
      </x:c>
      <x:c r="J101" s="38" t="str">
        <x:v>['일', '%', '조원']</x:v>
      </x:c>
      <x:c r="K101" s="38" t="str">
        <x:v>REFUTES</x:v>
      </x:c>
      <x:c r="L101" s="38" t="str">
        <x:v>FULL_KOSIS_MCP</x:v>
      </x:c>
      <x:c r="M101" s="38" t="str">
        <x:v>Y</x:v>
      </x:c>
      <x:c r="N101" s="38" t="str">
        <x:v>Y</x:v>
      </x:c>
      <x:c r="O101" s="38" t="str">
        <x:v>N</x:v>
      </x:c>
      <x:c r="P101" s="38" t="str">
        <x:v>360</x:v>
      </x:c>
      <x:c r="Q101" s="38" t="str">
        <x:v>DT_1R11006_FRM101</x:v>
      </x:c>
      <x:c r="R101" s="38" t="str">
        <x:v>국가별 수출액 수입액</x:v>
      </x:c>
      <x:c r="S101" s="38" t="str">
        <x:v>13102103829E.US</x:v>
      </x:c>
      <x:c r="T101" s="38" t="str">
        <x:v>N/A</x:v>
      </x:c>
      <x:c r="U101" s="38" t="str">
        <x:v>13103103829T1</x:v>
      </x:c>
      <x:c r="V101" s="38" t="str">
        <x:v>수출액</x:v>
      </x:c>
      <x:c r="W101" s="38" t="str">
        <x:v>미국</x:v>
      </x:c>
      <x:c r="X101" s="38" t="str">
        <x:v>M</x:v>
      </x:c>
      <x:c r="Y101" s="38" t="str">
        <x:v>202504</x:v>
      </x:c>
      <x:c r="Z101" s="38" t="str">
        <x:v>N/A</x:v>
      </x:c>
      <x:c r="AA101" s="41" t="str">
        <x:v>10605998.0</x:v>
      </x:c>
      <x:c r="AB101" s="41" t="str">
        <x:v>N/A</x:v>
      </x:c>
      <x:c r="AC101" s="41" t="str">
        <x:v>천달러</x:v>
      </x:c>
      <x:c r="AD101" s="41" t="str">
        <x:v>106.05998</x:v>
      </x:c>
      <x:c r="AE101" s="39" t="str">
        <x:v>MCP current value × source unit scale (1e-05)</x:v>
      </x:c>
      <x:c r="AF101" s="39" t="str">
        <x:v>MCP_ACTUAL_VALUE_CONFIRMED</x:v>
      </x:c>
      <x:c r="AG101" s="39" t="str">
        <x:v>KOSIS_MCP_GET_DATA</x:v>
      </x:c>
      <x:c r="AH101" s="39" t="str">
        <x:v>https://kosis.kr/statHtml/statHtml.do?orgId=360&amp;tblId=DT_1R11006_FRM101&amp;vw_cd=MT_ZTITLE&amp;list_id=&amp;seqNo=&amp;lang_mode=ko&amp;language=kor&amp;obj_var_id=&amp;itm_id=&amp;conn_path=MT_ZTITLE</x:v>
      </x:c>
      <x:c r="AI101" s="38" t="str">
        <x:v>61-120</x:v>
      </x:c>
      <x:c r="AJ101" s="38" t="n">
        <x:v>46239.358261469904</x:v>
      </x:c>
    </x:row>
    <x:row r="102">
      <x:c r="A102" s="38" t="str">
        <x:v>MCPG-101</x:v>
      </x:c>
      <x:c r="B102" s="38" t="str">
        <x:v>C14120</x:v>
      </x:c>
      <x:c r="C102" s="102" t="str">
        <x:v>A1862</x:v>
      </x:c>
      <x:c r="D102" s="39" t="str">
        <x:v>브라질산 닭고기 수입… 정부, 제한적으로 허용</x:v>
      </x:c>
      <x:c r="E102" s="39" t="str">
        <x:v>2025-05-24</x:v>
      </x:c>
      <x:c r="F102" s="39" t="str">
        <x:v>https://www.chosun.com/economy/economy_general/2025/05/24/353PN2X7JJGLDBKHMNL7I7Y23M</x:v>
      </x:c>
      <x:c r="G102" s="39" t="str">
        <x:v>지난해 우리나라가 수입한 브라질산 닭고기는 15만8000톤으로, 전체 닭고기 수입량(18만3600t)의 86.1%, 국내 닭고기 소비량(79만1000t)의 20%를 차지했다.</x:v>
      </x:c>
      <x:c r="H102" s="38" t="str">
        <x:v>LEVEL</x:v>
      </x:c>
      <x:c r="I102" s="40" t="str">
        <x:v>20.0</x:v>
      </x:c>
      <x:c r="J102" s="38" t="str">
        <x:v>['톤', '%', '%']</x:v>
      </x:c>
      <x:c r="K102" s="38" t="str">
        <x:v>REFUTES</x:v>
      </x:c>
      <x:c r="L102" s="38" t="str">
        <x:v>FULL_KOSIS_MCP</x:v>
      </x:c>
      <x:c r="M102" s="38" t="str">
        <x:v>Y</x:v>
      </x:c>
      <x:c r="N102" s="38" t="str">
        <x:v>Y</x:v>
      </x:c>
      <x:c r="O102" s="38" t="str">
        <x:v>N</x:v>
      </x:c>
      <x:c r="P102" s="38" t="str">
        <x:v>360</x:v>
      </x:c>
      <x:c r="Q102" s="38" t="str">
        <x:v>DT_1R11006_FRM101</x:v>
      </x:c>
      <x:c r="R102" s="38" t="str">
        <x:v>국가별 수출액 수입액</x:v>
      </x:c>
      <x:c r="S102" s="38" t="str">
        <x:v>13102103829E.00</x:v>
      </x:c>
      <x:c r="T102" s="38" t="str">
        <x:v>N/A</x:v>
      </x:c>
      <x:c r="U102" s="38" t="str">
        <x:v>13103103829T2</x:v>
      </x:c>
      <x:c r="V102" s="38" t="str">
        <x:v>수입액</x:v>
      </x:c>
      <x:c r="W102" s="38" t="str">
        <x:v>계</x:v>
      </x:c>
      <x:c r="X102" s="38" t="str">
        <x:v>Y</x:v>
      </x:c>
      <x:c r="Y102" s="38" t="str">
        <x:v>2024</x:v>
      </x:c>
      <x:c r="Z102" s="38" t="str">
        <x:v>N/A</x:v>
      </x:c>
      <x:c r="AA102" s="41" t="str">
        <x:v>631767209.0</x:v>
      </x:c>
      <x:c r="AB102" s="41" t="str">
        <x:v>N/A</x:v>
      </x:c>
      <x:c r="AC102" s="41" t="str">
        <x:v>천달러</x:v>
      </x:c>
      <x:c r="AD102" s="41" t="str">
        <x:v>631767209.0</x:v>
      </x:c>
      <x:c r="AE102" s="39" t="str">
        <x:v>MCP current value × source unit scale (1)</x:v>
      </x:c>
      <x:c r="AF102" s="39" t="str">
        <x:v>MCP_ACTUAL_VALUE_CONFIRMED</x:v>
      </x:c>
      <x:c r="AG102" s="39" t="str">
        <x:v>KOSIS_MCP_GET_DATA</x:v>
      </x:c>
      <x:c r="AH102" s="39" t="str">
        <x:v>https://kosis.kr/statHtml/statHtml.do?orgId=360&amp;tblId=DT_1R11006_FRM101&amp;vw_cd=MT_ZTITLE&amp;list_id=&amp;seqNo=&amp;lang_mode=ko&amp;language=kor&amp;obj_var_id=&amp;itm_id=&amp;conn_path=MT_ZTITLE</x:v>
      </x:c>
      <x:c r="AI102" s="38" t="str">
        <x:v>61-120</x:v>
      </x:c>
      <x:c r="AJ102" s="38" t="n">
        <x:v>46239.358261469904</x:v>
      </x:c>
    </x:row>
    <x:row r="103">
      <x:c r="A103" s="38" t="str">
        <x:v>MCPG-102</x:v>
      </x:c>
      <x:c r="B103" s="38" t="str">
        <x:v>C02339</x:v>
      </x:c>
      <x:c r="C103" s="102" t="str">
        <x:v>A0314</x:v>
      </x:c>
      <x:c r="D103" s="39" t="str">
        <x:v>日, 기준금리 0.5%로 인상… 16년 3개월 만에 최고</x:v>
      </x:c>
      <x:c r="E103" s="39" t="str">
        <x:v>2025-01-25</x:v>
      </x:c>
      <x:c r="F103" s="39" t="str">
        <x:v>https://www.chosun.com/economy/economy_general/2025/01/25/6UTAX7KE45F5NMJZXPIPDTVNVQ</x:v>
      </x:c>
      <x:c r="G103" s="39" t="str">
        <x:v>작년 12월 소비자물가 상승률은 3%로 일본은행이 설정한 인플레이션 목표치(2%)를 훌쩍 뛰어넘었다.</x:v>
      </x:c>
      <x:c r="H103" s="38" t="str">
        <x:v>CHANGE_RATE</x:v>
      </x:c>
      <x:c r="I103" s="40" t="str">
        <x:v>2.0</x:v>
      </x:c>
      <x:c r="J103" s="38" t="str">
        <x:v>['월', '%', '%']</x:v>
      </x:c>
      <x:c r="K103" s="38" t="str">
        <x:v>REFUTES</x:v>
      </x:c>
      <x:c r="L103" s="38" t="str">
        <x:v>FULL_KOSIS_MCP</x:v>
      </x:c>
      <x:c r="M103" s="38" t="str">
        <x:v>Y</x:v>
      </x:c>
      <x:c r="N103" s="38" t="str">
        <x:v>Y</x:v>
      </x:c>
      <x:c r="O103" s="38" t="str">
        <x:v>N</x:v>
      </x:c>
      <x:c r="P103" s="38" t="str">
        <x:v>101</x:v>
      </x:c>
      <x:c r="Q103" s="38" t="str">
        <x:v>DT_1J22042</x:v>
      </x:c>
      <x:c r="R103" s="38" t="str">
        <x:v>월별 소비자물가 등락률</x:v>
      </x:c>
      <x:c r="S103" s="38" t="str">
        <x:v>0</x:v>
      </x:c>
      <x:c r="T103" s="38" t="str">
        <x:v>N/A</x:v>
      </x:c>
      <x:c r="U103" s="38" t="str">
        <x:v>T03</x:v>
      </x:c>
      <x:c r="V103" s="38" t="str">
        <x:v>전년동월비(%)</x:v>
      </x:c>
      <x:c r="W103" s="38" t="str">
        <x:v>총지수</x:v>
      </x:c>
      <x:c r="X103" s="38" t="str">
        <x:v>M</x:v>
      </x:c>
      <x:c r="Y103" s="38" t="str">
        <x:v>202412</x:v>
      </x:c>
      <x:c r="Z103" s="38" t="str">
        <x:v>202411</x:v>
      </x:c>
      <x:c r="AA103" s="41" t="str">
        <x:v>1.9</x:v>
      </x:c>
      <x:c r="AB103" s="41" t="str">
        <x:v>1.5</x:v>
      </x:c>
      <x:c r="AC103" s="41" t="str">
        <x:v>%</x:v>
      </x:c>
      <x:c r="AD103" s="41" t="str">
        <x:v>26.66666666666666</x:v>
      </x:c>
      <x:c r="AE103" s="39" t="str">
        <x:v>(MCP current − MCP previous) / |MCP previous| × 100</x:v>
      </x:c>
      <x:c r="AF103" s="39" t="str">
        <x:v>MCP_ACTUAL_VALUE_CONFIRMED</x:v>
      </x:c>
      <x:c r="AG103" s="39" t="str">
        <x:v>KOSIS_MCP_GET_DATA</x:v>
      </x:c>
      <x:c r="AH103" s="39" t="str">
        <x:v>https://kosis.kr/statHtml/statHtml.do?orgId=101&amp;tblId=DT_1J22042&amp;vw_cd=MT_ZTITLE&amp;list_id=&amp;seqNo=&amp;lang_mode=ko&amp;language=kor&amp;obj_var_id=&amp;itm_id=&amp;conn_path=MT_ZTITLE</x:v>
      </x:c>
      <x:c r="AI103" s="38" t="str">
        <x:v>81-100</x:v>
      </x:c>
      <x:c r="AJ103" s="38" t="n">
        <x:v>46239.361056724534</x:v>
      </x:c>
    </x:row>
    <x:row r="104">
      <x:c r="A104" s="38" t="str">
        <x:v>MCPG-103</x:v>
      </x:c>
      <x:c r="B104" s="38" t="str">
        <x:v>C03662</x:v>
      </x:c>
      <x:c r="C104" s="102" t="str">
        <x:v>A0463</x:v>
      </x:c>
      <x:c r="D104" s="39" t="str">
        <x:v>석유·채소값 뛰니...1월 물가 2.2% 상승, 5개월 만에 2%대 복귀</x:v>
      </x:c>
      <x:c r="E104" s="39" t="str">
        <x:v>2025-02-05</x:v>
      </x:c>
      <x:c r="F104" s="39" t="str">
        <x:v>https://www.chosun.com/economy/economy_general/2025/02/05/V2MN7UBTEZBJPG7WGGILZRXH6Y</x:v>
      </x:c>
      <x:c r="G104" s="39" t="str">
        <x:v>0 지난달 소비자물가가 전년 동월 대비 2.2% 오른 것으로 나타났다.</x:v>
      </x:c>
      <x:c r="H104" s="38" t="str">
        <x:v>LEVEL</x:v>
      </x:c>
      <x:c r="I104" s="40" t="str">
        <x:v>2.2</x:v>
      </x:c>
      <x:c r="J104" s="38" t="str">
        <x:v>['%']</x:v>
      </x:c>
      <x:c r="K104" s="38" t="str">
        <x:v>REFUTES</x:v>
      </x:c>
      <x:c r="L104" s="38" t="str">
        <x:v>FULL_KOSIS_MCP</x:v>
      </x:c>
      <x:c r="M104" s="38" t="str">
        <x:v>Y</x:v>
      </x:c>
      <x:c r="N104" s="38" t="str">
        <x:v>Y</x:v>
      </x:c>
      <x:c r="O104" s="38" t="str">
        <x:v>N</x:v>
      </x:c>
      <x:c r="P104" s="38" t="str">
        <x:v>101</x:v>
      </x:c>
      <x:c r="Q104" s="38" t="str">
        <x:v>DT_1J22042</x:v>
      </x:c>
      <x:c r="R104" s="38" t="str">
        <x:v>월별 소비자물가 등락률</x:v>
      </x:c>
      <x:c r="S104" s="38" t="str">
        <x:v>0</x:v>
      </x:c>
      <x:c r="T104" s="38" t="str">
        <x:v>N/A</x:v>
      </x:c>
      <x:c r="U104" s="38" t="str">
        <x:v>T03</x:v>
      </x:c>
      <x:c r="V104" s="38" t="str">
        <x:v>전년동월비(%)</x:v>
      </x:c>
      <x:c r="W104" s="38" t="str">
        <x:v>총지수</x:v>
      </x:c>
      <x:c r="X104" s="38" t="str">
        <x:v>M</x:v>
      </x:c>
      <x:c r="Y104" s="38" t="str">
        <x:v>202401</x:v>
      </x:c>
      <x:c r="Z104" s="38" t="str">
        <x:v>N/A</x:v>
      </x:c>
      <x:c r="AA104" s="41" t="str">
        <x:v>2.8</x:v>
      </x:c>
      <x:c r="AB104" s="41" t="str">
        <x:v>N/A</x:v>
      </x:c>
      <x:c r="AC104" s="41" t="str">
        <x:v>%</x:v>
      </x:c>
      <x:c r="AD104" s="41" t="str">
        <x:v>2.8</x:v>
      </x:c>
      <x:c r="AE104" s="39" t="str">
        <x:v>MCP current value × source unit scale (1)</x:v>
      </x:c>
      <x:c r="AF104" s="39" t="str">
        <x:v>MCP_ACTUAL_VALUE_CONFIRMED</x:v>
      </x:c>
      <x:c r="AG104" s="39" t="str">
        <x:v>KOSIS_MCP_GET_DATA</x:v>
      </x:c>
      <x:c r="AH104" s="39" t="str">
        <x:v>https://kosis.kr/statHtml/statHtml.do?orgId=101&amp;tblId=DT_1J22042&amp;vw_cd=MT_ZTITLE&amp;list_id=&amp;seqNo=&amp;lang_mode=ko&amp;language=kor&amp;obj_var_id=&amp;itm_id=&amp;conn_path=MT_ZTITLE</x:v>
      </x:c>
      <x:c r="AI104" s="38" t="str">
        <x:v>81-100</x:v>
      </x:c>
      <x:c r="AJ104" s="38" t="n">
        <x:v>46239.361056724534</x:v>
      </x:c>
    </x:row>
    <x:row r="105">
      <x:c r="A105" s="38" t="str">
        <x:v>MCPG-104</x:v>
      </x:c>
      <x:c r="B105" s="38" t="str">
        <x:v>C03663</x:v>
      </x:c>
      <x:c r="C105" s="102" t="str">
        <x:v>A0463</x:v>
      </x:c>
      <x:c r="D105" s="39" t="str">
        <x:v>석유·채소값 뛰니...1월 물가 2.2% 상승, 5개월 만에 2%대 복귀</x:v>
      </x:c>
      <x:c r="E105" s="39" t="str">
        <x:v>2025-02-05</x:v>
      </x:c>
      <x:c r="F105" s="39" t="str">
        <x:v>https://www.chosun.com/economy/economy_general/2025/02/05/V2MN7UBTEZBJPG7WGGILZRXH6Y</x:v>
      </x:c>
      <x:c r="G105" s="39" t="str">
        <x:v>지난해 9월(1.6%) 이후 5개월 만에 물가상승률이 2%대로 올라섰다.</x:v>
      </x:c>
      <x:c r="H105" s="38" t="str">
        <x:v>CHANGE_RATE</x:v>
      </x:c>
      <x:c r="I105" s="40" t="str">
        <x:v>2.0</x:v>
      </x:c>
      <x:c r="J105" s="38" t="str">
        <x:v>['월', '%', '개', '%']</x:v>
      </x:c>
      <x:c r="K105" s="38" t="str">
        <x:v>REFUTES</x:v>
      </x:c>
      <x:c r="L105" s="38" t="str">
        <x:v>FULL_KOSIS_MCP</x:v>
      </x:c>
      <x:c r="M105" s="38" t="str">
        <x:v>Y</x:v>
      </x:c>
      <x:c r="N105" s="38" t="str">
        <x:v>Y</x:v>
      </x:c>
      <x:c r="O105" s="38" t="str">
        <x:v>N</x:v>
      </x:c>
      <x:c r="P105" s="38" t="str">
        <x:v>101</x:v>
      </x:c>
      <x:c r="Q105" s="38" t="str">
        <x:v>DT_1J22042</x:v>
      </x:c>
      <x:c r="R105" s="38" t="str">
        <x:v>월별 소비자물가 등락률</x:v>
      </x:c>
      <x:c r="S105" s="38" t="str">
        <x:v>0</x:v>
      </x:c>
      <x:c r="T105" s="38" t="str">
        <x:v>N/A</x:v>
      </x:c>
      <x:c r="U105" s="38" t="str">
        <x:v>T03</x:v>
      </x:c>
      <x:c r="V105" s="38" t="str">
        <x:v>전년동월비(%)</x:v>
      </x:c>
      <x:c r="W105" s="38" t="str">
        <x:v>총지수</x:v>
      </x:c>
      <x:c r="X105" s="38" t="str">
        <x:v>M</x:v>
      </x:c>
      <x:c r="Y105" s="38" t="str">
        <x:v>202409</x:v>
      </x:c>
      <x:c r="Z105" s="38" t="str">
        <x:v>202408</x:v>
      </x:c>
      <x:c r="AA105" s="41" t="str">
        <x:v>1.6</x:v>
      </x:c>
      <x:c r="AB105" s="41" t="str">
        <x:v>2.0</x:v>
      </x:c>
      <x:c r="AC105" s="41" t="str">
        <x:v>%</x:v>
      </x:c>
      <x:c r="AD105" s="41" t="str">
        <x:v>-19.999999999999996</x:v>
      </x:c>
      <x:c r="AE105" s="39" t="str">
        <x:v>(MCP current − MCP previous) / |MCP previous| × 100</x:v>
      </x:c>
      <x:c r="AF105" s="39" t="str">
        <x:v>MCP_ACTUAL_VALUE_CONFIRMED</x:v>
      </x:c>
      <x:c r="AG105" s="39" t="str">
        <x:v>KOSIS_MCP_GET_DATA</x:v>
      </x:c>
      <x:c r="AH105" s="39" t="str">
        <x:v>https://kosis.kr/statHtml/statHtml.do?orgId=101&amp;tblId=DT_1J22042&amp;vw_cd=MT_ZTITLE&amp;list_id=&amp;seqNo=&amp;lang_mode=ko&amp;language=kor&amp;obj_var_id=&amp;itm_id=&amp;conn_path=MT_ZTITLE</x:v>
      </x:c>
      <x:c r="AI105" s="38" t="str">
        <x:v>81-100</x:v>
      </x:c>
      <x:c r="AJ105" s="38" t="n">
        <x:v>46239.361056724534</x:v>
      </x:c>
    </x:row>
    <x:row r="106">
      <x:c r="A106" s="38" t="str">
        <x:v>MCPG-105</x:v>
      </x:c>
      <x:c r="B106" s="38" t="str">
        <x:v>C03672</x:v>
      </x:c>
      <x:c r="C106" s="102" t="str">
        <x:v>A0463</x:v>
      </x:c>
      <x:c r="D106" s="39" t="str">
        <x:v>석유·채소값 뛰니...1월 물가 2.2% 상승, 5개월 만에 2%대 복귀</x:v>
      </x:c>
      <x:c r="E106" s="39" t="str">
        <x:v>2025-02-05</x:v>
      </x:c>
      <x:c r="F106" s="39" t="str">
        <x:v>https://www.chosun.com/economy/economy_general/2025/02/05/V2MN7UBTEZBJPG7WGGILZRXH6Y</x:v>
      </x:c>
      <x:c r="G106" s="39" t="str">
        <x:v>기조적인 물가 흐름을 나타내는 근원물가지수(식료품 및 에너지 제외 지수)는 전년 동월 대비 1.9% 오르며, 4개월째 1%대를 유지했다.</x:v>
      </x:c>
      <x:c r="H106" s="38" t="str">
        <x:v>LEVEL</x:v>
      </x:c>
      <x:c r="I106" s="40" t="str">
        <x:v>1.0</x:v>
      </x:c>
      <x:c r="J106" s="38" t="str">
        <x:v>['%', '개', '%']</x:v>
      </x:c>
      <x:c r="K106" s="38" t="str">
        <x:v>REFUTES</x:v>
      </x:c>
      <x:c r="L106" s="38" t="str">
        <x:v>FULL_KOSIS_MCP</x:v>
      </x:c>
      <x:c r="M106" s="38" t="str">
        <x:v>Y</x:v>
      </x:c>
      <x:c r="N106" s="38" t="str">
        <x:v>Y</x:v>
      </x:c>
      <x:c r="O106" s="38" t="str">
        <x:v>N</x:v>
      </x:c>
      <x:c r="P106" s="38" t="str">
        <x:v>101</x:v>
      </x:c>
      <x:c r="Q106" s="38" t="str">
        <x:v>DT_1J22042</x:v>
      </x:c>
      <x:c r="R106" s="38" t="str">
        <x:v>월별 소비자물가 등락률</x:v>
      </x:c>
      <x:c r="S106" s="38" t="str">
        <x:v>4</x:v>
      </x:c>
      <x:c r="T106" s="38" t="str">
        <x:v>N/A</x:v>
      </x:c>
      <x:c r="U106" s="38" t="str">
        <x:v>T03</x:v>
      </x:c>
      <x:c r="V106" s="38" t="str">
        <x:v>전년동월비(%)</x:v>
      </x:c>
      <x:c r="W106" s="38" t="str">
        <x:v>식료품및에너지제외지수</x:v>
      </x:c>
      <x:c r="X106" s="38" t="str">
        <x:v>M</x:v>
      </x:c>
      <x:c r="Y106" s="38" t="str">
        <x:v>202412</x:v>
      </x:c>
      <x:c r="Z106" s="38" t="str">
        <x:v>N/A</x:v>
      </x:c>
      <x:c r="AA106" s="41" t="str">
        <x:v>1.8</x:v>
      </x:c>
      <x:c r="AB106" s="41" t="str">
        <x:v>N/A</x:v>
      </x:c>
      <x:c r="AC106" s="41" t="str">
        <x:v>%</x:v>
      </x:c>
      <x:c r="AD106" s="41" t="str">
        <x:v>1.8</x:v>
      </x:c>
      <x:c r="AE106" s="39" t="str">
        <x:v>MCP current value × source unit scale (1)</x:v>
      </x:c>
      <x:c r="AF106" s="39" t="str">
        <x:v>MCP_ACTUAL_VALUE_CONFIRMED</x:v>
      </x:c>
      <x:c r="AG106" s="39" t="str">
        <x:v>KOSIS_MCP_GET_DATA</x:v>
      </x:c>
      <x:c r="AH106" s="39" t="str">
        <x:v>https://kosis.kr/statHtml/statHtml.do?orgId=101&amp;tblId=DT_1J22042&amp;vw_cd=MT_ZTITLE&amp;list_id=&amp;seqNo=&amp;lang_mode=ko&amp;language=kor&amp;obj_var_id=&amp;itm_id=&amp;conn_path=MT_ZTITLE</x:v>
      </x:c>
      <x:c r="AI106" s="38" t="str">
        <x:v>81-100</x:v>
      </x:c>
      <x:c r="AJ106" s="38" t="n">
        <x:v>46239.361056724534</x:v>
      </x:c>
    </x:row>
    <x:row r="107">
      <x:c r="A107" s="38" t="str">
        <x:v>MCPG-106</x:v>
      </x:c>
      <x:c r="B107" s="38" t="str">
        <x:v>C03743</x:v>
      </x:c>
      <x:c r="C107" s="102" t="str">
        <x:v>A0475</x:v>
      </x:c>
      <x:c r="D107" s="39" t="str">
        <x:v>고환율·고유가에… 소비자 물가 5개월 만에 2%대로</x:v>
      </x:c>
      <x:c r="E107" s="39" t="str">
        <x:v>2025-02-06</x:v>
      </x:c>
      <x:c r="F107" s="39" t="str">
        <x:v>https://www.chosun.com/economy/economy_general/2025/02/06/JUZXS35ATZH5HPELUDW6QK465M</x:v>
      </x:c>
      <x:c r="G107" s="39" t="str">
        <x:v>소비자물가 상승률이 2%대로 올라선 것은 작년 8월(2%) 이후 5개월 만이다.</x:v>
      </x:c>
      <x:c r="H107" s="38" t="str">
        <x:v>CHANGE_RATE</x:v>
      </x:c>
      <x:c r="I107" s="40" t="str">
        <x:v>2.0</x:v>
      </x:c>
      <x:c r="J107" s="38" t="str">
        <x:v>['%', '월', '%', '개']</x:v>
      </x:c>
      <x:c r="K107" s="38" t="str">
        <x:v>REFUTES</x:v>
      </x:c>
      <x:c r="L107" s="38" t="str">
        <x:v>FULL_KOSIS_MCP</x:v>
      </x:c>
      <x:c r="M107" s="38" t="str">
        <x:v>Y</x:v>
      </x:c>
      <x:c r="N107" s="38" t="str">
        <x:v>Y</x:v>
      </x:c>
      <x:c r="O107" s="38" t="str">
        <x:v>N</x:v>
      </x:c>
      <x:c r="P107" s="38" t="str">
        <x:v>101</x:v>
      </x:c>
      <x:c r="Q107" s="38" t="str">
        <x:v>DT_1J22042</x:v>
      </x:c>
      <x:c r="R107" s="38" t="str">
        <x:v>월별 소비자물가 등락률</x:v>
      </x:c>
      <x:c r="S107" s="38" t="str">
        <x:v>0</x:v>
      </x:c>
      <x:c r="T107" s="38" t="str">
        <x:v>N/A</x:v>
      </x:c>
      <x:c r="U107" s="38" t="str">
        <x:v>T03</x:v>
      </x:c>
      <x:c r="V107" s="38" t="str">
        <x:v>전년동월비(%)</x:v>
      </x:c>
      <x:c r="W107" s="38" t="str">
        <x:v>총지수</x:v>
      </x:c>
      <x:c r="X107" s="38" t="str">
        <x:v>M</x:v>
      </x:c>
      <x:c r="Y107" s="38" t="str">
        <x:v>202408</x:v>
      </x:c>
      <x:c r="Z107" s="38" t="str">
        <x:v>202407</x:v>
      </x:c>
      <x:c r="AA107" s="41" t="str">
        <x:v>2.0</x:v>
      </x:c>
      <x:c r="AB107" s="41" t="str">
        <x:v>2.6</x:v>
      </x:c>
      <x:c r="AC107" s="41" t="str">
        <x:v>%</x:v>
      </x:c>
      <x:c r="AD107" s="41" t="str">
        <x:v>-23.076923076923077</x:v>
      </x:c>
      <x:c r="AE107" s="39" t="str">
        <x:v>(MCP current − MCP previous) / |MCP previous| × 100</x:v>
      </x:c>
      <x:c r="AF107" s="39" t="str">
        <x:v>MCP_ACTUAL_VALUE_CONFIRMED</x:v>
      </x:c>
      <x:c r="AG107" s="39" t="str">
        <x:v>KOSIS_MCP_GET_DATA</x:v>
      </x:c>
      <x:c r="AH107" s="39" t="str">
        <x:v>https://kosis.kr/statHtml/statHtml.do?orgId=101&amp;tblId=DT_1J22042&amp;vw_cd=MT_ZTITLE&amp;list_id=&amp;seqNo=&amp;lang_mode=ko&amp;language=kor&amp;obj_var_id=&amp;itm_id=&amp;conn_path=MT_ZTITLE</x:v>
      </x:c>
      <x:c r="AI107" s="38" t="str">
        <x:v>81-100</x:v>
      </x:c>
      <x:c r="AJ107" s="38" t="n">
        <x:v>46239.361056724534</x:v>
      </x:c>
    </x:row>
    <x:row r="108">
      <x:c r="A108" s="38" t="str">
        <x:v>MCPG-107</x:v>
      </x:c>
      <x:c r="B108" s="38" t="str">
        <x:v>C03818</x:v>
      </x:c>
      <x:c r="C108" s="102" t="str">
        <x:v>A0485</x:v>
      </x:c>
      <x:c r="D108" s="39" t="str">
        <x:v>유류세 인하 4월 말까지 연장</x:v>
      </x:c>
      <x:c r="E108" s="39" t="str">
        <x:v>2025-02-07</x:v>
      </x:c>
      <x:c r="F108" s="39" t="str">
        <x:v>https://www.chosun.com/economy/economy_general/2025/02/07/7U6ZK6KOTBDBJGGYKDYI3YIZOY</x:v>
      </x:c>
      <x:c r="G108" s="39" t="str">
        <x:v>전날 통계청에 따르면, 지난달 소비자 물가 상승률은 2.2%로 작년 11월(1.5%)부터 3개월 연속 오름폭이 커졌다.</x:v>
      </x:c>
      <x:c r="H108" s="38" t="str">
        <x:v>CHANGE_RATE</x:v>
      </x:c>
      <x:c r="I108" s="40" t="str">
        <x:v>1.5</x:v>
      </x:c>
      <x:c r="J108" s="38" t="str">
        <x:v>['%', '월', '%', '개']</x:v>
      </x:c>
      <x:c r="K108" s="38" t="str">
        <x:v>REFUTES</x:v>
      </x:c>
      <x:c r="L108" s="38" t="str">
        <x:v>FULL_KOSIS_MCP</x:v>
      </x:c>
      <x:c r="M108" s="38" t="str">
        <x:v>Y</x:v>
      </x:c>
      <x:c r="N108" s="38" t="str">
        <x:v>Y</x:v>
      </x:c>
      <x:c r="O108" s="38" t="str">
        <x:v>N</x:v>
      </x:c>
      <x:c r="P108" s="38" t="str">
        <x:v>101</x:v>
      </x:c>
      <x:c r="Q108" s="38" t="str">
        <x:v>DT_1J22042</x:v>
      </x:c>
      <x:c r="R108" s="38" t="str">
        <x:v>월별 소비자물가 등락률</x:v>
      </x:c>
      <x:c r="S108" s="38" t="str">
        <x:v>0</x:v>
      </x:c>
      <x:c r="T108" s="38" t="str">
        <x:v>N/A</x:v>
      </x:c>
      <x:c r="U108" s="38" t="str">
        <x:v>T03</x:v>
      </x:c>
      <x:c r="V108" s="38" t="str">
        <x:v>전년동월비(%)</x:v>
      </x:c>
      <x:c r="W108" s="38" t="str">
        <x:v>총지수</x:v>
      </x:c>
      <x:c r="X108" s="38" t="str">
        <x:v>M</x:v>
      </x:c>
      <x:c r="Y108" s="38" t="str">
        <x:v>202411</x:v>
      </x:c>
      <x:c r="Z108" s="38" t="str">
        <x:v>202410</x:v>
      </x:c>
      <x:c r="AA108" s="41" t="str">
        <x:v>1.5</x:v>
      </x:c>
      <x:c r="AB108" s="41" t="str">
        <x:v>1.3</x:v>
      </x:c>
      <x:c r="AC108" s="41" t="str">
        <x:v>%</x:v>
      </x:c>
      <x:c r="AD108" s="41" t="str">
        <x:v>15.38461538461538</x:v>
      </x:c>
      <x:c r="AE108" s="39" t="str">
        <x:v>(MCP current − MCP previous) / |MCP previous| × 100</x:v>
      </x:c>
      <x:c r="AF108" s="39" t="str">
        <x:v>MCP_ACTUAL_VALUE_CONFIRMED</x:v>
      </x:c>
      <x:c r="AG108" s="39" t="str">
        <x:v>KOSIS_MCP_GET_DATA</x:v>
      </x:c>
      <x:c r="AH108" s="39" t="str">
        <x:v>https://kosis.kr/statHtml/statHtml.do?orgId=101&amp;tblId=DT_1J22042&amp;vw_cd=MT_ZTITLE&amp;list_id=&amp;seqNo=&amp;lang_mode=ko&amp;language=kor&amp;obj_var_id=&amp;itm_id=&amp;conn_path=MT_ZTITLE</x:v>
      </x:c>
      <x:c r="AI108" s="38" t="str">
        <x:v>81-100</x:v>
      </x:c>
      <x:c r="AJ108" s="38" t="n">
        <x:v>46239.361056724534</x:v>
      </x:c>
    </x:row>
    <x:row r="109">
      <x:c r="A109" s="38" t="str">
        <x:v>MCPG-108</x:v>
      </x:c>
      <x:c r="B109" s="38" t="str">
        <x:v>C04589</x:v>
      </x:c>
      <x:c r="C109" s="102" t="str">
        <x:v>A0580</x:v>
      </x:c>
      <x:c r="D109" s="39" t="str">
        <x:v>美 소비자 물가 상승률 3%… 당분간 금리 인하 멈출 듯</x:v>
      </x:c>
      <x:c r="E109" s="39" t="str">
        <x:v>2025-02-14</x:v>
      </x:c>
      <x:c r="F109" s="39" t="str">
        <x:v>https://www.chosun.com/economy/economy_general/2025/02/14/DOSWUEHIRBDRXA22EYJWFTUYHI</x:v>
      </x:c>
      <x:c r="G109" s="39" t="str">
        <x:v>0 지난달 미국 소비자물가 상승률이 7개월 만에 3%대로 복귀했다.</x:v>
      </x:c>
      <x:c r="H109" s="38" t="str">
        <x:v>CHANGE_RATE</x:v>
      </x:c>
      <x:c r="I109" s="40" t="str">
        <x:v>3.0</x:v>
      </x:c>
      <x:c r="J109" s="38" t="str">
        <x:v>['개', '%']</x:v>
      </x:c>
      <x:c r="K109" s="38" t="str">
        <x:v>REFUTES</x:v>
      </x:c>
      <x:c r="L109" s="38" t="str">
        <x:v>FULL_KOSIS_MCP</x:v>
      </x:c>
      <x:c r="M109" s="38" t="str">
        <x:v>Y</x:v>
      </x:c>
      <x:c r="N109" s="38" t="str">
        <x:v>Y</x:v>
      </x:c>
      <x:c r="O109" s="38" t="str">
        <x:v>N</x:v>
      </x:c>
      <x:c r="P109" s="38" t="str">
        <x:v>101</x:v>
      </x:c>
      <x:c r="Q109" s="38" t="str">
        <x:v>DT_1J22042</x:v>
      </x:c>
      <x:c r="R109" s="38" t="str">
        <x:v>월별 소비자물가 등락률</x:v>
      </x:c>
      <x:c r="S109" s="38" t="str">
        <x:v>0</x:v>
      </x:c>
      <x:c r="T109" s="38" t="str">
        <x:v>N/A</x:v>
      </x:c>
      <x:c r="U109" s="38" t="str">
        <x:v>T03</x:v>
      </x:c>
      <x:c r="V109" s="38" t="str">
        <x:v>전년동월비(%)</x:v>
      </x:c>
      <x:c r="W109" s="38" t="str">
        <x:v>총지수</x:v>
      </x:c>
      <x:c r="X109" s="38" t="str">
        <x:v>M</x:v>
      </x:c>
      <x:c r="Y109" s="38" t="str">
        <x:v>202501</x:v>
      </x:c>
      <x:c r="Z109" s="38" t="str">
        <x:v>202412</x:v>
      </x:c>
      <x:c r="AA109" s="41" t="str">
        <x:v>2.2</x:v>
      </x:c>
      <x:c r="AB109" s="41" t="str">
        <x:v>1.9</x:v>
      </x:c>
      <x:c r="AC109" s="41" t="str">
        <x:v>%</x:v>
      </x:c>
      <x:c r="AD109" s="41" t="str">
        <x:v>15.789473684210542</x:v>
      </x:c>
      <x:c r="AE109" s="39" t="str">
        <x:v>(MCP current − MCP previous) / |MCP previous| × 100</x:v>
      </x:c>
      <x:c r="AF109" s="39" t="str">
        <x:v>MCP_ACTUAL_VALUE_CONFIRMED</x:v>
      </x:c>
      <x:c r="AG109" s="39" t="str">
        <x:v>KOSIS_MCP_GET_DATA</x:v>
      </x:c>
      <x:c r="AH109" s="39" t="str">
        <x:v>https://kosis.kr/statHtml/statHtml.do?orgId=101&amp;tblId=DT_1J22042&amp;vw_cd=MT_ZTITLE&amp;list_id=&amp;seqNo=&amp;lang_mode=ko&amp;language=kor&amp;obj_var_id=&amp;itm_id=&amp;conn_path=MT_ZTITLE</x:v>
      </x:c>
      <x:c r="AI109" s="38" t="str">
        <x:v>81-100</x:v>
      </x:c>
      <x:c r="AJ109" s="38" t="n">
        <x:v>46239.361056724534</x:v>
      </x:c>
    </x:row>
    <x:row r="110">
      <x:c r="A110" s="38" t="str">
        <x:v>MCPG-109</x:v>
      </x:c>
      <x:c r="B110" s="38" t="str">
        <x:v>C04607</x:v>
      </x:c>
      <x:c r="C110" s="102" t="str">
        <x:v>A0581</x:v>
      </x:c>
      <x:c r="D110" s="39" t="str">
        <x:v>오징어채 23%·맛김 22%… 가공식품 물가 상승률 1년 만에 최고</x:v>
      </x:c>
      <x:c r="E110" s="39" t="str">
        <x:v>2025-02-14</x:v>
      </x:c>
      <x:c r="F110" s="39" t="str">
        <x:v>https://www.chosun.com/economy/economy_general/2025/02/14/HP4YWNUF3VGJZDLS62WBVBUM74</x:v>
      </x:c>
      <x:c r="G110" s="39" t="str">
        <x:v>13일 통계청에 따르면, 지난 1월 가공식품 물가지수는 122.03(2020년을 100으로 본 상대적 지수)으로 작년 1월보다 2.7% 상승했다.</x:v>
      </x:c>
      <x:c r="H110" s="38" t="str">
        <x:v>CHANGE_RATE</x:v>
      </x:c>
      <x:c r="I110" s="40" t="str">
        <x:v>2.7</x:v>
      </x:c>
      <x:c r="J110" s="38" t="str">
        <x:v>['일', '월', '년', '월', '%']</x:v>
      </x:c>
      <x:c r="K110" s="38" t="str">
        <x:v>REFUTES</x:v>
      </x:c>
      <x:c r="L110" s="38" t="str">
        <x:v>FULL_KOSIS_MCP</x:v>
      </x:c>
      <x:c r="M110" s="38" t="str">
        <x:v>Y</x:v>
      </x:c>
      <x:c r="N110" s="38" t="str">
        <x:v>Y</x:v>
      </x:c>
      <x:c r="O110" s="38" t="str">
        <x:v>N</x:v>
      </x:c>
      <x:c r="P110" s="38" t="str">
        <x:v>101</x:v>
      </x:c>
      <x:c r="Q110" s="38" t="str">
        <x:v>DT_1J22042</x:v>
      </x:c>
      <x:c r="R110" s="38" t="str">
        <x:v>월별 소비자물가 등락률</x:v>
      </x:c>
      <x:c r="S110" s="38" t="str">
        <x:v>0</x:v>
      </x:c>
      <x:c r="T110" s="38" t="str">
        <x:v>N/A</x:v>
      </x:c>
      <x:c r="U110" s="38" t="str">
        <x:v>T03</x:v>
      </x:c>
      <x:c r="V110" s="38" t="str">
        <x:v>전년동월비(%)</x:v>
      </x:c>
      <x:c r="W110" s="38" t="str">
        <x:v>총지수</x:v>
      </x:c>
      <x:c r="X110" s="38" t="str">
        <x:v>M</x:v>
      </x:c>
      <x:c r="Y110" s="38" t="str">
        <x:v>202401</x:v>
      </x:c>
      <x:c r="Z110" s="38" t="str">
        <x:v>202312</x:v>
      </x:c>
      <x:c r="AA110" s="41" t="str">
        <x:v>2.8</x:v>
      </x:c>
      <x:c r="AB110" s="41" t="str">
        <x:v>3.2</x:v>
      </x:c>
      <x:c r="AC110" s="41" t="str">
        <x:v>%</x:v>
      </x:c>
      <x:c r="AD110" s="41" t="str">
        <x:v>-12.50000000000001</x:v>
      </x:c>
      <x:c r="AE110" s="39" t="str">
        <x:v>(MCP current − MCP previous) / |MCP previous| × 100</x:v>
      </x:c>
      <x:c r="AF110" s="39" t="str">
        <x:v>MCP_ACTUAL_VALUE_CONFIRMED</x:v>
      </x:c>
      <x:c r="AG110" s="39" t="str">
        <x:v>KOSIS_MCP_GET_DATA</x:v>
      </x:c>
      <x:c r="AH110" s="39" t="str">
        <x:v>https://kosis.kr/statHtml/statHtml.do?orgId=101&amp;tblId=DT_1J22042&amp;vw_cd=MT_ZTITLE&amp;list_id=&amp;seqNo=&amp;lang_mode=ko&amp;language=kor&amp;obj_var_id=&amp;itm_id=&amp;conn_path=MT_ZTITLE</x:v>
      </x:c>
      <x:c r="AI110" s="38" t="str">
        <x:v>81-100</x:v>
      </x:c>
      <x:c r="AJ110" s="38" t="n">
        <x:v>46239.36105673611</x:v>
      </x:c>
    </x:row>
    <x:row r="111">
      <x:c r="A111" s="38" t="str">
        <x:v>MCPG-110</x:v>
      </x:c>
      <x:c r="B111" s="38" t="str">
        <x:v>C05149</x:v>
      </x:c>
      <x:c r="C111" s="102" t="str">
        <x:v>A0655</x:v>
      </x:c>
      <x:c r="D111" s="39" t="str">
        <x:v>1월 생산자물가 17개월만에 최대폭 상승</x:v>
      </x:c>
      <x:c r="E111" s="39" t="str">
        <x:v>2025-02-20</x:v>
      </x:c>
      <x:c r="F111" s="39" t="str">
        <x:v>https://www.chosun.com/economy/economy_general/2025/02/20/4S55OVIERZDWLG56V5RA5UHGCM</x:v>
      </x:c>
      <x:c r="G111" s="39" t="str">
        <x:v>한국은행은 20일 지난 1월 생산자물가가 전월 대비 0.6% 오른 120.18을 기록했다고 밝혔다.</x:v>
      </x:c>
      <x:c r="H111" s="38" t="str">
        <x:v>LEVEL</x:v>
      </x:c>
      <x:c r="I111" s="40" t="str">
        <x:v>0.6</x:v>
      </x:c>
      <x:c r="J111" s="38" t="str">
        <x:v>['일', '월', '%']</x:v>
      </x:c>
      <x:c r="K111" s="38" t="str">
        <x:v>REFUTES</x:v>
      </x:c>
      <x:c r="L111" s="38" t="str">
        <x:v>FULL_KOSIS_MCP</x:v>
      </x:c>
      <x:c r="M111" s="38" t="str">
        <x:v>Y</x:v>
      </x:c>
      <x:c r="N111" s="38" t="str">
        <x:v>Y</x:v>
      </x:c>
      <x:c r="O111" s="38" t="str">
        <x:v>N</x:v>
      </x:c>
      <x:c r="P111" s="38" t="str">
        <x:v>101</x:v>
      </x:c>
      <x:c r="Q111" s="38" t="str">
        <x:v>DT_1J22042</x:v>
      </x:c>
      <x:c r="R111" s="38" t="str">
        <x:v>월별 소비자물가 등락률</x:v>
      </x:c>
      <x:c r="S111" s="38" t="str">
        <x:v>0</x:v>
      </x:c>
      <x:c r="T111" s="38" t="str">
        <x:v>N/A</x:v>
      </x:c>
      <x:c r="U111" s="38" t="str">
        <x:v>T02</x:v>
      </x:c>
      <x:c r="V111" s="38" t="str">
        <x:v>전월비</x:v>
      </x:c>
      <x:c r="W111" s="38" t="str">
        <x:v>총지수</x:v>
      </x:c>
      <x:c r="X111" s="38" t="str">
        <x:v>M</x:v>
      </x:c>
      <x:c r="Y111" s="38" t="str">
        <x:v>202501</x:v>
      </x:c>
      <x:c r="Z111" s="38" t="str">
        <x:v>N/A</x:v>
      </x:c>
      <x:c r="AA111" s="41" t="str">
        <x:v>0.7</x:v>
      </x:c>
      <x:c r="AB111" s="41" t="str">
        <x:v>N/A</x:v>
      </x:c>
      <x:c r="AC111" s="41" t="str">
        <x:v>%</x:v>
      </x:c>
      <x:c r="AD111" s="41" t="str">
        <x:v>0.7</x:v>
      </x:c>
      <x:c r="AE111" s="39" t="str">
        <x:v>MCP current value × source unit scale (1)</x:v>
      </x:c>
      <x:c r="AF111" s="39" t="str">
        <x:v>MCP_ACTUAL_VALUE_CONFIRMED</x:v>
      </x:c>
      <x:c r="AG111" s="39" t="str">
        <x:v>KOSIS_MCP_GET_DATA</x:v>
      </x:c>
      <x:c r="AH111" s="39" t="str">
        <x:v>https://kosis.kr/statHtml/statHtml.do?orgId=101&amp;tblId=DT_1J22042&amp;vw_cd=MT_ZTITLE&amp;list_id=&amp;seqNo=&amp;lang_mode=ko&amp;language=kor&amp;obj_var_id=&amp;itm_id=&amp;conn_path=MT_ZTITLE</x:v>
      </x:c>
      <x:c r="AI111" s="38" t="str">
        <x:v>81-100</x:v>
      </x:c>
      <x:c r="AJ111" s="38" t="n">
        <x:v>46239.36105673611</x:v>
      </x:c>
    </x:row>
    <x:row r="112">
      <x:c r="A112" s="38" t="str">
        <x:v>MCPG-111</x:v>
      </x:c>
      <x:c r="B112" s="38" t="str">
        <x:v>C05681</x:v>
      </x:c>
      <x:c r="C112" s="102" t="str">
        <x:v>A0723</x:v>
      </x:c>
      <x:c r="D112" s="39" t="str">
        <x:v>금리 0.25%p 내린 한은... 관세 폭탄·내수 부진에 경기 살리기 선택</x:v>
      </x:c>
      <x:c r="E112" s="39" t="str">
        <x:v>2025-02-25</x:v>
      </x:c>
      <x:c r="F112" s="39" t="str">
        <x:v>https://www.chosun.com/economy/economy_general/2025/02/25/2RBIFVNKT5ELXID4FUQCFM63G4</x:v>
      </x:c>
      <x:c r="G112" s="39" t="str">
        <x:v>1월 소비자물가상승률이 전년 대비 2.2% 오른 등 물가도 작년 10월부터 계속해서 오르고 있다.</x:v>
      </x:c>
      <x:c r="H112" s="38" t="str">
        <x:v>CHANGE_RATE</x:v>
      </x:c>
      <x:c r="I112" s="40" t="str">
        <x:v>2.2</x:v>
      </x:c>
      <x:c r="J112" s="38" t="str">
        <x:v>['월', '%', '월']</x:v>
      </x:c>
      <x:c r="K112" s="38" t="str">
        <x:v>REFUTES</x:v>
      </x:c>
      <x:c r="L112" s="38" t="str">
        <x:v>FULL_KOSIS_MCP</x:v>
      </x:c>
      <x:c r="M112" s="38" t="str">
        <x:v>Y</x:v>
      </x:c>
      <x:c r="N112" s="38" t="str">
        <x:v>Y</x:v>
      </x:c>
      <x:c r="O112" s="38" t="str">
        <x:v>N</x:v>
      </x:c>
      <x:c r="P112" s="38" t="str">
        <x:v>101</x:v>
      </x:c>
      <x:c r="Q112" s="38" t="str">
        <x:v>DT_1J22042</x:v>
      </x:c>
      <x:c r="R112" s="38" t="str">
        <x:v>월별 소비자물가 등락률</x:v>
      </x:c>
      <x:c r="S112" s="38" t="str">
        <x:v>0</x:v>
      </x:c>
      <x:c r="T112" s="38" t="str">
        <x:v>N/A</x:v>
      </x:c>
      <x:c r="U112" s="38" t="str">
        <x:v>T03</x:v>
      </x:c>
      <x:c r="V112" s="38" t="str">
        <x:v>전년동월비(%)</x:v>
      </x:c>
      <x:c r="W112" s="38" t="str">
        <x:v>총지수</x:v>
      </x:c>
      <x:c r="X112" s="38" t="str">
        <x:v>M</x:v>
      </x:c>
      <x:c r="Y112" s="38" t="str">
        <x:v>202410</x:v>
      </x:c>
      <x:c r="Z112" s="38" t="str">
        <x:v>202310</x:v>
      </x:c>
      <x:c r="AA112" s="41" t="str">
        <x:v>1.3</x:v>
      </x:c>
      <x:c r="AB112" s="41" t="str">
        <x:v>3.8</x:v>
      </x:c>
      <x:c r="AC112" s="41" t="str">
        <x:v>%</x:v>
      </x:c>
      <x:c r="AD112" s="41" t="str">
        <x:v>-65.78947368421053</x:v>
      </x:c>
      <x:c r="AE112" s="39" t="str">
        <x:v>(MCP current − MCP previous) / |MCP previous| × 100</x:v>
      </x:c>
      <x:c r="AF112" s="39" t="str">
        <x:v>MCP_ACTUAL_VALUE_CONFIRMED</x:v>
      </x:c>
      <x:c r="AG112" s="39" t="str">
        <x:v>KOSIS_MCP_GET_DATA</x:v>
      </x:c>
      <x:c r="AH112" s="39" t="str">
        <x:v>https://kosis.kr/statHtml/statHtml.do?orgId=101&amp;tblId=DT_1J22042&amp;vw_cd=MT_ZTITLE&amp;list_id=&amp;seqNo=&amp;lang_mode=ko&amp;language=kor&amp;obj_var_id=&amp;itm_id=&amp;conn_path=MT_ZTITLE</x:v>
      </x:c>
      <x:c r="AI112" s="38" t="str">
        <x:v>81-100</x:v>
      </x:c>
      <x:c r="AJ112" s="38" t="n">
        <x:v>46239.36105673611</x:v>
      </x:c>
    </x:row>
    <x:row r="113">
      <x:c r="A113" s="38" t="str">
        <x:v>MCPG-112</x:v>
      </x:c>
      <x:c r="B113" s="38" t="str">
        <x:v>C06671</x:v>
      </x:c>
      <x:c r="C113" s="102" t="str">
        <x:v>A0840</x:v>
      </x:c>
      <x:c r="D113" s="39" t="str">
        <x:v>물가 상승률 두 달 연속 2%대...치솟은 기름값, 물가 끌어 올려</x:v>
      </x:c>
      <x:c r="E113" s="39" t="str">
        <x:v>2025-03-06</x:v>
      </x:c>
      <x:c r="F113" s="39" t="str">
        <x:v>https://www.chosun.com/economy/economy_general/2025/03/06/IXLFBAQ5RFD7HKWH6T3LQXPQWA</x:v>
      </x:c>
      <x:c r="G113" s="39" t="str">
        <x:v>6일 통계청이 발표한 ‘2월 소비자물가 동향’에 따르면, 지난달 소비자물가지수는 116.08로 전년 동월 대비 2% 상승했다.</x:v>
      </x:c>
      <x:c r="H113" s="38" t="str">
        <x:v>CHANGE_RATE</x:v>
      </x:c>
      <x:c r="I113" s="40" t="str">
        <x:v>2.0</x:v>
      </x:c>
      <x:c r="J113" s="38" t="str">
        <x:v>['일', '월', '%']</x:v>
      </x:c>
      <x:c r="K113" s="38" t="str">
        <x:v>REFUTES</x:v>
      </x:c>
      <x:c r="L113" s="38" t="str">
        <x:v>FULL_KOSIS_MCP</x:v>
      </x:c>
      <x:c r="M113" s="38" t="str">
        <x:v>Y</x:v>
      </x:c>
      <x:c r="N113" s="38" t="str">
        <x:v>Y</x:v>
      </x:c>
      <x:c r="O113" s="38" t="str">
        <x:v>N</x:v>
      </x:c>
      <x:c r="P113" s="38" t="str">
        <x:v>101</x:v>
      </x:c>
      <x:c r="Q113" s="38" t="str">
        <x:v>DT_1J22042</x:v>
      </x:c>
      <x:c r="R113" s="38" t="str">
        <x:v>월별 소비자물가 등락률</x:v>
      </x:c>
      <x:c r="S113" s="38" t="str">
        <x:v>0</x:v>
      </x:c>
      <x:c r="T113" s="38" t="str">
        <x:v>N/A</x:v>
      </x:c>
      <x:c r="U113" s="38" t="str">
        <x:v>T03</x:v>
      </x:c>
      <x:c r="V113" s="38" t="str">
        <x:v>전년동월비(%)</x:v>
      </x:c>
      <x:c r="W113" s="38" t="str">
        <x:v>총지수</x:v>
      </x:c>
      <x:c r="X113" s="38" t="str">
        <x:v>M</x:v>
      </x:c>
      <x:c r="Y113" s="38" t="str">
        <x:v>202402</x:v>
      </x:c>
      <x:c r="Z113" s="38" t="str">
        <x:v>202302</x:v>
      </x:c>
      <x:c r="AA113" s="41" t="str">
        <x:v>3.1</x:v>
      </x:c>
      <x:c r="AB113" s="41" t="str">
        <x:v>4.7</x:v>
      </x:c>
      <x:c r="AC113" s="41" t="str">
        <x:v>%</x:v>
      </x:c>
      <x:c r="AD113" s="41" t="str">
        <x:v>-34.04255319148936</x:v>
      </x:c>
      <x:c r="AE113" s="39" t="str">
        <x:v>(MCP current − MCP previous) / |MCP previous| × 100</x:v>
      </x:c>
      <x:c r="AF113" s="39" t="str">
        <x:v>MCP_ACTUAL_VALUE_CONFIRMED</x:v>
      </x:c>
      <x:c r="AG113" s="39" t="str">
        <x:v>KOSIS_MCP_GET_DATA</x:v>
      </x:c>
      <x:c r="AH113" s="39" t="str">
        <x:v>https://kosis.kr/statHtml/statHtml.do?orgId=101&amp;tblId=DT_1J22042&amp;vw_cd=MT_ZTITLE&amp;list_id=&amp;seqNo=&amp;lang_mode=ko&amp;language=kor&amp;obj_var_id=&amp;itm_id=&amp;conn_path=MT_ZTITLE</x:v>
      </x:c>
      <x:c r="AI113" s="38" t="str">
        <x:v>81-100</x:v>
      </x:c>
      <x:c r="AJ113" s="38" t="n">
        <x:v>46239.36105673611</x:v>
      </x:c>
    </x:row>
    <x:row r="114">
      <x:c r="A114" s="38" t="str">
        <x:v>MCPG-113</x:v>
      </x:c>
      <x:c r="B114" s="38" t="str">
        <x:v>C06677</x:v>
      </x:c>
      <x:c r="C114" s="102" t="str">
        <x:v>A0840</x:v>
      </x:c>
      <x:c r="D114" s="39" t="str">
        <x:v>물가 상승률 두 달 연속 2%대...치솟은 기름값, 물가 끌어 올려</x:v>
      </x:c>
      <x:c r="E114" s="39" t="str">
        <x:v>2025-03-06</x:v>
      </x:c>
      <x:c r="F114" s="39" t="str">
        <x:v>https://www.chosun.com/economy/economy_general/2025/03/06/IXLFBAQ5RFD7HKWH6T3LQXPQWA</x:v>
      </x:c>
      <x:c r="G114" s="39" t="str">
        <x:v>지난달 식용유지 가격 상승률은 9%로, 지난해 6월(11.6%) 이후 8개월 만에 최대 상승폭을 보였다.</x:v>
      </x:c>
      <x:c r="H114" s="38" t="str">
        <x:v>CHANGE_RATE</x:v>
      </x:c>
      <x:c r="I114" s="40" t="str">
        <x:v>11.6</x:v>
      </x:c>
      <x:c r="J114" s="38" t="str">
        <x:v>['%', '월', '%', '개']</x:v>
      </x:c>
      <x:c r="K114" s="38" t="str">
        <x:v>REFUTES</x:v>
      </x:c>
      <x:c r="L114" s="38" t="str">
        <x:v>FULL_KOSIS_MCP</x:v>
      </x:c>
      <x:c r="M114" s="38" t="str">
        <x:v>Y</x:v>
      </x:c>
      <x:c r="N114" s="38" t="str">
        <x:v>Y</x:v>
      </x:c>
      <x:c r="O114" s="38" t="str">
        <x:v>N</x:v>
      </x:c>
      <x:c r="P114" s="38" t="str">
        <x:v>101</x:v>
      </x:c>
      <x:c r="Q114" s="38" t="str">
        <x:v>DT_1J22042</x:v>
      </x:c>
      <x:c r="R114" s="38" t="str">
        <x:v>월별 소비자물가 등락률</x:v>
      </x:c>
      <x:c r="S114" s="38" t="str">
        <x:v>0</x:v>
      </x:c>
      <x:c r="T114" s="38" t="str">
        <x:v>N/A</x:v>
      </x:c>
      <x:c r="U114" s="38" t="str">
        <x:v>T03</x:v>
      </x:c>
      <x:c r="V114" s="38" t="str">
        <x:v>전년동월비(%)</x:v>
      </x:c>
      <x:c r="W114" s="38" t="str">
        <x:v>총지수</x:v>
      </x:c>
      <x:c r="X114" s="38" t="str">
        <x:v>M</x:v>
      </x:c>
      <x:c r="Y114" s="38" t="str">
        <x:v>202406</x:v>
      </x:c>
      <x:c r="Z114" s="38" t="str">
        <x:v>202405</x:v>
      </x:c>
      <x:c r="AA114" s="41" t="str">
        <x:v>2.4</x:v>
      </x:c>
      <x:c r="AB114" s="41" t="str">
        <x:v>2.7</x:v>
      </x:c>
      <x:c r="AC114" s="41" t="str">
        <x:v>%</x:v>
      </x:c>
      <x:c r="AD114" s="41" t="str">
        <x:v>-11.11111111111112</x:v>
      </x:c>
      <x:c r="AE114" s="39" t="str">
        <x:v>(MCP current − MCP previous) / |MCP previous| × 100</x:v>
      </x:c>
      <x:c r="AF114" s="39" t="str">
        <x:v>MCP_ACTUAL_VALUE_CONFIRMED</x:v>
      </x:c>
      <x:c r="AG114" s="39" t="str">
        <x:v>KOSIS_MCP_GET_DATA</x:v>
      </x:c>
      <x:c r="AH114" s="39" t="str">
        <x:v>https://kosis.kr/statHtml/statHtml.do?orgId=101&amp;tblId=DT_1J22042&amp;vw_cd=MT_ZTITLE&amp;list_id=&amp;seqNo=&amp;lang_mode=ko&amp;language=kor&amp;obj_var_id=&amp;itm_id=&amp;conn_path=MT_ZTITLE</x:v>
      </x:c>
      <x:c r="AI114" s="38" t="str">
        <x:v>81-100</x:v>
      </x:c>
      <x:c r="AJ114" s="38" t="n">
        <x:v>46239.36105673611</x:v>
      </x:c>
    </x:row>
    <x:row r="115">
      <x:c r="A115" s="38" t="str">
        <x:v>MCPG-114</x:v>
      </x:c>
      <x:c r="B115" s="38" t="str">
        <x:v>C06678</x:v>
      </x:c>
      <x:c r="C115" s="102" t="str">
        <x:v>A0840</x:v>
      </x:c>
      <x:c r="D115" s="39" t="str">
        <x:v>물가 상승률 두 달 연속 2%대...치솟은 기름값, 물가 끌어 올려</x:v>
      </x:c>
      <x:c r="E115" s="39" t="str">
        <x:v>2025-03-06</x:v>
      </x:c>
      <x:c r="F115" s="39" t="str">
        <x:v>https://www.chosun.com/economy/economy_general/2025/03/06/IXLFBAQ5RFD7HKWH6T3LQXPQWA</x:v>
      </x:c>
      <x:c r="G115" s="39" t="str">
        <x:v>기름값 부담이 반영된 생활물가지수는 지난달 2.6% 오르며 지난해 7월(3%) 이후 7개월 만에 최대 상승폭을 보였다.</x:v>
      </x:c>
      <x:c r="H115" s="38" t="str">
        <x:v>CHANGE_RATE</x:v>
      </x:c>
      <x:c r="I115" s="40" t="str">
        <x:v>3.0</x:v>
      </x:c>
      <x:c r="J115" s="38" t="str">
        <x:v>['%', '월', '%', '개']</x:v>
      </x:c>
      <x:c r="K115" s="38" t="str">
        <x:v>REFUTES</x:v>
      </x:c>
      <x:c r="L115" s="38" t="str">
        <x:v>FULL_KOSIS_MCP</x:v>
      </x:c>
      <x:c r="M115" s="38" t="str">
        <x:v>Y</x:v>
      </x:c>
      <x:c r="N115" s="38" t="str">
        <x:v>Y</x:v>
      </x:c>
      <x:c r="O115" s="38" t="str">
        <x:v>N</x:v>
      </x:c>
      <x:c r="P115" s="38" t="str">
        <x:v>101</x:v>
      </x:c>
      <x:c r="Q115" s="38" t="str">
        <x:v>DT_1J22042</x:v>
      </x:c>
      <x:c r="R115" s="38" t="str">
        <x:v>월별 소비자물가 등락률</x:v>
      </x:c>
      <x:c r="S115" s="38" t="str">
        <x:v>1</x:v>
      </x:c>
      <x:c r="T115" s="38" t="str">
        <x:v>N/A</x:v>
      </x:c>
      <x:c r="U115" s="38" t="str">
        <x:v>T03</x:v>
      </x:c>
      <x:c r="V115" s="38" t="str">
        <x:v>전년동월비(%)</x:v>
      </x:c>
      <x:c r="W115" s="38" t="str">
        <x:v>생활물가지수</x:v>
      </x:c>
      <x:c r="X115" s="38" t="str">
        <x:v>M</x:v>
      </x:c>
      <x:c r="Y115" s="38" t="str">
        <x:v>202407</x:v>
      </x:c>
      <x:c r="Z115" s="38" t="str">
        <x:v>202406</x:v>
      </x:c>
      <x:c r="AA115" s="41" t="str">
        <x:v>3.0</x:v>
      </x:c>
      <x:c r="AB115" s="41" t="str">
        <x:v>2.8</x:v>
      </x:c>
      <x:c r="AC115" s="41" t="str">
        <x:v>%</x:v>
      </x:c>
      <x:c r="AD115" s="41" t="str">
        <x:v>7.1428571428571495</x:v>
      </x:c>
      <x:c r="AE115" s="39" t="str">
        <x:v>(MCP current − MCP previous) / |MCP previous| × 100</x:v>
      </x:c>
      <x:c r="AF115" s="39" t="str">
        <x:v>MCP_ACTUAL_VALUE_CONFIRMED</x:v>
      </x:c>
      <x:c r="AG115" s="39" t="str">
        <x:v>KOSIS_MCP_GET_DATA</x:v>
      </x:c>
      <x:c r="AH115" s="39" t="str">
        <x:v>https://kosis.kr/statHtml/statHtml.do?orgId=101&amp;tblId=DT_1J22042&amp;vw_cd=MT_ZTITLE&amp;list_id=&amp;seqNo=&amp;lang_mode=ko&amp;language=kor&amp;obj_var_id=&amp;itm_id=&amp;conn_path=MT_ZTITLE</x:v>
      </x:c>
      <x:c r="AI115" s="38" t="str">
        <x:v>81-100</x:v>
      </x:c>
      <x:c r="AJ115" s="38" t="n">
        <x:v>46239.36105673611</x:v>
      </x:c>
    </x:row>
    <x:row r="116">
      <x:c r="A116" s="38" t="str">
        <x:v>MCPG-115</x:v>
      </x:c>
      <x:c r="B116" s="38" t="str">
        <x:v>C06681</x:v>
      </x:c>
      <x:c r="C116" s="102" t="str">
        <x:v>A0840</x:v>
      </x:c>
      <x:c r="D116" s="39" t="str">
        <x:v>물가 상승률 두 달 연속 2%대...치솟은 기름값, 물가 끌어 올려</x:v>
      </x:c>
      <x:c r="E116" s="39" t="str">
        <x:v>2025-03-06</x:v>
      </x:c>
      <x:c r="F116" s="39" t="str">
        <x:v>https://www.chosun.com/economy/economy_general/2025/03/06/IXLFBAQ5RFD7HKWH6T3LQXPQWA</x:v>
      </x:c>
      <x:c r="G116" s="39" t="str">
        <x:v>마찬가지로 지난달 외식 물가는 전년 동월 대비 3% 상승했는데, 지난해 6월(3%) 이후 8개월 만에 최대 상승폭이다.</x:v>
      </x:c>
      <x:c r="H116" s="38" t="str">
        <x:v>CHANGE_RATE</x:v>
      </x:c>
      <x:c r="I116" s="40" t="str">
        <x:v>3.0</x:v>
      </x:c>
      <x:c r="J116" s="38" t="str">
        <x:v>['%', '월', '%', '개']</x:v>
      </x:c>
      <x:c r="K116" s="38" t="str">
        <x:v>REFUTES</x:v>
      </x:c>
      <x:c r="L116" s="38" t="str">
        <x:v>FULL_KOSIS_MCP</x:v>
      </x:c>
      <x:c r="M116" s="38" t="str">
        <x:v>Y</x:v>
      </x:c>
      <x:c r="N116" s="38" t="str">
        <x:v>Y</x:v>
      </x:c>
      <x:c r="O116" s="38" t="str">
        <x:v>N</x:v>
      </x:c>
      <x:c r="P116" s="38" t="str">
        <x:v>101</x:v>
      </x:c>
      <x:c r="Q116" s="38" t="str">
        <x:v>DT_1J22042</x:v>
      </x:c>
      <x:c r="R116" s="38" t="str">
        <x:v>월별 소비자물가 등락률</x:v>
      </x:c>
      <x:c r="S116" s="38" t="str">
        <x:v>0</x:v>
      </x:c>
      <x:c r="T116" s="38" t="str">
        <x:v>N/A</x:v>
      </x:c>
      <x:c r="U116" s="38" t="str">
        <x:v>T03</x:v>
      </x:c>
      <x:c r="V116" s="38" t="str">
        <x:v>전년동월비(%)</x:v>
      </x:c>
      <x:c r="W116" s="38" t="str">
        <x:v>총지수</x:v>
      </x:c>
      <x:c r="X116" s="38" t="str">
        <x:v>M</x:v>
      </x:c>
      <x:c r="Y116" s="38" t="str">
        <x:v>202406</x:v>
      </x:c>
      <x:c r="Z116" s="38" t="str">
        <x:v>202306</x:v>
      </x:c>
      <x:c r="AA116" s="41" t="str">
        <x:v>2.4</x:v>
      </x:c>
      <x:c r="AB116" s="41" t="str">
        <x:v>2.7</x:v>
      </x:c>
      <x:c r="AC116" s="41" t="str">
        <x:v>%</x:v>
      </x:c>
      <x:c r="AD116" s="41" t="str">
        <x:v>-11.11111111111112</x:v>
      </x:c>
      <x:c r="AE116" s="39" t="str">
        <x:v>(MCP current − MCP previous) / |MCP previous| × 100</x:v>
      </x:c>
      <x:c r="AF116" s="39" t="str">
        <x:v>MCP_ACTUAL_VALUE_CONFIRMED</x:v>
      </x:c>
      <x:c r="AG116" s="39" t="str">
        <x:v>KOSIS_MCP_GET_DATA</x:v>
      </x:c>
      <x:c r="AH116" s="39" t="str">
        <x:v>https://kosis.kr/statHtml/statHtml.do?orgId=101&amp;tblId=DT_1J22042&amp;vw_cd=MT_ZTITLE&amp;list_id=&amp;seqNo=&amp;lang_mode=ko&amp;language=kor&amp;obj_var_id=&amp;itm_id=&amp;conn_path=MT_ZTITLE</x:v>
      </x:c>
      <x:c r="AI116" s="38" t="str">
        <x:v>81-100</x:v>
      </x:c>
      <x:c r="AJ116" s="38" t="n">
        <x:v>46239.36105673611</x:v>
      </x:c>
    </x:row>
    <x:row r="117">
      <x:c r="A117" s="38" t="str">
        <x:v>MCPG-116</x:v>
      </x:c>
      <x:c r="B117" s="38" t="str">
        <x:v>C06682</x:v>
      </x:c>
      <x:c r="C117" s="102" t="str">
        <x:v>A0840</x:v>
      </x:c>
      <x:c r="D117" s="39" t="str">
        <x:v>물가 상승률 두 달 연속 2%대...치솟은 기름값, 물가 끌어 올려</x:v>
      </x:c>
      <x:c r="E117" s="39" t="str">
        <x:v>2025-03-06</x:v>
      </x:c>
      <x:c r="F117" s="39" t="str">
        <x:v>https://www.chosun.com/economy/economy_general/2025/03/06/IXLFBAQ5RFD7HKWH6T3LQXPQWA</x:v>
      </x:c>
      <x:c r="G117" s="39" t="str">
        <x:v>다만 토마토(-19.5%)와 딸기(-6.9%), 바나나(-11.4%) 등 과실류 가격이 떨어지면서 농산물 물가는 전년 동월 대비 1.2% 감소했다.</x:v>
      </x:c>
      <x:c r="H117" s="38" t="str">
        <x:v>CHANGE_RATE</x:v>
      </x:c>
      <x:c r="I117" s="40" t="str">
        <x:v>1.2</x:v>
      </x:c>
      <x:c r="J117" s="38" t="str">
        <x:v>['%', '%', '%', '%']</x:v>
      </x:c>
      <x:c r="K117" s="38" t="str">
        <x:v>REFUTES</x:v>
      </x:c>
      <x:c r="L117" s="38" t="str">
        <x:v>FULL_KOSIS_MCP</x:v>
      </x:c>
      <x:c r="M117" s="38" t="str">
        <x:v>Y</x:v>
      </x:c>
      <x:c r="N117" s="38" t="str">
        <x:v>Y</x:v>
      </x:c>
      <x:c r="O117" s="38" t="str">
        <x:v>N</x:v>
      </x:c>
      <x:c r="P117" s="38" t="str">
        <x:v>101</x:v>
      </x:c>
      <x:c r="Q117" s="38" t="str">
        <x:v>DT_1J22042</x:v>
      </x:c>
      <x:c r="R117" s="38" t="str">
        <x:v>월별 소비자물가 등락률</x:v>
      </x:c>
      <x:c r="S117" s="38" t="str">
        <x:v>0</x:v>
      </x:c>
      <x:c r="T117" s="38" t="str">
        <x:v>N/A</x:v>
      </x:c>
      <x:c r="U117" s="38" t="str">
        <x:v>T03</x:v>
      </x:c>
      <x:c r="V117" s="38" t="str">
        <x:v>전년동월비(%)</x:v>
      </x:c>
      <x:c r="W117" s="38" t="str">
        <x:v>총지수</x:v>
      </x:c>
      <x:c r="X117" s="38" t="str">
        <x:v>M</x:v>
      </x:c>
      <x:c r="Y117" s="38" t="str">
        <x:v>202412</x:v>
      </x:c>
      <x:c r="Z117" s="38" t="str">
        <x:v>202312</x:v>
      </x:c>
      <x:c r="AA117" s="41" t="str">
        <x:v>1.9</x:v>
      </x:c>
      <x:c r="AB117" s="41" t="str">
        <x:v>3.2</x:v>
      </x:c>
      <x:c r="AC117" s="41" t="str">
        <x:v>%</x:v>
      </x:c>
      <x:c r="AD117" s="41" t="str">
        <x:v>-40.62500000000001</x:v>
      </x:c>
      <x:c r="AE117" s="39" t="str">
        <x:v>(MCP current − MCP previous) / |MCP previous| × 100</x:v>
      </x:c>
      <x:c r="AF117" s="39" t="str">
        <x:v>MCP_ACTUAL_VALUE_CONFIRMED</x:v>
      </x:c>
      <x:c r="AG117" s="39" t="str">
        <x:v>KOSIS_MCP_GET_DATA</x:v>
      </x:c>
      <x:c r="AH117" s="39" t="str">
        <x:v>https://kosis.kr/statHtml/statHtml.do?orgId=101&amp;tblId=DT_1J22042&amp;vw_cd=MT_ZTITLE&amp;list_id=&amp;seqNo=&amp;lang_mode=ko&amp;language=kor&amp;obj_var_id=&amp;itm_id=&amp;conn_path=MT_ZTITLE</x:v>
      </x:c>
      <x:c r="AI117" s="38" t="str">
        <x:v>81-100</x:v>
      </x:c>
      <x:c r="AJ117" s="38" t="n">
        <x:v>46239.36105673611</x:v>
      </x:c>
    </x:row>
    <x:row r="118">
      <x:c r="A118" s="38" t="str">
        <x:v>MCPG-117</x:v>
      </x:c>
      <x:c r="B118" s="38" t="str">
        <x:v>C07269</x:v>
      </x:c>
      <x:c r="C118" s="102" t="str">
        <x:v>A0917</x:v>
      </x:c>
      <x:c r="D118" s="39" t="str">
        <x:v>외식 물가는 치솟는데… 눈물나는 식당 술값 ‘역주행’</x:v>
      </x:c>
      <x:c r="E118" s="39" t="str">
        <x:v>2025-03-12</x:v>
      </x:c>
      <x:c r="F118" s="39" t="str">
        <x:v>https://www.chosun.com/economy/economy_general/2025/03/12/CJX2KI2XHBFVPIK3NBGMVKFXMA</x:v>
      </x:c>
      <x:c r="G118" s="39" t="str">
        <x:v>반면, 2월 전체 외식물가는 전년보다 3% 올라 소비자물가 상승률(2%)을 웃돌았다.</x:v>
      </x:c>
      <x:c r="H118" s="38" t="str">
        <x:v>CHANGE_RATE</x:v>
      </x:c>
      <x:c r="I118" s="40" t="str">
        <x:v>2.0</x:v>
      </x:c>
      <x:c r="J118" s="38" t="str">
        <x:v>['월', '%', '%']</x:v>
      </x:c>
      <x:c r="K118" s="38" t="str">
        <x:v>REFUTES</x:v>
      </x:c>
      <x:c r="L118" s="38" t="str">
        <x:v>FULL_KOSIS_MCP</x:v>
      </x:c>
      <x:c r="M118" s="38" t="str">
        <x:v>Y</x:v>
      </x:c>
      <x:c r="N118" s="38" t="str">
        <x:v>Y</x:v>
      </x:c>
      <x:c r="O118" s="38" t="str">
        <x:v>N</x:v>
      </x:c>
      <x:c r="P118" s="38" t="str">
        <x:v>101</x:v>
      </x:c>
      <x:c r="Q118" s="38" t="str">
        <x:v>DT_1J22042</x:v>
      </x:c>
      <x:c r="R118" s="38" t="str">
        <x:v>월별 소비자물가 등락률</x:v>
      </x:c>
      <x:c r="S118" s="38" t="str">
        <x:v>0</x:v>
      </x:c>
      <x:c r="T118" s="38" t="str">
        <x:v>N/A</x:v>
      </x:c>
      <x:c r="U118" s="38" t="str">
        <x:v>T03</x:v>
      </x:c>
      <x:c r="V118" s="38" t="str">
        <x:v>전년동월비(%)</x:v>
      </x:c>
      <x:c r="W118" s="38" t="str">
        <x:v>총지수</x:v>
      </x:c>
      <x:c r="X118" s="38" t="str">
        <x:v>M</x:v>
      </x:c>
      <x:c r="Y118" s="38" t="str">
        <x:v>202402</x:v>
      </x:c>
      <x:c r="Z118" s="38" t="str">
        <x:v>202401</x:v>
      </x:c>
      <x:c r="AA118" s="41" t="str">
        <x:v>3.1</x:v>
      </x:c>
      <x:c r="AB118" s="41" t="str">
        <x:v>2.8</x:v>
      </x:c>
      <x:c r="AC118" s="41" t="str">
        <x:v>%</x:v>
      </x:c>
      <x:c r="AD118" s="41" t="str">
        <x:v>10.714285714285724</x:v>
      </x:c>
      <x:c r="AE118" s="39" t="str">
        <x:v>(MCP current − MCP previous) / |MCP previous| × 100</x:v>
      </x:c>
      <x:c r="AF118" s="39" t="str">
        <x:v>MCP_ACTUAL_VALUE_CONFIRMED</x:v>
      </x:c>
      <x:c r="AG118" s="39" t="str">
        <x:v>KOSIS_MCP_GET_DATA</x:v>
      </x:c>
      <x:c r="AH118" s="39" t="str">
        <x:v>https://kosis.kr/statHtml/statHtml.do?orgId=101&amp;tblId=DT_1J22042&amp;vw_cd=MT_ZTITLE&amp;list_id=&amp;seqNo=&amp;lang_mode=ko&amp;language=kor&amp;obj_var_id=&amp;itm_id=&amp;conn_path=MT_ZTITLE</x:v>
      </x:c>
      <x:c r="AI118" s="38" t="str">
        <x:v>81-100</x:v>
      </x:c>
      <x:c r="AJ118" s="38" t="n">
        <x:v>46239.36105673611</x:v>
      </x:c>
    </x:row>
    <x:row r="119">
      <x:c r="A119" s="38" t="str">
        <x:v>MCPG-118</x:v>
      </x:c>
      <x:c r="B119" s="38" t="str">
        <x:v>C09086</x:v>
      </x:c>
      <x:c r="C119" s="102" t="str">
        <x:v>A1176</x:v>
      </x:c>
      <x:c r="D119" s="39" t="str">
        <x:v>의성 마늘·청송 사과… 먹거리 물가도 비상</x:v>
      </x:c>
      <x:c r="E119" s="39" t="str">
        <x:v>2025-04-01</x:v>
      </x:c>
      <x:c r="F119" s="39" t="str">
        <x:v>https://www.chosun.com/economy/economy_general/2025/04/01/OCXI4WN3PBCMBAAWAGM2HDZ34U</x:v>
      </x:c>
      <x:c r="G119" s="39" t="str">
        <x:v>한국농수산식품유통공사에 따르면, 3월 하순(20∼30일) 무(20㎏) 중도매인 판매 가격은 전년 동기 대비 75.6% 올랐고, 배추(10㎏) 가격도 17.5% 상승했다.</x:v>
      </x:c>
      <x:c r="H119" s="38" t="str">
        <x:v>CHANGE_RATE</x:v>
      </x:c>
      <x:c r="I119" s="40" t="str">
        <x:v>17.5</x:v>
      </x:c>
      <x:c r="J119" s="38" t="str">
        <x:v>['월', '일', '%', '%']</x:v>
      </x:c>
      <x:c r="K119" s="38" t="str">
        <x:v>REFUTES</x:v>
      </x:c>
      <x:c r="L119" s="38" t="str">
        <x:v>FULL_KOSIS_MCP</x:v>
      </x:c>
      <x:c r="M119" s="38" t="str">
        <x:v>Y</x:v>
      </x:c>
      <x:c r="N119" s="38" t="str">
        <x:v>Y</x:v>
      </x:c>
      <x:c r="O119" s="38" t="str">
        <x:v>N</x:v>
      </x:c>
      <x:c r="P119" s="38" t="str">
        <x:v>101</x:v>
      </x:c>
      <x:c r="Q119" s="38" t="str">
        <x:v>DT_1J22042</x:v>
      </x:c>
      <x:c r="R119" s="38" t="str">
        <x:v>월별 소비자물가 등락률</x:v>
      </x:c>
      <x:c r="S119" s="38" t="str">
        <x:v>0</x:v>
      </x:c>
      <x:c r="T119" s="38" t="str">
        <x:v>N/A</x:v>
      </x:c>
      <x:c r="U119" s="38" t="str">
        <x:v>T03</x:v>
      </x:c>
      <x:c r="V119" s="38" t="str">
        <x:v>전년동월비(%)</x:v>
      </x:c>
      <x:c r="W119" s="38" t="str">
        <x:v>총지수</x:v>
      </x:c>
      <x:c r="X119" s="38" t="str">
        <x:v>M</x:v>
      </x:c>
      <x:c r="Y119" s="38" t="str">
        <x:v>202403</x:v>
      </x:c>
      <x:c r="Z119" s="38" t="str">
        <x:v>202303</x:v>
      </x:c>
      <x:c r="AA119" s="41" t="str">
        <x:v>3.1</x:v>
      </x:c>
      <x:c r="AB119" s="41" t="str">
        <x:v>4.2</x:v>
      </x:c>
      <x:c r="AC119" s="41" t="str">
        <x:v>%</x:v>
      </x:c>
      <x:c r="AD119" s="41" t="str">
        <x:v>-26.190476190476193</x:v>
      </x:c>
      <x:c r="AE119" s="39" t="str">
        <x:v>(MCP current − MCP previous) / |MCP previous| × 100</x:v>
      </x:c>
      <x:c r="AF119" s="39" t="str">
        <x:v>MCP_ACTUAL_VALUE_CONFIRMED</x:v>
      </x:c>
      <x:c r="AG119" s="39" t="str">
        <x:v>KOSIS_MCP_GET_DATA</x:v>
      </x:c>
      <x:c r="AH119" s="39" t="str">
        <x:v>https://kosis.kr/statHtml/statHtml.do?orgId=101&amp;tblId=DT_1J22042&amp;vw_cd=MT_ZTITLE&amp;list_id=&amp;seqNo=&amp;lang_mode=ko&amp;language=kor&amp;obj_var_id=&amp;itm_id=&amp;conn_path=MT_ZTITLE</x:v>
      </x:c>
      <x:c r="AI119" s="38" t="str">
        <x:v>81-100</x:v>
      </x:c>
      <x:c r="AJ119" s="38" t="n">
        <x:v>46239.36105677083</x:v>
      </x:c>
    </x:row>
    <x:row r="120">
      <x:c r="A120" s="38" t="str">
        <x:v>MCPG-119</x:v>
      </x:c>
      <x:c r="B120" s="38" t="str">
        <x:v>C09202</x:v>
      </x:c>
      <x:c r="C120" s="102" t="str">
        <x:v>A1190</x:v>
      </x:c>
      <x:c r="D120" s="39" t="str">
        <x:v>물가상승률 석 달째 2%대...업체들 줄인상에 가공식품·외식 가격 ↑</x:v>
      </x:c>
      <x:c r="E120" s="39" t="str">
        <x:v>2025-04-02</x:v>
      </x:c>
      <x:c r="F120" s="39" t="str">
        <x:v>https://www.chosun.com/economy/economy_general/2025/04/02/EZEOHOZC5NBBHKNEXYWAAYWO24</x:v>
      </x:c>
      <x:c r="G120" s="39" t="str">
        <x:v>연초 물가를 끌어올리는 주범이었던 석유류 가격은 미국의 석유 증산 등 국제 유가가 떨어진 게 시차를 두고 반영되며 지난달 들어 2.8% 오르는 데 그쳤다.</x:v>
      </x:c>
      <x:c r="H120" s="38" t="str">
        <x:v>LEVEL</x:v>
      </x:c>
      <x:c r="I120" s="40" t="str">
        <x:v>2.8</x:v>
      </x:c>
      <x:c r="J120" s="38" t="str">
        <x:v>['%']</x:v>
      </x:c>
      <x:c r="K120" s="38" t="str">
        <x:v>REFUTES</x:v>
      </x:c>
      <x:c r="L120" s="38" t="str">
        <x:v>FULL_KOSIS_MCP</x:v>
      </x:c>
      <x:c r="M120" s="38" t="str">
        <x:v>Y</x:v>
      </x:c>
      <x:c r="N120" s="38" t="str">
        <x:v>Y</x:v>
      </x:c>
      <x:c r="O120" s="38" t="str">
        <x:v>N</x:v>
      </x:c>
      <x:c r="P120" s="38" t="str">
        <x:v>101</x:v>
      </x:c>
      <x:c r="Q120" s="38" t="str">
        <x:v>DT_1J22042</x:v>
      </x:c>
      <x:c r="R120" s="38" t="str">
        <x:v>월별 소비자물가 등락률</x:v>
      </x:c>
      <x:c r="S120" s="38" t="str">
        <x:v>0</x:v>
      </x:c>
      <x:c r="T120" s="38" t="str">
        <x:v>N/A</x:v>
      </x:c>
      <x:c r="U120" s="38" t="str">
        <x:v>T03</x:v>
      </x:c>
      <x:c r="V120" s="38" t="str">
        <x:v>전년동월비(%)</x:v>
      </x:c>
      <x:c r="W120" s="38" t="str">
        <x:v>총지수</x:v>
      </x:c>
      <x:c r="X120" s="38" t="str">
        <x:v>M</x:v>
      </x:c>
      <x:c r="Y120" s="38" t="str">
        <x:v>202503</x:v>
      </x:c>
      <x:c r="Z120" s="38" t="str">
        <x:v>N/A</x:v>
      </x:c>
      <x:c r="AA120" s="41" t="str">
        <x:v>2.1</x:v>
      </x:c>
      <x:c r="AB120" s="41" t="str">
        <x:v>N/A</x:v>
      </x:c>
      <x:c r="AC120" s="41" t="str">
        <x:v>%</x:v>
      </x:c>
      <x:c r="AD120" s="41" t="str">
        <x:v>2.1</x:v>
      </x:c>
      <x:c r="AE120" s="39" t="str">
        <x:v>MCP current value × source unit scale (1)</x:v>
      </x:c>
      <x:c r="AF120" s="39" t="str">
        <x:v>MCP_ACTUAL_VALUE_CONFIRMED</x:v>
      </x:c>
      <x:c r="AG120" s="39" t="str">
        <x:v>KOSIS_MCP_GET_DATA</x:v>
      </x:c>
      <x:c r="AH120" s="39" t="str">
        <x:v>https://kosis.kr/statHtml/statHtml.do?orgId=101&amp;tblId=DT_1J22042&amp;vw_cd=MT_ZTITLE&amp;list_id=&amp;seqNo=&amp;lang_mode=ko&amp;language=kor&amp;obj_var_id=&amp;itm_id=&amp;conn_path=MT_ZTITLE</x:v>
      </x:c>
      <x:c r="AI120" s="38" t="str">
        <x:v>81-100</x:v>
      </x:c>
      <x:c r="AJ120" s="38" t="n">
        <x:v>46239.36105678241</x:v>
      </x:c>
    </x:row>
    <x:row r="121">
      <x:c r="A121" s="38" t="str">
        <x:v>MCPG-120</x:v>
      </x:c>
      <x:c r="B121" s="38" t="str">
        <x:v>C09203</x:v>
      </x:c>
      <x:c r="C121" s="102" t="str">
        <x:v>A1190</x:v>
      </x:c>
      <x:c r="D121" s="39" t="str">
        <x:v>물가상승률 석 달째 2%대...업체들 줄인상에 가공식품·외식 가격 ↑</x:v>
      </x:c>
      <x:c r="E121" s="39" t="str">
        <x:v>2025-04-02</x:v>
      </x:c>
      <x:c r="F121" s="39" t="str">
        <x:v>https://www.chosun.com/economy/economy_general/2025/04/02/EZEOHOZC5NBBHKNEXYWAAYWO24</x:v>
      </x:c>
      <x:c r="G121" s="39" t="str">
        <x:v>전월 대비로는 휘발유(-2.1%)와 경유(-2.2%) 모두 일제히 가격이 떨어졌다.</x:v>
      </x:c>
      <x:c r="H121" s="38" t="str">
        <x:v>LEVEL</x:v>
      </x:c>
      <x:c r="I121" s="40" t="str">
        <x:v>-2.2</x:v>
      </x:c>
      <x:c r="J121" s="38" t="str">
        <x:v>['%', '%']</x:v>
      </x:c>
      <x:c r="K121" s="38" t="str">
        <x:v>REFUTES</x:v>
      </x:c>
      <x:c r="L121" s="38" t="str">
        <x:v>FULL_KOSIS_MCP</x:v>
      </x:c>
      <x:c r="M121" s="38" t="str">
        <x:v>Y</x:v>
      </x:c>
      <x:c r="N121" s="38" t="str">
        <x:v>Y</x:v>
      </x:c>
      <x:c r="O121" s="38" t="str">
        <x:v>N</x:v>
      </x:c>
      <x:c r="P121" s="38" t="str">
        <x:v>101</x:v>
      </x:c>
      <x:c r="Q121" s="38" t="str">
        <x:v>DT_1J22042</x:v>
      </x:c>
      <x:c r="R121" s="38" t="str">
        <x:v>월별 소비자물가 등락률</x:v>
      </x:c>
      <x:c r="S121" s="38" t="str">
        <x:v>0</x:v>
      </x:c>
      <x:c r="T121" s="38" t="str">
        <x:v>N/A</x:v>
      </x:c>
      <x:c r="U121" s="38" t="str">
        <x:v>T02</x:v>
      </x:c>
      <x:c r="V121" s="38" t="str">
        <x:v>전월비</x:v>
      </x:c>
      <x:c r="W121" s="38" t="str">
        <x:v>총지수</x:v>
      </x:c>
      <x:c r="X121" s="38" t="str">
        <x:v>M</x:v>
      </x:c>
      <x:c r="Y121" s="38" t="str">
        <x:v>202503</x:v>
      </x:c>
      <x:c r="Z121" s="38" t="str">
        <x:v>N/A</x:v>
      </x:c>
      <x:c r="AA121" s="41" t="str">
        <x:v>0.2</x:v>
      </x:c>
      <x:c r="AB121" s="41" t="str">
        <x:v>N/A</x:v>
      </x:c>
      <x:c r="AC121" s="41" t="str">
        <x:v>%</x:v>
      </x:c>
      <x:c r="AD121" s="41" t="str">
        <x:v>0.2</x:v>
      </x:c>
      <x:c r="AE121" s="39" t="str">
        <x:v>MCP current value × source unit scale (1)</x:v>
      </x:c>
      <x:c r="AF121" s="39" t="str">
        <x:v>MCP_ACTUAL_VALUE_CONFIRMED</x:v>
      </x:c>
      <x:c r="AG121" s="39" t="str">
        <x:v>KOSIS_MCP_GET_DATA</x:v>
      </x:c>
      <x:c r="AH121" s="39" t="str">
        <x:v>https://kosis.kr/statHtml/statHtml.do?orgId=101&amp;tblId=DT_1J22042&amp;vw_cd=MT_ZTITLE&amp;list_id=&amp;seqNo=&amp;lang_mode=ko&amp;language=kor&amp;obj_var_id=&amp;itm_id=&amp;conn_path=MT_ZTITLE</x:v>
      </x:c>
      <x:c r="AI121" s="38" t="str">
        <x:v>81-100</x:v>
      </x:c>
      <x:c r="AJ121" s="38" t="n">
        <x:v>46239.36105678241</x:v>
      </x:c>
    </x:row>
    <x:row r="122">
      <x:c r="A122" s="38" t="str">
        <x:v>MCPG-121</x:v>
      </x:c>
      <x:c r="B122" s="38" t="str">
        <x:v>C09206</x:v>
      </x:c>
      <x:c r="C122" s="102" t="str">
        <x:v>A1190</x:v>
      </x:c>
      <x:c r="D122" s="39" t="str">
        <x:v>물가상승률 석 달째 2%대...업체들 줄인상에 가공식품·외식 가격 ↑</x:v>
      </x:c>
      <x:c r="E122" s="39" t="str">
        <x:v>2025-04-02</x:v>
      </x:c>
      <x:c r="F122" s="39" t="str">
        <x:v>https://www.chosun.com/economy/economy_general/2025/04/02/EZEOHOZC5NBBHKNEXYWAAYWO24</x:v>
      </x:c>
      <x:c r="G122" s="39" t="str">
        <x:v>외식 물가는 지난 2월(3%)에 이어 지난달에도 3% 상승했는데, 생선회(5.4%)와 치킨(5.3%) 등 소비자들이 자주 찾는 외식 품목들의 가격이 크게 오르며 체감 물가상승률을 높였다.</x:v>
      </x:c>
      <x:c r="H122" s="38" t="str">
        <x:v>CHANGE_RATE</x:v>
      </x:c>
      <x:c r="I122" s="40" t="str">
        <x:v>5.3</x:v>
      </x:c>
      <x:c r="J122" s="38" t="str">
        <x:v>['월', '%', '%', '%', '%']</x:v>
      </x:c>
      <x:c r="K122" s="38" t="str">
        <x:v>REFUTES</x:v>
      </x:c>
      <x:c r="L122" s="38" t="str">
        <x:v>FULL_KOSIS_MCP</x:v>
      </x:c>
      <x:c r="M122" s="38" t="str">
        <x:v>Y</x:v>
      </x:c>
      <x:c r="N122" s="38" t="str">
        <x:v>Y</x:v>
      </x:c>
      <x:c r="O122" s="38" t="str">
        <x:v>N</x:v>
      </x:c>
      <x:c r="P122" s="38" t="str">
        <x:v>101</x:v>
      </x:c>
      <x:c r="Q122" s="38" t="str">
        <x:v>DT_1J22042</x:v>
      </x:c>
      <x:c r="R122" s="38" t="str">
        <x:v>월별 소비자물가 등락률</x:v>
      </x:c>
      <x:c r="S122" s="38" t="str">
        <x:v>0</x:v>
      </x:c>
      <x:c r="T122" s="38" t="str">
        <x:v>N/A</x:v>
      </x:c>
      <x:c r="U122" s="38" t="str">
        <x:v>T03</x:v>
      </x:c>
      <x:c r="V122" s="38" t="str">
        <x:v>전년동월비(%)</x:v>
      </x:c>
      <x:c r="W122" s="38" t="str">
        <x:v>총지수</x:v>
      </x:c>
      <x:c r="X122" s="38" t="str">
        <x:v>M</x:v>
      </x:c>
      <x:c r="Y122" s="38" t="str">
        <x:v>202502</x:v>
      </x:c>
      <x:c r="Z122" s="38" t="str">
        <x:v>202501</x:v>
      </x:c>
      <x:c r="AA122" s="41" t="str">
        <x:v>2.0</x:v>
      </x:c>
      <x:c r="AB122" s="41" t="str">
        <x:v>2.2</x:v>
      </x:c>
      <x:c r="AC122" s="41" t="str">
        <x:v>%</x:v>
      </x:c>
      <x:c r="AD122" s="41" t="str">
        <x:v>-9.090909090909099</x:v>
      </x:c>
      <x:c r="AE122" s="39" t="str">
        <x:v>(MCP current − MCP previous) / |MCP previous| × 100</x:v>
      </x:c>
      <x:c r="AF122" s="39" t="str">
        <x:v>MCP_ACTUAL_VALUE_CONFIRMED</x:v>
      </x:c>
      <x:c r="AG122" s="39" t="str">
        <x:v>KOSIS_MCP_GET_DATA</x:v>
      </x:c>
      <x:c r="AH122" s="39" t="str">
        <x:v>https://kosis.kr/statHtml/statHtml.do?orgId=101&amp;tblId=DT_1J22042&amp;vw_cd=MT_ZTITLE&amp;list_id=&amp;seqNo=&amp;lang_mode=ko&amp;language=kor&amp;obj_var_id=&amp;itm_id=&amp;conn_path=MT_ZTITLE</x:v>
      </x:c>
      <x:c r="AI122" s="38" t="str">
        <x:v>81-100</x:v>
      </x:c>
      <x:c r="AJ122" s="38" t="n">
        <x:v>46239.36105678241</x:v>
      </x:c>
    </x:row>
    <x:row r="123">
      <x:c r="A123" s="38" t="str">
        <x:v>MCPG-122</x:v>
      </x:c>
      <x:c r="B123" s="38" t="str">
        <x:v>C12149</x:v>
      </x:c>
      <x:c r="C123" s="102" t="str">
        <x:v>A1584</x:v>
      </x:c>
      <x:c r="D123" s="39" t="str">
        <x:v>물가 상승률 4개월 째 2%대...근원물가 13개월 만 가장 많이 올라</x:v>
      </x:c>
      <x:c r="E123" s="39" t="str">
        <x:v>2025-05-02</x:v>
      </x:c>
      <x:c r="F123" s="39" t="str">
        <x:v>https://www.chosun.com/economy/economy_general/2025/05/02/SSY7QNJ4L5DGFGPEGDWAOOA7HE</x:v>
      </x:c>
      <x:c r="G123" s="39" t="str">
        <x:v>2일 통계청이 발표한 ‘4월 소비자물가 동향’에 따르면, 지난달 소비자물가 지수는 116.38로 전년 동월 대비 2.1% 올랐다.</x:v>
      </x:c>
      <x:c r="H123" s="38" t="str">
        <x:v>CHANGE_RATE</x:v>
      </x:c>
      <x:c r="I123" s="40" t="str">
        <x:v>2.1</x:v>
      </x:c>
      <x:c r="J123" s="38" t="str">
        <x:v>['일', '월', '%']</x:v>
      </x:c>
      <x:c r="K123" s="38" t="str">
        <x:v>REFUTES</x:v>
      </x:c>
      <x:c r="L123" s="38" t="str">
        <x:v>FULL_KOSIS_MCP</x:v>
      </x:c>
      <x:c r="M123" s="38" t="str">
        <x:v>Y</x:v>
      </x:c>
      <x:c r="N123" s="38" t="str">
        <x:v>Y</x:v>
      </x:c>
      <x:c r="O123" s="38" t="str">
        <x:v>N</x:v>
      </x:c>
      <x:c r="P123" s="38" t="str">
        <x:v>101</x:v>
      </x:c>
      <x:c r="Q123" s="38" t="str">
        <x:v>DT_1J22042</x:v>
      </x:c>
      <x:c r="R123" s="38" t="str">
        <x:v>월별 소비자물가 등락률</x:v>
      </x:c>
      <x:c r="S123" s="38" t="str">
        <x:v>0</x:v>
      </x:c>
      <x:c r="T123" s="38" t="str">
        <x:v>N/A</x:v>
      </x:c>
      <x:c r="U123" s="38" t="str">
        <x:v>T03</x:v>
      </x:c>
      <x:c r="V123" s="38" t="str">
        <x:v>전년동월비(%)</x:v>
      </x:c>
      <x:c r="W123" s="38" t="str">
        <x:v>총지수</x:v>
      </x:c>
      <x:c r="X123" s="38" t="str">
        <x:v>M</x:v>
      </x:c>
      <x:c r="Y123" s="38" t="str">
        <x:v>202404</x:v>
      </x:c>
      <x:c r="Z123" s="38" t="str">
        <x:v>202304</x:v>
      </x:c>
      <x:c r="AA123" s="41" t="str">
        <x:v>2.9</x:v>
      </x:c>
      <x:c r="AB123" s="41" t="str">
        <x:v>3.7</x:v>
      </x:c>
      <x:c r="AC123" s="41" t="str">
        <x:v>%</x:v>
      </x:c>
      <x:c r="AD123" s="41" t="str">
        <x:v>-21.621621621621628</x:v>
      </x:c>
      <x:c r="AE123" s="39" t="str">
        <x:v>(MCP current − MCP previous) / |MCP previous| × 100</x:v>
      </x:c>
      <x:c r="AF123" s="39" t="str">
        <x:v>MCP_ACTUAL_VALUE_CONFIRMED</x:v>
      </x:c>
      <x:c r="AG123" s="39" t="str">
        <x:v>KOSIS_MCP_GET_DATA</x:v>
      </x:c>
      <x:c r="AH123" s="39" t="str">
        <x:v>https://kosis.kr/statHtml/statHtml.do?orgId=101&amp;tblId=DT_1J22042&amp;vw_cd=MT_ZTITLE&amp;list_id=&amp;seqNo=&amp;lang_mode=ko&amp;language=kor&amp;obj_var_id=&amp;itm_id=&amp;conn_path=MT_ZTITLE</x:v>
      </x:c>
      <x:c r="AI123" s="38" t="str">
        <x:v>61-120</x:v>
      </x:c>
      <x:c r="AJ123" s="38" t="n">
        <x:v>46239.358261469904</x:v>
      </x:c>
    </x:row>
    <x:row r="124">
      <x:c r="A124" s="38" t="str">
        <x:v>MCPG-123</x:v>
      </x:c>
      <x:c r="B124" s="38" t="str">
        <x:v>C12152</x:v>
      </x:c>
      <x:c r="C124" s="102" t="str">
        <x:v>A1584</x:v>
      </x:c>
      <x:c r="D124" s="39" t="str">
        <x:v>물가 상승률 4개월 째 2%대...근원물가 13개월 만 가장 많이 올라</x:v>
      </x:c>
      <x:c r="E124" s="39" t="str">
        <x:v>2025-05-02</x:v>
      </x:c>
      <x:c r="F124" s="39" t="str">
        <x:v>https://www.chosun.com/economy/economy_general/2025/05/02/SSY7QNJ4L5DGFGPEGDWAOOA7HE</x:v>
      </x:c>
      <x:c r="G124" s="39" t="str">
        <x:v>연초 미국의 석유 증산 등으로 국제 유가가 떨어졌던 게 시차를 두고 반영되면서, 지난달 석유류 가격은 1.7% 떨어졌다.</x:v>
      </x:c>
      <x:c r="H124" s="38" t="str">
        <x:v>LEVEL</x:v>
      </x:c>
      <x:c r="I124" s="40" t="str">
        <x:v>1.7</x:v>
      </x:c>
      <x:c r="J124" s="38" t="str">
        <x:v>['%']</x:v>
      </x:c>
      <x:c r="K124" s="38" t="str">
        <x:v>REFUTES</x:v>
      </x:c>
      <x:c r="L124" s="38" t="str">
        <x:v>FULL_KOSIS_MCP</x:v>
      </x:c>
      <x:c r="M124" s="38" t="str">
        <x:v>Y</x:v>
      </x:c>
      <x:c r="N124" s="38" t="str">
        <x:v>Y</x:v>
      </x:c>
      <x:c r="O124" s="38" t="str">
        <x:v>N</x:v>
      </x:c>
      <x:c r="P124" s="38" t="str">
        <x:v>101</x:v>
      </x:c>
      <x:c r="Q124" s="38" t="str">
        <x:v>DT_1J22042</x:v>
      </x:c>
      <x:c r="R124" s="38" t="str">
        <x:v>월별 소비자물가 등락률</x:v>
      </x:c>
      <x:c r="S124" s="38" t="str">
        <x:v>0</x:v>
      </x:c>
      <x:c r="T124" s="38" t="str">
        <x:v>N/A</x:v>
      </x:c>
      <x:c r="U124" s="38" t="str">
        <x:v>T03</x:v>
      </x:c>
      <x:c r="V124" s="38" t="str">
        <x:v>전년동월비(%)</x:v>
      </x:c>
      <x:c r="W124" s="38" t="str">
        <x:v>총지수</x:v>
      </x:c>
      <x:c r="X124" s="38" t="str">
        <x:v>M</x:v>
      </x:c>
      <x:c r="Y124" s="38" t="str">
        <x:v>202504</x:v>
      </x:c>
      <x:c r="Z124" s="38" t="str">
        <x:v>N/A</x:v>
      </x:c>
      <x:c r="AA124" s="41" t="str">
        <x:v>2.1</x:v>
      </x:c>
      <x:c r="AB124" s="41" t="str">
        <x:v>N/A</x:v>
      </x:c>
      <x:c r="AC124" s="41" t="str">
        <x:v>%</x:v>
      </x:c>
      <x:c r="AD124" s="41" t="str">
        <x:v>2.1</x:v>
      </x:c>
      <x:c r="AE124" s="39" t="str">
        <x:v>MCP current value × source unit scale (1)</x:v>
      </x:c>
      <x:c r="AF124" s="39" t="str">
        <x:v>MCP_ACTUAL_VALUE_CONFIRMED</x:v>
      </x:c>
      <x:c r="AG124" s="39" t="str">
        <x:v>KOSIS_MCP_GET_DATA</x:v>
      </x:c>
      <x:c r="AH124" s="39" t="str">
        <x:v>https://kosis.kr/statHtml/statHtml.do?orgId=101&amp;tblId=DT_1J22042&amp;vw_cd=MT_ZTITLE&amp;list_id=&amp;seqNo=&amp;lang_mode=ko&amp;language=kor&amp;obj_var_id=&amp;itm_id=&amp;conn_path=MT_ZTITLE</x:v>
      </x:c>
      <x:c r="AI124" s="38" t="str">
        <x:v>61-120</x:v>
      </x:c>
      <x:c r="AJ124" s="38" t="n">
        <x:v>46239.358261469904</x:v>
      </x:c>
    </x:row>
    <x:row r="125">
      <x:c r="A125" s="38" t="str">
        <x:v>MCPG-124</x:v>
      </x:c>
      <x:c r="B125" s="38" t="str">
        <x:v>C12153</x:v>
      </x:c>
      <x:c r="C125" s="102" t="str">
        <x:v>A1584</x:v>
      </x:c>
      <x:c r="D125" s="39" t="str">
        <x:v>물가 상승률 4개월 째 2%대...근원물가 13개월 만 가장 많이 올라</x:v>
      </x:c>
      <x:c r="E125" s="39" t="str">
        <x:v>2025-05-02</x:v>
      </x:c>
      <x:c r="F125" s="39" t="str">
        <x:v>https://www.chosun.com/economy/economy_general/2025/05/02/SSY7QNJ4L5DGFGPEGDWAOOA7HE</x:v>
      </x:c>
      <x:c r="G125" s="39" t="str">
        <x:v>휘발유(-2.4%)와 경유(-2.9%) 등 가격이 전년 동월 대비 일제히 감소했는데, 이는 작년 11월에 각각 3.4%, 10.4%씩 하락한 이후 5개월 만이다.</x:v>
      </x:c>
      <x:c r="H125" s="38" t="str">
        <x:v>CHANGE_RATE</x:v>
      </x:c>
      <x:c r="I125" s="40" t="str">
        <x:v>10.4</x:v>
      </x:c>
      <x:c r="J125" s="38" t="str">
        <x:v>['%', '%', '월', '%', '%', '개']</x:v>
      </x:c>
      <x:c r="K125" s="38" t="str">
        <x:v>REFUTES</x:v>
      </x:c>
      <x:c r="L125" s="38" t="str">
        <x:v>FULL_KOSIS_MCP</x:v>
      </x:c>
      <x:c r="M125" s="38" t="str">
        <x:v>Y</x:v>
      </x:c>
      <x:c r="N125" s="38" t="str">
        <x:v>Y</x:v>
      </x:c>
      <x:c r="O125" s="38" t="str">
        <x:v>N</x:v>
      </x:c>
      <x:c r="P125" s="38" t="str">
        <x:v>101</x:v>
      </x:c>
      <x:c r="Q125" s="38" t="str">
        <x:v>DT_1J22042</x:v>
      </x:c>
      <x:c r="R125" s="38" t="str">
        <x:v>월별 소비자물가 등락률</x:v>
      </x:c>
      <x:c r="S125" s="38" t="str">
        <x:v>0</x:v>
      </x:c>
      <x:c r="T125" s="38" t="str">
        <x:v>N/A</x:v>
      </x:c>
      <x:c r="U125" s="38" t="str">
        <x:v>T03</x:v>
      </x:c>
      <x:c r="V125" s="38" t="str">
        <x:v>전년동월비(%)</x:v>
      </x:c>
      <x:c r="W125" s="38" t="str">
        <x:v>총지수</x:v>
      </x:c>
      <x:c r="X125" s="38" t="str">
        <x:v>M</x:v>
      </x:c>
      <x:c r="Y125" s="38" t="str">
        <x:v>202411</x:v>
      </x:c>
      <x:c r="Z125" s="38" t="str">
        <x:v>202311</x:v>
      </x:c>
      <x:c r="AA125" s="41" t="str">
        <x:v>1.5</x:v>
      </x:c>
      <x:c r="AB125" s="41" t="str">
        <x:v>3.3</x:v>
      </x:c>
      <x:c r="AC125" s="41" t="str">
        <x:v>%</x:v>
      </x:c>
      <x:c r="AD125" s="41" t="str">
        <x:v>-54.54545454545454</x:v>
      </x:c>
      <x:c r="AE125" s="39" t="str">
        <x:v>(MCP current − MCP previous) / |MCP previous| × 100</x:v>
      </x:c>
      <x:c r="AF125" s="39" t="str">
        <x:v>MCP_ACTUAL_VALUE_CONFIRMED</x:v>
      </x:c>
      <x:c r="AG125" s="39" t="str">
        <x:v>KOSIS_MCP_GET_DATA</x:v>
      </x:c>
      <x:c r="AH125" s="39" t="str">
        <x:v>https://kosis.kr/statHtml/statHtml.do?orgId=101&amp;tblId=DT_1J22042&amp;vw_cd=MT_ZTITLE&amp;list_id=&amp;seqNo=&amp;lang_mode=ko&amp;language=kor&amp;obj_var_id=&amp;itm_id=&amp;conn_path=MT_ZTITLE</x:v>
      </x:c>
      <x:c r="AI125" s="38" t="str">
        <x:v>61-120</x:v>
      </x:c>
      <x:c r="AJ125" s="38" t="n">
        <x:v>46239.358261469904</x:v>
      </x:c>
    </x:row>
    <x:row r="126">
      <x:c r="A126" s="38" t="str">
        <x:v>MCPG-125</x:v>
      </x:c>
      <x:c r="B126" s="38" t="str">
        <x:v>C12154</x:v>
      </x:c>
      <x:c r="C126" s="102" t="str">
        <x:v>A1584</x:v>
      </x:c>
      <x:c r="D126" s="39" t="str">
        <x:v>물가 상승률 4개월 째 2%대...근원물가 13개월 만 가장 많이 올라</x:v>
      </x:c>
      <x:c r="E126" s="39" t="str">
        <x:v>2025-05-02</x:v>
      </x:c>
      <x:c r="F126" s="39" t="str">
        <x:v>https://www.chosun.com/economy/economy_general/2025/05/02/SSY7QNJ4L5DGFGPEGDWAOOA7HE</x:v>
      </x:c>
      <x:c r="G126" s="39" t="str">
        <x:v>농산물 가격도 작년 주요 과일과 채소 가격이 높았던 기저효과로 지난달에는 1.5% 하락한 것으로 나타났다.</x:v>
      </x:c>
      <x:c r="H126" s="38" t="str">
        <x:v>CHANGE_RATE</x:v>
      </x:c>
      <x:c r="I126" s="40" t="str">
        <x:v>1.5</x:v>
      </x:c>
      <x:c r="J126" s="38" t="str">
        <x:v>['%']</x:v>
      </x:c>
      <x:c r="K126" s="38" t="str">
        <x:v>REFUTES</x:v>
      </x:c>
      <x:c r="L126" s="38" t="str">
        <x:v>FULL_KOSIS_MCP</x:v>
      </x:c>
      <x:c r="M126" s="38" t="str">
        <x:v>Y</x:v>
      </x:c>
      <x:c r="N126" s="38" t="str">
        <x:v>Y</x:v>
      </x:c>
      <x:c r="O126" s="38" t="str">
        <x:v>N</x:v>
      </x:c>
      <x:c r="P126" s="38" t="str">
        <x:v>101</x:v>
      </x:c>
      <x:c r="Q126" s="38" t="str">
        <x:v>DT_1J22042</x:v>
      </x:c>
      <x:c r="R126" s="38" t="str">
        <x:v>월별 소비자물가 등락률</x:v>
      </x:c>
      <x:c r="S126" s="38" t="str">
        <x:v>0</x:v>
      </x:c>
      <x:c r="T126" s="38" t="str">
        <x:v>N/A</x:v>
      </x:c>
      <x:c r="U126" s="38" t="str">
        <x:v>T03</x:v>
      </x:c>
      <x:c r="V126" s="38" t="str">
        <x:v>전년동월비(%)</x:v>
      </x:c>
      <x:c r="W126" s="38" t="str">
        <x:v>총지수</x:v>
      </x:c>
      <x:c r="X126" s="38" t="str">
        <x:v>M</x:v>
      </x:c>
      <x:c r="Y126" s="38" t="str">
        <x:v>202404</x:v>
      </x:c>
      <x:c r="Z126" s="38" t="str">
        <x:v>202403</x:v>
      </x:c>
      <x:c r="AA126" s="41" t="str">
        <x:v>2.9</x:v>
      </x:c>
      <x:c r="AB126" s="41" t="str">
        <x:v>3.1</x:v>
      </x:c>
      <x:c r="AC126" s="41" t="str">
        <x:v>%</x:v>
      </x:c>
      <x:c r="AD126" s="41" t="str">
        <x:v>-6.451612903225811</x:v>
      </x:c>
      <x:c r="AE126" s="39" t="str">
        <x:v>(MCP current − MCP previous) / |MCP previous| × 100</x:v>
      </x:c>
      <x:c r="AF126" s="39" t="str">
        <x:v>MCP_ACTUAL_VALUE_CONFIRMED</x:v>
      </x:c>
      <x:c r="AG126" s="39" t="str">
        <x:v>KOSIS_MCP_GET_DATA</x:v>
      </x:c>
      <x:c r="AH126" s="39" t="str">
        <x:v>https://kosis.kr/statHtml/statHtml.do?orgId=101&amp;tblId=DT_1J22042&amp;vw_cd=MT_ZTITLE&amp;list_id=&amp;seqNo=&amp;lang_mode=ko&amp;language=kor&amp;obj_var_id=&amp;itm_id=&amp;conn_path=MT_ZTITLE</x:v>
      </x:c>
      <x:c r="AI126" s="38" t="str">
        <x:v>61-120</x:v>
      </x:c>
      <x:c r="AJ126" s="38" t="n">
        <x:v>46239.35826148148</x:v>
      </x:c>
    </x:row>
    <x:row r="127">
      <x:c r="A127" s="38" t="str">
        <x:v>MCPG-126</x:v>
      </x:c>
      <x:c r="B127" s="38" t="str">
        <x:v>C12158</x:v>
      </x:c>
      <x:c r="C127" s="102" t="str">
        <x:v>A1584</x:v>
      </x:c>
      <x:c r="D127" s="39" t="str">
        <x:v>물가 상승률 4개월 째 2%대...근원물가 13개월 만 가장 많이 올라</x:v>
      </x:c>
      <x:c r="E127" s="39" t="str">
        <x:v>2025-05-02</x:v>
      </x:c>
      <x:c r="F127" s="39" t="str">
        <x:v>https://www.chosun.com/economy/economy_general/2025/05/02/SSY7QNJ4L5DGFGPEGDWAOOA7HE</x:v>
      </x:c>
      <x:c r="G127" s="39" t="str">
        <x:v>이로 인해 근원물가에 해당하는 ‘농산물 및 석유류 제외 지수’는 전년 동월 대비 2.4% 오르면서 작년 3월(2.4%) 이후 13개월 만에 가장 높은 상승폭을 보였다.</x:v>
      </x:c>
      <x:c r="H127" s="38" t="str">
        <x:v>CHANGE_RATE</x:v>
      </x:c>
      <x:c r="I127" s="40" t="str">
        <x:v>2.4</x:v>
      </x:c>
      <x:c r="J127" s="38" t="str">
        <x:v>['%', '월', '%', '개']</x:v>
      </x:c>
      <x:c r="K127" s="38" t="str">
        <x:v>REFUTES</x:v>
      </x:c>
      <x:c r="L127" s="38" t="str">
        <x:v>FULL_KOSIS_MCP</x:v>
      </x:c>
      <x:c r="M127" s="38" t="str">
        <x:v>Y</x:v>
      </x:c>
      <x:c r="N127" s="38" t="str">
        <x:v>Y</x:v>
      </x:c>
      <x:c r="O127" s="38" t="str">
        <x:v>N</x:v>
      </x:c>
      <x:c r="P127" s="38" t="str">
        <x:v>101</x:v>
      </x:c>
      <x:c r="Q127" s="38" t="str">
        <x:v>DT_1J22042</x:v>
      </x:c>
      <x:c r="R127" s="38" t="str">
        <x:v>월별 소비자물가 등락률</x:v>
      </x:c>
      <x:c r="S127" s="38" t="str">
        <x:v>3</x:v>
      </x:c>
      <x:c r="T127" s="38" t="str">
        <x:v>N/A</x:v>
      </x:c>
      <x:c r="U127" s="38" t="str">
        <x:v>T03</x:v>
      </x:c>
      <x:c r="V127" s="38" t="str">
        <x:v>전년동월비(%)</x:v>
      </x:c>
      <x:c r="W127" s="38" t="str">
        <x:v>농산물및석유류제외지수</x:v>
      </x:c>
      <x:c r="X127" s="38" t="str">
        <x:v>M</x:v>
      </x:c>
      <x:c r="Y127" s="38" t="str">
        <x:v>202403</x:v>
      </x:c>
      <x:c r="Z127" s="38" t="str">
        <x:v>202303</x:v>
      </x:c>
      <x:c r="AA127" s="41" t="str">
        <x:v>2.4</x:v>
      </x:c>
      <x:c r="AB127" s="41" t="str">
        <x:v>4.7</x:v>
      </x:c>
      <x:c r="AC127" s="41" t="str">
        <x:v>%</x:v>
      </x:c>
      <x:c r="AD127" s="41" t="str">
        <x:v>-48.93617021276596</x:v>
      </x:c>
      <x:c r="AE127" s="39" t="str">
        <x:v>(MCP current − MCP previous) / |MCP previous| × 100</x:v>
      </x:c>
      <x:c r="AF127" s="39" t="str">
        <x:v>MCP_ACTUAL_VALUE_CONFIRMED</x:v>
      </x:c>
      <x:c r="AG127" s="39" t="str">
        <x:v>KOSIS_MCP_GET_DATA</x:v>
      </x:c>
      <x:c r="AH127" s="39" t="str">
        <x:v>https://kosis.kr/statHtml/statHtml.do?orgId=101&amp;tblId=DT_1J22042&amp;vw_cd=MT_ZTITLE&amp;list_id=&amp;seqNo=&amp;lang_mode=ko&amp;language=kor&amp;obj_var_id=&amp;itm_id=&amp;conn_path=MT_ZTITLE</x:v>
      </x:c>
      <x:c r="AI127" s="38" t="str">
        <x:v>61-120</x:v>
      </x:c>
      <x:c r="AJ127" s="38" t="n">
        <x:v>46239.35826148148</x:v>
      </x:c>
    </x:row>
    <x:row r="128">
      <x:c r="A128" s="38" t="str">
        <x:v>MCPG-127</x:v>
      </x:c>
      <x:c r="B128" s="38" t="str">
        <x:v>C00380</x:v>
      </x:c>
      <x:c r="C128" s="102" t="str">
        <x:v>A0041</x:v>
      </x:c>
      <x:c r="D128" s="39" t="str">
        <x:v>치솟는 환율에 식품 물가도 급등</x:v>
      </x:c>
      <x:c r="E128" s="39" t="str">
        <x:v>2025-01-04</x:v>
      </x:c>
      <x:c r="F128" s="39" t="str">
        <x:v>https://www.chosun.com/economy/economy_general/2025/01/04/7SPGFC4RFZEDLDPFTQHVDM2K2E</x:v>
      </x:c>
      <x:c r="G128" s="39" t="str">
        <x:v>3일 한국소비자원이 전국 대형마트와 편의점 500여 곳을 조사해 발표하는 ‘생필품 가격 보고서’에 따르면, 지난달 20일 기준 초콜릿·카레·커피 등 주요 가공식품 175개 품목 가운데 121개(69%) 품목의 평균 가격이 1년 전보다 오른 것으로 나타났다.</x:v>
      </x:c>
      <x:c r="H128" s="38" t="str">
        <x:v>LEVEL</x:v>
      </x:c>
      <x:c r="I128" s="40" t="str">
        <x:v>69.0</x:v>
      </x:c>
      <x:c r="J128" s="38" t="str">
        <x:v>['일', '일', '개', '개', '%', '년']</x:v>
      </x:c>
      <x:c r="K128" s="38" t="str">
        <x:v>REFUTES</x:v>
      </x:c>
      <x:c r="L128" s="38" t="str">
        <x:v>FULL_KOSIS_MCP</x:v>
      </x:c>
      <x:c r="M128" s="38" t="str">
        <x:v>Y</x:v>
      </x:c>
      <x:c r="N128" s="38" t="str">
        <x:v>Y</x:v>
      </x:c>
      <x:c r="O128" s="38" t="str">
        <x:v>N</x:v>
      </x:c>
      <x:c r="P128" s="38" t="str">
        <x:v>101</x:v>
      </x:c>
      <x:c r="Q128" s="38" t="str">
        <x:v>DT_1J22003</x:v>
      </x:c>
      <x:c r="R128" s="38" t="str">
        <x:v>소비자물가지수(2020＝100)</x:v>
      </x:c>
      <x:c r="S128" s="38" t="str">
        <x:v>T10</x:v>
      </x:c>
      <x:c r="T128" s="38" t="str">
        <x:v>N/A</x:v>
      </x:c>
      <x:c r="U128" s="38" t="str">
        <x:v>T</x:v>
      </x:c>
      <x:c r="V128" s="38" t="str">
        <x:v>소비자물가지수(총지수)</x:v>
      </x:c>
      <x:c r="W128" s="38" t="str">
        <x:v>전국</x:v>
      </x:c>
      <x:c r="X128" s="38" t="str">
        <x:v>M</x:v>
      </x:c>
      <x:c r="Y128" s="38" t="str">
        <x:v>202412</x:v>
      </x:c>
      <x:c r="Z128" s="38" t="str">
        <x:v>N/A</x:v>
      </x:c>
      <x:c r="AA128" s="41" t="str">
        <x:v>114.91</x:v>
      </x:c>
      <x:c r="AB128" s="41" t="str">
        <x:v>N/A</x:v>
      </x:c>
      <x:c r="AC128" s="41" t="str">
        <x:v>2020＝100</x:v>
      </x:c>
      <x:c r="AD128" s="41" t="str">
        <x:v>114.91</x:v>
      </x:c>
      <x:c r="AE128" s="39" t="str">
        <x:v>MCP current value × source unit scale (1)</x:v>
      </x:c>
      <x:c r="AF128" s="39" t="str">
        <x:v>MCP_ACTUAL_VALUE_CONFIRMED</x:v>
      </x:c>
      <x:c r="AG128" s="39" t="str">
        <x:v>KOSIS_MCP_GET_DATA</x:v>
      </x:c>
      <x:c r="AH128" s="39" t="str">
        <x:v>https://kosis.kr/statHtml/statHtml.do?orgId=101&amp;tblId=DT_1J22003&amp;vw_cd=MT_ZTITLE&amp;list_id=&amp;seqNo=&amp;lang_mode=ko&amp;language=kor&amp;obj_var_id=&amp;itm_id=&amp;conn_path=MT_ZTITLE</x:v>
      </x:c>
      <x:c r="AI128" s="38" t="str">
        <x:v>61-120</x:v>
      </x:c>
      <x:c r="AJ128" s="38" t="n">
        <x:v>46239.35826148148</x:v>
      </x:c>
    </x:row>
    <x:row r="129">
      <x:c r="A129" s="38" t="str">
        <x:v>MCPG-128</x:v>
      </x:c>
      <x:c r="B129" s="38" t="str">
        <x:v>C01659</x:v>
      </x:c>
      <x:c r="C129" s="102" t="str">
        <x:v>A0224</x:v>
      </x:c>
      <x:c r="D129" s="39" t="str">
        <x:v>간신히 5% 찍은 中 성장률, 올해는 ‘트럼프 관세’ 먹구름</x:v>
      </x:c>
      <x:c r="E129" s="39" t="str">
        <x:v>2025-01-18</x:v>
      </x:c>
      <x:c r="F129" s="39" t="str">
        <x:v>https://www.chosun.com/economy/economy_general/2025/01/18/47BFYPJXONF7RIF22SP3KAKCFU</x:v>
      </x:c>
      <x:c r="G129" s="39" t="str">
        <x:v>공장 출고가를 의미하는 생산자 물가는 27개월째 전년 대비 마이너스를 기록하고 있다.</x:v>
      </x:c>
      <x:c r="H129" s="38" t="str">
        <x:v>LEVEL</x:v>
      </x:c>
      <x:c r="I129" s="40" t="str">
        <x:v>27.0</x:v>
      </x:c>
      <x:c r="J129" s="38" t="str">
        <x:v>['개']</x:v>
      </x:c>
      <x:c r="K129" s="38" t="str">
        <x:v>REFUTES</x:v>
      </x:c>
      <x:c r="L129" s="38" t="str">
        <x:v>FULL_KOSIS_MCP</x:v>
      </x:c>
      <x:c r="M129" s="38" t="str">
        <x:v>Y</x:v>
      </x:c>
      <x:c r="N129" s="38" t="str">
        <x:v>Y</x:v>
      </x:c>
      <x:c r="O129" s="38" t="str">
        <x:v>N</x:v>
      </x:c>
      <x:c r="P129" s="38" t="str">
        <x:v>101</x:v>
      </x:c>
      <x:c r="Q129" s="38" t="str">
        <x:v>DT_1J22003</x:v>
      </x:c>
      <x:c r="R129" s="38" t="str">
        <x:v>소비자물가지수(2020＝100)</x:v>
      </x:c>
      <x:c r="S129" s="38" t="str">
        <x:v>T10</x:v>
      </x:c>
      <x:c r="T129" s="38" t="str">
        <x:v>N/A</x:v>
      </x:c>
      <x:c r="U129" s="38" t="str">
        <x:v>T</x:v>
      </x:c>
      <x:c r="V129" s="38" t="str">
        <x:v>소비자물가지수(총지수)</x:v>
      </x:c>
      <x:c r="W129" s="38" t="str">
        <x:v>전국</x:v>
      </x:c>
      <x:c r="X129" s="38" t="str">
        <x:v>Y</x:v>
      </x:c>
      <x:c r="Y129" s="38" t="str">
        <x:v>2024</x:v>
      </x:c>
      <x:c r="Z129" s="38" t="str">
        <x:v>N/A</x:v>
      </x:c>
      <x:c r="AA129" s="41" t="str">
        <x:v>114.18</x:v>
      </x:c>
      <x:c r="AB129" s="41" t="str">
        <x:v>N/A</x:v>
      </x:c>
      <x:c r="AC129" s="41" t="str">
        <x:v>2020＝100</x:v>
      </x:c>
      <x:c r="AD129" s="41" t="str">
        <x:v>114.18</x:v>
      </x:c>
      <x:c r="AE129" s="39" t="str">
        <x:v>MCP current value × source unit scale (1)</x:v>
      </x:c>
      <x:c r="AF129" s="39" t="str">
        <x:v>MCP_ACTUAL_VALUE_CONFIRMED</x:v>
      </x:c>
      <x:c r="AG129" s="39" t="str">
        <x:v>KOSIS_MCP_GET_DATA</x:v>
      </x:c>
      <x:c r="AH129" s="39" t="str">
        <x:v>https://kosis.kr/statHtml/statHtml.do?orgId=101&amp;tblId=DT_1J22003&amp;vw_cd=MT_ZTITLE&amp;list_id=&amp;seqNo=&amp;lang_mode=ko&amp;language=kor&amp;obj_var_id=&amp;itm_id=&amp;conn_path=MT_ZTITLE</x:v>
      </x:c>
      <x:c r="AI129" s="38" t="str">
        <x:v>61-120</x:v>
      </x:c>
      <x:c r="AJ129" s="38" t="n">
        <x:v>46239.35826148148</x:v>
      </x:c>
    </x:row>
    <x:row r="130">
      <x:c r="A130" s="38" t="str">
        <x:v>MCPG-129</x:v>
      </x:c>
      <x:c r="B130" s="38" t="str">
        <x:v>C03159</x:v>
      </x:c>
      <x:c r="C130" s="102" t="str">
        <x:v>A0399</x:v>
      </x:c>
      <x:c r="D130" s="39" t="str">
        <x:v>트럼프 ‘금리 인하’ 압박에도… 美연준 만장일치 “동결”</x:v>
      </x:c>
      <x:c r="E130" s="39" t="str">
        <x:v>2025-01-31</x:v>
      </x:c>
      <x:c r="F130" s="39" t="str">
        <x:v>https://www.chosun.com/economy/economy_general/2025/01/31/A7PFEUIACNH7HASFXVOJEW35UM</x:v>
      </x:c>
      <x:c r="G130" s="39" t="str">
        <x:v>2017년 트럼프 1기가 시작했을 때 물가(2.1%)보다 훨씬 높고, 트럼프 1기 때 가장 높았던 물가(2018년 6~7월 2.9%)와 같은 수준이다.</x:v>
      </x:c>
      <x:c r="H130" s="38" t="str">
        <x:v>LEVEL</x:v>
      </x:c>
      <x:c r="I130" s="40" t="str">
        <x:v>2.9</x:v>
      </x:c>
      <x:c r="J130" s="38" t="str">
        <x:v>['년', '%', '년', '월', '%']</x:v>
      </x:c>
      <x:c r="K130" s="38" t="str">
        <x:v>REFUTES</x:v>
      </x:c>
      <x:c r="L130" s="38" t="str">
        <x:v>FULL_KOSIS_MCP</x:v>
      </x:c>
      <x:c r="M130" s="38" t="str">
        <x:v>Y</x:v>
      </x:c>
      <x:c r="N130" s="38" t="str">
        <x:v>Y</x:v>
      </x:c>
      <x:c r="O130" s="38" t="str">
        <x:v>N</x:v>
      </x:c>
      <x:c r="P130" s="38" t="str">
        <x:v>101</x:v>
      </x:c>
      <x:c r="Q130" s="38" t="str">
        <x:v>DT_1J22003</x:v>
      </x:c>
      <x:c r="R130" s="38" t="str">
        <x:v>소비자물가지수(2020＝100)</x:v>
      </x:c>
      <x:c r="S130" s="38" t="str">
        <x:v>T10</x:v>
      </x:c>
      <x:c r="T130" s="38" t="str">
        <x:v>N/A</x:v>
      </x:c>
      <x:c r="U130" s="38" t="str">
        <x:v>T</x:v>
      </x:c>
      <x:c r="V130" s="38" t="str">
        <x:v>소비자물가지수(총지수)</x:v>
      </x:c>
      <x:c r="W130" s="38" t="str">
        <x:v>전국</x:v>
      </x:c>
      <x:c r="X130" s="38" t="str">
        <x:v>M</x:v>
      </x:c>
      <x:c r="Y130" s="38" t="str">
        <x:v>201807</x:v>
      </x:c>
      <x:c r="Z130" s="38" t="str">
        <x:v>N/A</x:v>
      </x:c>
      <x:c r="AA130" s="41" t="str">
        <x:v>98.59</x:v>
      </x:c>
      <x:c r="AB130" s="41" t="str">
        <x:v>N/A</x:v>
      </x:c>
      <x:c r="AC130" s="41" t="str">
        <x:v>2020＝100</x:v>
      </x:c>
      <x:c r="AD130" s="41" t="str">
        <x:v>98.59</x:v>
      </x:c>
      <x:c r="AE130" s="39" t="str">
        <x:v>MCP current value × source unit scale (1)</x:v>
      </x:c>
      <x:c r="AF130" s="39" t="str">
        <x:v>MCP_ACTUAL_VALUE_CONFIRMED</x:v>
      </x:c>
      <x:c r="AG130" s="39" t="str">
        <x:v>KOSIS_MCP_GET_DATA</x:v>
      </x:c>
      <x:c r="AH130" s="39" t="str">
        <x:v>https://kosis.kr/statHtml/statHtml.do?orgId=101&amp;tblId=DT_1J22003&amp;vw_cd=MT_ZTITLE&amp;list_id=&amp;seqNo=&amp;lang_mode=ko&amp;language=kor&amp;obj_var_id=&amp;itm_id=&amp;conn_path=MT_ZTITLE</x:v>
      </x:c>
      <x:c r="AI130" s="38" t="str">
        <x:v>61-120</x:v>
      </x:c>
      <x:c r="AJ130" s="38" t="n">
        <x:v>46239.35826148148</x:v>
      </x:c>
    </x:row>
    <x:row r="131">
      <x:c r="A131" s="38" t="str">
        <x:v>MCPG-130</x:v>
      </x:c>
      <x:c r="B131" s="38" t="str">
        <x:v>C03366</x:v>
      </x:c>
      <x:c r="C131" s="102" t="str">
        <x:v>A0426</x:v>
      </x:c>
      <x:c r="D131" s="39" t="str">
        <x:v>전설적 투자자 하워드 막스 “초저금리 안 온다, 이지 머니 시대 끝나”</x:v>
      </x:c>
      <x:c r="E131" s="39" t="str">
        <x:v>2025-02-02</x:v>
      </x:c>
      <x:c r="F131" s="39" t="str">
        <x:v>https://www.chosun.com/economy/money/2025/02/02/J2BFVXANLNCWDHPHVDADH4BTNQ</x:v>
      </x:c>
      <x:c r="G131" s="39" t="str">
        <x:v>간담회 5일 뒤인 지난달 29일 미국 연방준비제도는 “인플레이션이 다소 상승했고 경제 전망이 불확실하다”며 기준금리를 기존 4.25~4.5%로 동결했다.</x:v>
      </x:c>
      <x:c r="H131" s="38" t="str">
        <x:v>CHANGE_RATE</x:v>
      </x:c>
      <x:c r="I131" s="40" t="str">
        <x:v>4.5</x:v>
      </x:c>
      <x:c r="J131" s="38" t="str">
        <x:v>['일', '일', '%']</x:v>
      </x:c>
      <x:c r="K131" s="38" t="str">
        <x:v>REFUTES</x:v>
      </x:c>
      <x:c r="L131" s="38" t="str">
        <x:v>FULL_KOSIS_MCP</x:v>
      </x:c>
      <x:c r="M131" s="38" t="str">
        <x:v>Y</x:v>
      </x:c>
      <x:c r="N131" s="38" t="str">
        <x:v>Y</x:v>
      </x:c>
      <x:c r="O131" s="38" t="str">
        <x:v>N</x:v>
      </x:c>
      <x:c r="P131" s="38" t="str">
        <x:v>101</x:v>
      </x:c>
      <x:c r="Q131" s="38" t="str">
        <x:v>DT_1J22003</x:v>
      </x:c>
      <x:c r="R131" s="38" t="str">
        <x:v>소비자물가지수(2020＝100)</x:v>
      </x:c>
      <x:c r="S131" s="38" t="str">
        <x:v>T10</x:v>
      </x:c>
      <x:c r="T131" s="38" t="str">
        <x:v>N/A</x:v>
      </x:c>
      <x:c r="U131" s="38" t="str">
        <x:v>T</x:v>
      </x:c>
      <x:c r="V131" s="38" t="str">
        <x:v>소비자물가지수(총지수)</x:v>
      </x:c>
      <x:c r="W131" s="38" t="str">
        <x:v>전국</x:v>
      </x:c>
      <x:c r="X131" s="38" t="str">
        <x:v>M</x:v>
      </x:c>
      <x:c r="Y131" s="38" t="str">
        <x:v>202501</x:v>
      </x:c>
      <x:c r="Z131" s="38" t="str">
        <x:v>202412</x:v>
      </x:c>
      <x:c r="AA131" s="41" t="str">
        <x:v>115.71</x:v>
      </x:c>
      <x:c r="AB131" s="41" t="str">
        <x:v>114.91</x:v>
      </x:c>
      <x:c r="AC131" s="41" t="str">
        <x:v>2020＝100</x:v>
      </x:c>
      <x:c r="AD131" s="41" t="str">
        <x:v>0.696197023757721</x:v>
      </x:c>
      <x:c r="AE131" s="39" t="str">
        <x:v>(MCP current − MCP previous) / |MCP previous| × 100</x:v>
      </x:c>
      <x:c r="AF131" s="39" t="str">
        <x:v>MCP_ACTUAL_VALUE_CONFIRMED</x:v>
      </x:c>
      <x:c r="AG131" s="39" t="str">
        <x:v>KOSIS_MCP_GET_DATA</x:v>
      </x:c>
      <x:c r="AH131" s="39" t="str">
        <x:v>https://kosis.kr/statHtml/statHtml.do?orgId=101&amp;tblId=DT_1J22003&amp;vw_cd=MT_ZTITLE&amp;list_id=&amp;seqNo=&amp;lang_mode=ko&amp;language=kor&amp;obj_var_id=&amp;itm_id=&amp;conn_path=MT_ZTITLE</x:v>
      </x:c>
      <x:c r="AI131" s="38" t="str">
        <x:v>61-120</x:v>
      </x:c>
      <x:c r="AJ131" s="38" t="n">
        <x:v>46239.35826148148</x:v>
      </x:c>
    </x:row>
    <x:row r="132">
      <x:c r="A132" s="38" t="str">
        <x:v>MCPG-131</x:v>
      </x:c>
      <x:c r="B132" s="38" t="str">
        <x:v>C03550</x:v>
      </x:c>
      <x:c r="C132" s="102" t="str">
        <x:v>A0448</x:v>
      </x:c>
      <x:c r="D132" s="39" t="str">
        <x:v>끝이 안 보이는 내수 부진… 소매 판매 21년 만에 최대 감소</x:v>
      </x:c>
      <x:c r="E132" s="39" t="str">
        <x:v>2025-02-04</x:v>
      </x:c>
      <x:c r="F132" s="39" t="str">
        <x:v>https://www.chosun.com/economy/economy_general/2025/02/04/54YXZORW2RA5FHIRI552AGTUY4</x:v>
      </x:c>
      <x:c r="G132" s="39" t="str">
        <x:v>하지만 고금리·고물가로 2022년 다시 0.3% 감소했고 2023년엔 수출 부진까지 겹쳐 소매판매가 1.5% 감소했다.</x:v>
      </x:c>
      <x:c r="H132" s="38" t="str">
        <x:v>CHANGE_RATE</x:v>
      </x:c>
      <x:c r="I132" s="40" t="str">
        <x:v>1.5</x:v>
      </x:c>
      <x:c r="J132" s="38" t="str">
        <x:v>['년', '%', '년', '%']</x:v>
      </x:c>
      <x:c r="K132" s="38" t="str">
        <x:v>REFUTES</x:v>
      </x:c>
      <x:c r="L132" s="38" t="str">
        <x:v>FULL_KOSIS_MCP</x:v>
      </x:c>
      <x:c r="M132" s="38" t="str">
        <x:v>Y</x:v>
      </x:c>
      <x:c r="N132" s="38" t="str">
        <x:v>Y</x:v>
      </x:c>
      <x:c r="O132" s="38" t="str">
        <x:v>N</x:v>
      </x:c>
      <x:c r="P132" s="38" t="str">
        <x:v>101</x:v>
      </x:c>
      <x:c r="Q132" s="38" t="str">
        <x:v>DT_1J22003</x:v>
      </x:c>
      <x:c r="R132" s="38" t="str">
        <x:v>소비자물가지수(2020＝100)</x:v>
      </x:c>
      <x:c r="S132" s="38" t="str">
        <x:v>T10</x:v>
      </x:c>
      <x:c r="T132" s="38" t="str">
        <x:v>N/A</x:v>
      </x:c>
      <x:c r="U132" s="38" t="str">
        <x:v>T</x:v>
      </x:c>
      <x:c r="V132" s="38" t="str">
        <x:v>소비자물가지수(총지수)</x:v>
      </x:c>
      <x:c r="W132" s="38" t="str">
        <x:v>전국</x:v>
      </x:c>
      <x:c r="X132" s="38" t="str">
        <x:v>Y</x:v>
      </x:c>
      <x:c r="Y132" s="38" t="str">
        <x:v>2023</x:v>
      </x:c>
      <x:c r="Z132" s="38" t="str">
        <x:v>2022</x:v>
      </x:c>
      <x:c r="AA132" s="41" t="str">
        <x:v>111.59</x:v>
      </x:c>
      <x:c r="AB132" s="41" t="str">
        <x:v>107.72</x:v>
      </x:c>
      <x:c r="AC132" s="41" t="str">
        <x:v>2020＝100</x:v>
      </x:c>
      <x:c r="AD132" s="41" t="str">
        <x:v>3.592647604901601</x:v>
      </x:c>
      <x:c r="AE132" s="39" t="str">
        <x:v>(MCP current − MCP previous) / |MCP previous| × 100</x:v>
      </x:c>
      <x:c r="AF132" s="39" t="str">
        <x:v>MCP_ACTUAL_VALUE_CONFIRMED</x:v>
      </x:c>
      <x:c r="AG132" s="39" t="str">
        <x:v>KOSIS_MCP_GET_DATA</x:v>
      </x:c>
      <x:c r="AH132" s="39" t="str">
        <x:v>https://kosis.kr/statHtml/statHtml.do?orgId=101&amp;tblId=DT_1J22003&amp;vw_cd=MT_ZTITLE&amp;list_id=&amp;seqNo=&amp;lang_mode=ko&amp;language=kor&amp;obj_var_id=&amp;itm_id=&amp;conn_path=MT_ZTITLE</x:v>
      </x:c>
      <x:c r="AI132" s="38" t="str">
        <x:v>61-120</x:v>
      </x:c>
      <x:c r="AJ132" s="38" t="n">
        <x:v>46239.35826148148</x:v>
      </x:c>
    </x:row>
    <x:row r="133">
      <x:c r="A133" s="38" t="str">
        <x:v>MCPG-132</x:v>
      </x:c>
      <x:c r="B133" s="38" t="str">
        <x:v>C03667</x:v>
      </x:c>
      <x:c r="C133" s="102" t="str">
        <x:v>A0463</x:v>
      </x:c>
      <x:c r="D133" s="39" t="str">
        <x:v>석유·채소값 뛰니...1월 물가 2.2% 상승, 5개월 만에 2%대 복귀</x:v>
      </x:c>
      <x:c r="E133" s="39" t="str">
        <x:v>2025-02-05</x:v>
      </x:c>
      <x:c r="F133" s="39" t="str">
        <x:v>https://www.chosun.com/economy/economy_general/2025/02/05/V2MN7UBTEZBJPG7WGGILZRXH6Y</x:v>
      </x:c>
      <x:c r="G133" s="39" t="str">
        <x:v>지난달 석유류 가격은 7.3% 증가했는데, 지난해 7월(8.4%) 이후 7개월 만에 최대 상승폭이다.</x:v>
      </x:c>
      <x:c r="H133" s="38" t="str">
        <x:v>CHANGE_RATE</x:v>
      </x:c>
      <x:c r="I133" s="40" t="str">
        <x:v>8.4</x:v>
      </x:c>
      <x:c r="J133" s="38" t="str">
        <x:v>['%', '월', '%', '개']</x:v>
      </x:c>
      <x:c r="K133" s="38" t="str">
        <x:v>REFUTES</x:v>
      </x:c>
      <x:c r="L133" s="38" t="str">
        <x:v>FULL_KOSIS_MCP</x:v>
      </x:c>
      <x:c r="M133" s="38" t="str">
        <x:v>Y</x:v>
      </x:c>
      <x:c r="N133" s="38" t="str">
        <x:v>Y</x:v>
      </x:c>
      <x:c r="O133" s="38" t="str">
        <x:v>N</x:v>
      </x:c>
      <x:c r="P133" s="38" t="str">
        <x:v>101</x:v>
      </x:c>
      <x:c r="Q133" s="38" t="str">
        <x:v>DT_1J22003</x:v>
      </x:c>
      <x:c r="R133" s="38" t="str">
        <x:v>소비자물가지수(2020＝100)</x:v>
      </x:c>
      <x:c r="S133" s="38" t="str">
        <x:v>T10</x:v>
      </x:c>
      <x:c r="T133" s="38" t="str">
        <x:v>N/A</x:v>
      </x:c>
      <x:c r="U133" s="38" t="str">
        <x:v>T</x:v>
      </x:c>
      <x:c r="V133" s="38" t="str">
        <x:v>소비자물가지수(총지수)</x:v>
      </x:c>
      <x:c r="W133" s="38" t="str">
        <x:v>전국</x:v>
      </x:c>
      <x:c r="X133" s="38" t="str">
        <x:v>M</x:v>
      </x:c>
      <x:c r="Y133" s="38" t="str">
        <x:v>202407</x:v>
      </x:c>
      <x:c r="Z133" s="38" t="str">
        <x:v>202406</x:v>
      </x:c>
      <x:c r="AA133" s="41" t="str">
        <x:v>114.13</x:v>
      </x:c>
      <x:c r="AB133" s="41" t="str">
        <x:v>113.84</x:v>
      </x:c>
      <x:c r="AC133" s="41" t="str">
        <x:v>2020＝100</x:v>
      </x:c>
      <x:c r="AD133" s="41" t="str">
        <x:v>0.2547434996486227</x:v>
      </x:c>
      <x:c r="AE133" s="39" t="str">
        <x:v>(MCP current − MCP previous) / |MCP previous| × 100</x:v>
      </x:c>
      <x:c r="AF133" s="39" t="str">
        <x:v>MCP_ACTUAL_VALUE_CONFIRMED</x:v>
      </x:c>
      <x:c r="AG133" s="39" t="str">
        <x:v>KOSIS_MCP_GET_DATA</x:v>
      </x:c>
      <x:c r="AH133" s="39" t="str">
        <x:v>https://kosis.kr/statHtml/statHtml.do?orgId=101&amp;tblId=DT_1J22003&amp;vw_cd=MT_ZTITLE&amp;list_id=&amp;seqNo=&amp;lang_mode=ko&amp;language=kor&amp;obj_var_id=&amp;itm_id=&amp;conn_path=MT_ZTITLE</x:v>
      </x:c>
      <x:c r="AI133" s="38" t="str">
        <x:v>61-120</x:v>
      </x:c>
      <x:c r="AJ133" s="38" t="n">
        <x:v>46239.35826148148</x:v>
      </x:c>
    </x:row>
    <x:row r="134">
      <x:c r="A134" s="38" t="str">
        <x:v>MCPG-133</x:v>
      </x:c>
      <x:c r="B134" s="38" t="str">
        <x:v>C03670</x:v>
      </x:c>
      <x:c r="C134" s="102" t="str">
        <x:v>A0463</x:v>
      </x:c>
      <x:c r="D134" s="39" t="str">
        <x:v>석유·채소값 뛰니...1월 물가 2.2% 상승, 5개월 만에 2%대 복귀</x:v>
      </x:c>
      <x:c r="E134" s="39" t="str">
        <x:v>2025-02-05</x:v>
      </x:c>
      <x:c r="F134" s="39" t="str">
        <x:v>https://www.chosun.com/economy/economy_general/2025/02/05/V2MN7UBTEZBJPG7WGGILZRXH6Y</x:v>
      </x:c>
      <x:c r="G134" s="39" t="str">
        <x:v>다만 파(-32%)와 오이(-11.6%) 등 가격이 떨어진 품목도 있었고, 사과(-2.2%)는 지난해 1~2월 가격이 워낙 크게 올랐던 기저효과로 가격 하락세를 보였다.</x:v>
      </x:c>
      <x:c r="H134" s="38" t="str">
        <x:v>CHANGE_RATE</x:v>
      </x:c>
      <x:c r="I134" s="40" t="str">
        <x:v>-2.2</x:v>
      </x:c>
      <x:c r="J134" s="38" t="str">
        <x:v>['%', '%', '%', '월']</x:v>
      </x:c>
      <x:c r="K134" s="38" t="str">
        <x:v>REFUTES</x:v>
      </x:c>
      <x:c r="L134" s="38" t="str">
        <x:v>FULL_KOSIS_MCP</x:v>
      </x:c>
      <x:c r="M134" s="38" t="str">
        <x:v>Y</x:v>
      </x:c>
      <x:c r="N134" s="38" t="str">
        <x:v>Y</x:v>
      </x:c>
      <x:c r="O134" s="38" t="str">
        <x:v>N</x:v>
      </x:c>
      <x:c r="P134" s="38" t="str">
        <x:v>101</x:v>
      </x:c>
      <x:c r="Q134" s="38" t="str">
        <x:v>DT_1J22003</x:v>
      </x:c>
      <x:c r="R134" s="38" t="str">
        <x:v>소비자물가지수(2020＝100)</x:v>
      </x:c>
      <x:c r="S134" s="38" t="str">
        <x:v>T10</x:v>
      </x:c>
      <x:c r="T134" s="38" t="str">
        <x:v>N/A</x:v>
      </x:c>
      <x:c r="U134" s="38" t="str">
        <x:v>T</x:v>
      </x:c>
      <x:c r="V134" s="38" t="str">
        <x:v>소비자물가지수(총지수)</x:v>
      </x:c>
      <x:c r="W134" s="38" t="str">
        <x:v>전국</x:v>
      </x:c>
      <x:c r="X134" s="38" t="str">
        <x:v>M</x:v>
      </x:c>
      <x:c r="Y134" s="38" t="str">
        <x:v>202402</x:v>
      </x:c>
      <x:c r="Z134" s="38" t="str">
        <x:v>202401</x:v>
      </x:c>
      <x:c r="AA134" s="41" t="str">
        <x:v>113.78</x:v>
      </x:c>
      <x:c r="AB134" s="41" t="str">
        <x:v>113.17</x:v>
      </x:c>
      <x:c r="AC134" s="41" t="str">
        <x:v>2020＝100</x:v>
      </x:c>
      <x:c r="AD134" s="41" t="str">
        <x:v>0.5390121056817173</x:v>
      </x:c>
      <x:c r="AE134" s="39" t="str">
        <x:v>(MCP current − MCP previous) / |MCP previous| × 100</x:v>
      </x:c>
      <x:c r="AF134" s="39" t="str">
        <x:v>MCP_ACTUAL_VALUE_CONFIRMED</x:v>
      </x:c>
      <x:c r="AG134" s="39" t="str">
        <x:v>KOSIS_MCP_GET_DATA</x:v>
      </x:c>
      <x:c r="AH134" s="39" t="str">
        <x:v>https://kosis.kr/statHtml/statHtml.do?orgId=101&amp;tblId=DT_1J22003&amp;vw_cd=MT_ZTITLE&amp;list_id=&amp;seqNo=&amp;lang_mode=ko&amp;language=kor&amp;obj_var_id=&amp;itm_id=&amp;conn_path=MT_ZTITLE</x:v>
      </x:c>
      <x:c r="AI134" s="38" t="str">
        <x:v>61-120</x:v>
      </x:c>
      <x:c r="AJ134" s="38" t="n">
        <x:v>46239.35826148148</x:v>
      </x:c>
    </x:row>
    <x:row r="135">
      <x:c r="A135" s="38" t="str">
        <x:v>MCPG-134</x:v>
      </x:c>
      <x:c r="B135" s="38" t="str">
        <x:v>C04323</x:v>
      </x:c>
      <x:c r="C135" s="102" t="str">
        <x:v>A0547</x:v>
      </x:c>
      <x:c r="D135" s="39" t="str">
        <x:v>미국 1월 소비자물가 3% 상승... 금리 인하 속도 늦춰질 듯</x:v>
      </x:c>
      <x:c r="E135" s="39" t="str">
        <x:v>2025-02-12</x:v>
      </x:c>
      <x:c r="F135" s="39" t="str">
        <x:v>https://www.chosun.com/economy/economy_general/2025/02/12/6KAQJONZLRB4HIL6R2ER3BJ5WQ</x:v>
      </x:c>
      <x:c r="G135" s="39" t="str">
        <x:v>미국 소비자물가가 3%대로 복귀한 것은 지난해 6월(3%) 이후 7개월 만이다.</x:v>
      </x:c>
      <x:c r="H135" s="38" t="str">
        <x:v>LEVEL</x:v>
      </x:c>
      <x:c r="I135" s="40" t="str">
        <x:v>3.0</x:v>
      </x:c>
      <x:c r="J135" s="38" t="str">
        <x:v>['%', '월', '%', '개']</x:v>
      </x:c>
      <x:c r="K135" s="38" t="str">
        <x:v>REFUTES</x:v>
      </x:c>
      <x:c r="L135" s="38" t="str">
        <x:v>FULL_KOSIS_MCP</x:v>
      </x:c>
      <x:c r="M135" s="38" t="str">
        <x:v>Y</x:v>
      </x:c>
      <x:c r="N135" s="38" t="str">
        <x:v>Y</x:v>
      </x:c>
      <x:c r="O135" s="38" t="str">
        <x:v>N</x:v>
      </x:c>
      <x:c r="P135" s="38" t="str">
        <x:v>101</x:v>
      </x:c>
      <x:c r="Q135" s="38" t="str">
        <x:v>DT_1J22003</x:v>
      </x:c>
      <x:c r="R135" s="38" t="str">
        <x:v>소비자물가지수(2020＝100)</x:v>
      </x:c>
      <x:c r="S135" s="38" t="str">
        <x:v>T10</x:v>
      </x:c>
      <x:c r="T135" s="38" t="str">
        <x:v>N/A</x:v>
      </x:c>
      <x:c r="U135" s="38" t="str">
        <x:v>T</x:v>
      </x:c>
      <x:c r="V135" s="38" t="str">
        <x:v>소비자물가지수(총지수)</x:v>
      </x:c>
      <x:c r="W135" s="38" t="str">
        <x:v>전국</x:v>
      </x:c>
      <x:c r="X135" s="38" t="str">
        <x:v>M</x:v>
      </x:c>
      <x:c r="Y135" s="38" t="str">
        <x:v>202406</x:v>
      </x:c>
      <x:c r="Z135" s="38" t="str">
        <x:v>N/A</x:v>
      </x:c>
      <x:c r="AA135" s="41" t="str">
        <x:v>113.84</x:v>
      </x:c>
      <x:c r="AB135" s="41" t="str">
        <x:v>N/A</x:v>
      </x:c>
      <x:c r="AC135" s="41" t="str">
        <x:v>2020＝100</x:v>
      </x:c>
      <x:c r="AD135" s="41" t="str">
        <x:v>113.84</x:v>
      </x:c>
      <x:c r="AE135" s="39" t="str">
        <x:v>MCP current value × source unit scale (1)</x:v>
      </x:c>
      <x:c r="AF135" s="39" t="str">
        <x:v>MCP_ACTUAL_VALUE_CONFIRMED</x:v>
      </x:c>
      <x:c r="AG135" s="39" t="str">
        <x:v>KOSIS_MCP_GET_DATA</x:v>
      </x:c>
      <x:c r="AH135" s="39" t="str">
        <x:v>https://kosis.kr/statHtml/statHtml.do?orgId=101&amp;tblId=DT_1J22003&amp;vw_cd=MT_ZTITLE&amp;list_id=&amp;seqNo=&amp;lang_mode=ko&amp;language=kor&amp;obj_var_id=&amp;itm_id=&amp;conn_path=MT_ZTITLE</x:v>
      </x:c>
      <x:c r="AI135" s="38" t="str">
        <x:v>61-120</x:v>
      </x:c>
      <x:c r="AJ135" s="38" t="n">
        <x:v>46239.35826148148</x:v>
      </x:c>
    </x:row>
    <x:row r="136">
      <x:c r="A136" s="38" t="str">
        <x:v>MCPG-135</x:v>
      </x:c>
      <x:c r="B136" s="38" t="str">
        <x:v>C07267</x:v>
      </x:c>
      <x:c r="C136" s="102" t="str">
        <x:v>A0917</x:v>
      </x:c>
      <x:c r="D136" s="39" t="str">
        <x:v>외식 물가는 치솟는데… 눈물나는 식당 술값 ‘역주행’</x:v>
      </x:c>
      <x:c r="E136" s="39" t="str">
        <x:v>2025-03-12</x:v>
      </x:c>
      <x:c r="F136" s="39" t="str">
        <x:v>https://www.chosun.com/economy/economy_general/2025/03/12/CJX2KI2XHBFVPIK3NBGMVKFXMA</x:v>
      </x:c>
      <x:c r="G136" s="39" t="str">
        <x:v>11일 통계청에 따르면, 지난 2월 식당에서 판매한 소주 가격인 외식 소주 물가는 전년 대비 1.6%, 외식 맥주 물가는 0.8% 내렸다.</x:v>
      </x:c>
      <x:c r="H136" s="38" t="str">
        <x:v>CHANGE_RATE</x:v>
      </x:c>
      <x:c r="I136" s="40" t="str">
        <x:v>0.8</x:v>
      </x:c>
      <x:c r="J136" s="38" t="str">
        <x:v>['일', '월', '%', '%']</x:v>
      </x:c>
      <x:c r="K136" s="38" t="str">
        <x:v>REFUTES</x:v>
      </x:c>
      <x:c r="L136" s="38" t="str">
        <x:v>FULL_KOSIS_MCP</x:v>
      </x:c>
      <x:c r="M136" s="38" t="str">
        <x:v>Y</x:v>
      </x:c>
      <x:c r="N136" s="38" t="str">
        <x:v>Y</x:v>
      </x:c>
      <x:c r="O136" s="38" t="str">
        <x:v>N</x:v>
      </x:c>
      <x:c r="P136" s="38" t="str">
        <x:v>101</x:v>
      </x:c>
      <x:c r="Q136" s="38" t="str">
        <x:v>DT_1J22003</x:v>
      </x:c>
      <x:c r="R136" s="38" t="str">
        <x:v>소비자물가지수(2020＝100)</x:v>
      </x:c>
      <x:c r="S136" s="38" t="str">
        <x:v>T10</x:v>
      </x:c>
      <x:c r="T136" s="38" t="str">
        <x:v>N/A</x:v>
      </x:c>
      <x:c r="U136" s="38" t="str">
        <x:v>T</x:v>
      </x:c>
      <x:c r="V136" s="38" t="str">
        <x:v>소비자물가지수(총지수)</x:v>
      </x:c>
      <x:c r="W136" s="38" t="str">
        <x:v>전국</x:v>
      </x:c>
      <x:c r="X136" s="38" t="str">
        <x:v>M</x:v>
      </x:c>
      <x:c r="Y136" s="38" t="str">
        <x:v>202402</x:v>
      </x:c>
      <x:c r="Z136" s="38" t="str">
        <x:v>202302</x:v>
      </x:c>
      <x:c r="AA136" s="41" t="str">
        <x:v>113.78</x:v>
      </x:c>
      <x:c r="AB136" s="41" t="str">
        <x:v>110.33</x:v>
      </x:c>
      <x:c r="AC136" s="41" t="str">
        <x:v>2020＝100</x:v>
      </x:c>
      <x:c r="AD136" s="41" t="str">
        <x:v>3.126982688298743</x:v>
      </x:c>
      <x:c r="AE136" s="39" t="str">
        <x:v>(MCP current − MCP previous) / |MCP previous| × 100</x:v>
      </x:c>
      <x:c r="AF136" s="39" t="str">
        <x:v>MCP_ACTUAL_VALUE_CONFIRMED</x:v>
      </x:c>
      <x:c r="AG136" s="39" t="str">
        <x:v>KOSIS_MCP_GET_DATA</x:v>
      </x:c>
      <x:c r="AH136" s="39" t="str">
        <x:v>https://kosis.kr/statHtml/statHtml.do?orgId=101&amp;tblId=DT_1J22003&amp;vw_cd=MT_ZTITLE&amp;list_id=&amp;seqNo=&amp;lang_mode=ko&amp;language=kor&amp;obj_var_id=&amp;itm_id=&amp;conn_path=MT_ZTITLE</x:v>
      </x:c>
      <x:c r="AI136" s="38" t="str">
        <x:v>61-120</x:v>
      </x:c>
      <x:c r="AJ136" s="38" t="n">
        <x:v>46239.35826148148</x:v>
      </x:c>
    </x:row>
    <x:row r="137">
      <x:c r="A137" s="38" t="str">
        <x:v>MCPG-136</x:v>
      </x:c>
      <x:c r="B137" s="38" t="str">
        <x:v>C07989</x:v>
      </x:c>
      <x:c r="C137" s="102" t="str">
        <x:v>A1026</x:v>
      </x:c>
      <x:c r="D137" s="39" t="str">
        <x:v>일본은행, 기준금리 0.5% 수준으로 동결</x:v>
      </x:c>
      <x:c r="E137" s="39" t="str">
        <x:v>2025-03-20</x:v>
      </x:c>
      <x:c r="F137" s="39" t="str">
        <x:v>https://www.chosun.com/economy/economy_general/2025/03/20/VGS3HQ4C7BHR3C4DQV4LZOSVZE</x:v>
      </x:c>
      <x:c r="G137" s="39" t="str">
        <x:v>1월 소비자물가는 전년보다 4% 올라, 2년 만의 최고치였다.</x:v>
      </x:c>
      <x:c r="H137" s="38" t="str">
        <x:v>LEVEL</x:v>
      </x:c>
      <x:c r="I137" s="40" t="str">
        <x:v>4.0</x:v>
      </x:c>
      <x:c r="J137" s="38" t="str">
        <x:v>['월', '%', '년']</x:v>
      </x:c>
      <x:c r="K137" s="38" t="str">
        <x:v>REFUTES</x:v>
      </x:c>
      <x:c r="L137" s="38" t="str">
        <x:v>FULL_KOSIS_MCP</x:v>
      </x:c>
      <x:c r="M137" s="38" t="str">
        <x:v>Y</x:v>
      </x:c>
      <x:c r="N137" s="38" t="str">
        <x:v>Y</x:v>
      </x:c>
      <x:c r="O137" s="38" t="str">
        <x:v>N</x:v>
      </x:c>
      <x:c r="P137" s="38" t="str">
        <x:v>101</x:v>
      </x:c>
      <x:c r="Q137" s="38" t="str">
        <x:v>DT_1J22003</x:v>
      </x:c>
      <x:c r="R137" s="38" t="str">
        <x:v>소비자물가지수(2020＝100)</x:v>
      </x:c>
      <x:c r="S137" s="38" t="str">
        <x:v>T10</x:v>
      </x:c>
      <x:c r="T137" s="38" t="str">
        <x:v>N/A</x:v>
      </x:c>
      <x:c r="U137" s="38" t="str">
        <x:v>T</x:v>
      </x:c>
      <x:c r="V137" s="38" t="str">
        <x:v>소비자물가지수(총지수)</x:v>
      </x:c>
      <x:c r="W137" s="38" t="str">
        <x:v>전국</x:v>
      </x:c>
      <x:c r="X137" s="38" t="str">
        <x:v>M</x:v>
      </x:c>
      <x:c r="Y137" s="38" t="str">
        <x:v>202401</x:v>
      </x:c>
      <x:c r="Z137" s="38" t="str">
        <x:v>N/A</x:v>
      </x:c>
      <x:c r="AA137" s="41" t="str">
        <x:v>113.17</x:v>
      </x:c>
      <x:c r="AB137" s="41" t="str">
        <x:v>N/A</x:v>
      </x:c>
      <x:c r="AC137" s="41" t="str">
        <x:v>2020＝100</x:v>
      </x:c>
      <x:c r="AD137" s="41" t="str">
        <x:v>113.17</x:v>
      </x:c>
      <x:c r="AE137" s="39" t="str">
        <x:v>MCP current value × source unit scale (1)</x:v>
      </x:c>
      <x:c r="AF137" s="39" t="str">
        <x:v>MCP_ACTUAL_VALUE_CONFIRMED</x:v>
      </x:c>
      <x:c r="AG137" s="39" t="str">
        <x:v>KOSIS_MCP_GET_DATA</x:v>
      </x:c>
      <x:c r="AH137" s="39" t="str">
        <x:v>https://kosis.kr/statHtml/statHtml.do?orgId=101&amp;tblId=DT_1J22003&amp;vw_cd=MT_ZTITLE&amp;list_id=&amp;seqNo=&amp;lang_mode=ko&amp;language=kor&amp;obj_var_id=&amp;itm_id=&amp;conn_path=MT_ZTITLE</x:v>
      </x:c>
      <x:c r="AI137" s="38" t="str">
        <x:v>61-120</x:v>
      </x:c>
      <x:c r="AJ137" s="38" t="n">
        <x:v>46239.35826148148</x:v>
      </x:c>
    </x:row>
    <x:row r="138">
      <x:c r="A138" s="38" t="str">
        <x:v>MCPG-137</x:v>
      </x:c>
      <x:c r="B138" s="38" t="str">
        <x:v>C09331</x:v>
      </x:c>
      <x:c r="C138" s="102" t="str">
        <x:v>A1204</x:v>
      </x:c>
      <x:c r="D138" s="39" t="str">
        <x:v>최상목 부총리 “상반기 전기·가스·철도 요금 동결”</x:v>
      </x:c>
      <x:c r="E138" s="39" t="str">
        <x:v>2025-04-03</x:v>
      </x:c>
      <x:c r="F138" s="39" t="str">
        <x:v>https://www.chosun.com/economy/economy_general/2025/04/03/NMEO4455DJAXHP6FKCGHF7CBQM</x:v>
      </x:c>
      <x:c r="G138" s="39" t="str">
        <x:v>지난달 가공식품 물가는 전년 대비 3.1% 올랐는데, 이 같은 상승 폭은 2023년 12월(4.2%) 이후 최대치다.</x:v>
      </x:c>
      <x:c r="H138" s="38" t="str">
        <x:v>CHANGE_RATE</x:v>
      </x:c>
      <x:c r="I138" s="40" t="str">
        <x:v>4.2</x:v>
      </x:c>
      <x:c r="J138" s="38" t="str">
        <x:v>['%', '년', '월', '%']</x:v>
      </x:c>
      <x:c r="K138" s="38" t="str">
        <x:v>REFUTES</x:v>
      </x:c>
      <x:c r="L138" s="38" t="str">
        <x:v>FULL_KOSIS_MCP</x:v>
      </x:c>
      <x:c r="M138" s="38" t="str">
        <x:v>Y</x:v>
      </x:c>
      <x:c r="N138" s="38" t="str">
        <x:v>Y</x:v>
      </x:c>
      <x:c r="O138" s="38" t="str">
        <x:v>N</x:v>
      </x:c>
      <x:c r="P138" s="38" t="str">
        <x:v>101</x:v>
      </x:c>
      <x:c r="Q138" s="38" t="str">
        <x:v>DT_1J22003</x:v>
      </x:c>
      <x:c r="R138" s="38" t="str">
        <x:v>소비자물가지수(2020＝100)</x:v>
      </x:c>
      <x:c r="S138" s="38" t="str">
        <x:v>T10</x:v>
      </x:c>
      <x:c r="T138" s="38" t="str">
        <x:v>N/A</x:v>
      </x:c>
      <x:c r="U138" s="38" t="str">
        <x:v>T</x:v>
      </x:c>
      <x:c r="V138" s="38" t="str">
        <x:v>소비자물가지수(총지수)</x:v>
      </x:c>
      <x:c r="W138" s="38" t="str">
        <x:v>전국</x:v>
      </x:c>
      <x:c r="X138" s="38" t="str">
        <x:v>M</x:v>
      </x:c>
      <x:c r="Y138" s="38" t="str">
        <x:v>202412</x:v>
      </x:c>
      <x:c r="Z138" s="38" t="str">
        <x:v>202312</x:v>
      </x:c>
      <x:c r="AA138" s="41" t="str">
        <x:v>114.91</x:v>
      </x:c>
      <x:c r="AB138" s="41" t="str">
        <x:v>112.73</x:v>
      </x:c>
      <x:c r="AC138" s="41" t="str">
        <x:v>2020＝100</x:v>
      </x:c>
      <x:c r="AD138" s="41" t="str">
        <x:v>1.9338241816730175</x:v>
      </x:c>
      <x:c r="AE138" s="39" t="str">
        <x:v>(MCP current − MCP previous) / |MCP previous| × 100</x:v>
      </x:c>
      <x:c r="AF138" s="39" t="str">
        <x:v>MCP_ACTUAL_VALUE_CONFIRMED</x:v>
      </x:c>
      <x:c r="AG138" s="39" t="str">
        <x:v>KOSIS_MCP_GET_DATA</x:v>
      </x:c>
      <x:c r="AH138" s="39" t="str">
        <x:v>https://kosis.kr/statHtml/statHtml.do?orgId=101&amp;tblId=DT_1J22003&amp;vw_cd=MT_ZTITLE&amp;list_id=&amp;seqNo=&amp;lang_mode=ko&amp;language=kor&amp;obj_var_id=&amp;itm_id=&amp;conn_path=MT_ZTITLE</x:v>
      </x:c>
      <x:c r="AI138" s="38" t="str">
        <x:v>61-120</x:v>
      </x:c>
      <x:c r="AJ138" s="38" t="n">
        <x:v>46239.35826148148</x:v>
      </x:c>
    </x:row>
    <x:row r="139">
      <x:c r="A139" s="38" t="str">
        <x:v>MCPG-138</x:v>
      </x:c>
      <x:c r="B139" s="38" t="str">
        <x:v>C10977</x:v>
      </x:c>
      <x:c r="C139" s="102" t="str">
        <x:v>A1411</x:v>
      </x:c>
      <x:c r="D139" s="39" t="str">
        <x:v>日과 관세협상에서 방위비 불쑥 꺼낸 美</x:v>
      </x:c>
      <x:c r="E139" s="39" t="str">
        <x:v>2025-04-19</x:v>
      </x:c>
      <x:c r="F139" s="39" t="str">
        <x:v>https://www.chosun.com/economy/industry-company/2025/04/19/FLZI6R3MHRGEXLOTI4J6JAO7BE</x:v>
      </x:c>
      <x:c r="G139" s="39" t="str">
        <x:v>일본은 미국과 2022~2026년 연간 평균 2210억엔(약 2조2000억원)을 현물을 포함해 주일 미군에 주기로 했고, 우리 외교부는 미 국무부와 지난해 10월, 2026년 분담금 총액을 올해 대비 8.3% 늘어난 1조5192억원을 현금으로 지급하기로 합의하고 이후 물가에 따라 인상하기로 했다.</x:v>
      </x:c>
      <x:c r="H139" s="38" t="str">
        <x:v>LEVEL</x:v>
      </x:c>
      <x:c r="I139" s="40" t="str">
        <x:v>5192.0</x:v>
      </x:c>
      <x:c r="J139" s="38" t="str">
        <x:v>['년', '억원', '월', '년', '%', '억원']</x:v>
      </x:c>
      <x:c r="K139" s="38" t="str">
        <x:v>REFUTES</x:v>
      </x:c>
      <x:c r="L139" s="38" t="str">
        <x:v>FULL_KOSIS_MCP</x:v>
      </x:c>
      <x:c r="M139" s="38" t="str">
        <x:v>Y</x:v>
      </x:c>
      <x:c r="N139" s="38" t="str">
        <x:v>Y</x:v>
      </x:c>
      <x:c r="O139" s="38" t="str">
        <x:v>N</x:v>
      </x:c>
      <x:c r="P139" s="38" t="str">
        <x:v>101</x:v>
      </x:c>
      <x:c r="Q139" s="38" t="str">
        <x:v>DT_1J22003</x:v>
      </x:c>
      <x:c r="R139" s="38" t="str">
        <x:v>소비자물가지수(2020＝100)</x:v>
      </x:c>
      <x:c r="S139" s="38" t="str">
        <x:v>T10</x:v>
      </x:c>
      <x:c r="T139" s="38" t="str">
        <x:v>N/A</x:v>
      </x:c>
      <x:c r="U139" s="38" t="str">
        <x:v>T</x:v>
      </x:c>
      <x:c r="V139" s="38" t="str">
        <x:v>소비자물가지수(총지수)</x:v>
      </x:c>
      <x:c r="W139" s="38" t="str">
        <x:v>전국</x:v>
      </x:c>
      <x:c r="X139" s="38" t="str">
        <x:v>M</x:v>
      </x:c>
      <x:c r="Y139" s="38" t="str">
        <x:v>202410</x:v>
      </x:c>
      <x:c r="Z139" s="38" t="str">
        <x:v>N/A</x:v>
      </x:c>
      <x:c r="AA139" s="41" t="str">
        <x:v>114.69</x:v>
      </x:c>
      <x:c r="AB139" s="41" t="str">
        <x:v>N/A</x:v>
      </x:c>
      <x:c r="AC139" s="41" t="str">
        <x:v>2020＝100</x:v>
      </x:c>
      <x:c r="AD139" s="41" t="str">
        <x:v>114.69</x:v>
      </x:c>
      <x:c r="AE139" s="39" t="str">
        <x:v>MCP current value × source unit scale (1)</x:v>
      </x:c>
      <x:c r="AF139" s="39" t="str">
        <x:v>MCP_ACTUAL_VALUE_CONFIRMED</x:v>
      </x:c>
      <x:c r="AG139" s="39" t="str">
        <x:v>KOSIS_MCP_GET_DATA</x:v>
      </x:c>
      <x:c r="AH139" s="39" t="str">
        <x:v>https://kosis.kr/statHtml/statHtml.do?orgId=101&amp;tblId=DT_1J22003&amp;vw_cd=MT_ZTITLE&amp;list_id=&amp;seqNo=&amp;lang_mode=ko&amp;language=kor&amp;obj_var_id=&amp;itm_id=&amp;conn_path=MT_ZTITLE</x:v>
      </x:c>
      <x:c r="AI139" s="38" t="str">
        <x:v>61-120</x:v>
      </x:c>
      <x:c r="AJ139" s="38" t="n">
        <x:v>46239.35826148148</x:v>
      </x:c>
    </x:row>
    <x:row r="140">
      <x:c r="A140" s="38" t="str">
        <x:v>MCPG-139</x:v>
      </x:c>
      <x:c r="B140" s="38" t="str">
        <x:v>C12850</x:v>
      </x:c>
      <x:c r="C140" s="102" t="str">
        <x:v>A1683</x:v>
      </x:c>
      <x:c r="D140" s="39" t="str">
        <x:v>中 4월 소비자물가 작년比 0.1% 내려...3개월 연속 하락세</x:v>
      </x:c>
      <x:c r="E140" s="39" t="str">
        <x:v>2025-05-10</x:v>
      </x:c>
      <x:c r="F140" s="39" t="str">
        <x:v>https://www.chosun.com/economy/economy_general/2025/05/10/RY6HA23AKRAQ5ESOCKE4275KFQ</x:v>
      </x:c>
      <x:c r="G140" s="39" t="str">
        <x:v>1 중국의 4월 소비자물가지수(CPI)가 지난해 동월 대비 0.1% 내려갔다.</x:v>
      </x:c>
      <x:c r="H140" s="38" t="str">
        <x:v>LEVEL</x:v>
      </x:c>
      <x:c r="I140" s="40" t="str">
        <x:v>0.1</x:v>
      </x:c>
      <x:c r="J140" s="38" t="str">
        <x:v>['월', '%']</x:v>
      </x:c>
      <x:c r="K140" s="38" t="str">
        <x:v>REFUTES</x:v>
      </x:c>
      <x:c r="L140" s="38" t="str">
        <x:v>FULL_KOSIS_MCP</x:v>
      </x:c>
      <x:c r="M140" s="38" t="str">
        <x:v>Y</x:v>
      </x:c>
      <x:c r="N140" s="38" t="str">
        <x:v>Y</x:v>
      </x:c>
      <x:c r="O140" s="38" t="str">
        <x:v>N</x:v>
      </x:c>
      <x:c r="P140" s="38" t="str">
        <x:v>101</x:v>
      </x:c>
      <x:c r="Q140" s="38" t="str">
        <x:v>DT_1J22003</x:v>
      </x:c>
      <x:c r="R140" s="38" t="str">
        <x:v>소비자물가지수(2020＝100)</x:v>
      </x:c>
      <x:c r="S140" s="38" t="str">
        <x:v>T10</x:v>
      </x:c>
      <x:c r="T140" s="38" t="str">
        <x:v>N/A</x:v>
      </x:c>
      <x:c r="U140" s="38" t="str">
        <x:v>T</x:v>
      </x:c>
      <x:c r="V140" s="38" t="str">
        <x:v>소비자물가지수(총지수)</x:v>
      </x:c>
      <x:c r="W140" s="38" t="str">
        <x:v>전국</x:v>
      </x:c>
      <x:c r="X140" s="38" t="str">
        <x:v>M</x:v>
      </x:c>
      <x:c r="Y140" s="38" t="str">
        <x:v>202404</x:v>
      </x:c>
      <x:c r="Z140" s="38" t="str">
        <x:v>N/A</x:v>
      </x:c>
      <x:c r="AA140" s="41" t="str">
        <x:v>114.01</x:v>
      </x:c>
      <x:c r="AB140" s="41" t="str">
        <x:v>N/A</x:v>
      </x:c>
      <x:c r="AC140" s="41" t="str">
        <x:v>2020＝100</x:v>
      </x:c>
      <x:c r="AD140" s="41" t="str">
        <x:v>114.01</x:v>
      </x:c>
      <x:c r="AE140" s="39" t="str">
        <x:v>MCP current value × source unit scale (1)</x:v>
      </x:c>
      <x:c r="AF140" s="39" t="str">
        <x:v>MCP_ACTUAL_VALUE_CONFIRMED</x:v>
      </x:c>
      <x:c r="AG140" s="39" t="str">
        <x:v>KOSIS_MCP_GET_DATA</x:v>
      </x:c>
      <x:c r="AH140" s="39" t="str">
        <x:v>https://kosis.kr/statHtml/statHtml.do?orgId=101&amp;tblId=DT_1J22003&amp;vw_cd=MT_ZTITLE&amp;list_id=&amp;seqNo=&amp;lang_mode=ko&amp;language=kor&amp;obj_var_id=&amp;itm_id=&amp;conn_path=MT_ZTITLE</x:v>
      </x:c>
      <x:c r="AI140" s="38" t="str">
        <x:v>61-120</x:v>
      </x:c>
      <x:c r="AJ140" s="38" t="n">
        <x:v>46239.35826148148</x:v>
      </x:c>
    </x:row>
    <x:row r="141">
      <x:c r="A141" s="38" t="str">
        <x:v>MCPG-140</x:v>
      </x:c>
      <x:c r="B141" s="38" t="str">
        <x:v>C14083</x:v>
      </x:c>
      <x:c r="C141" s="102" t="str">
        <x:v>A1853</x:v>
      </x:c>
      <x:c r="D141" s="39" t="str">
        <x:v>국제 유가 하락에 4월 생산자물가 전월보다 하락</x:v>
      </x:c>
      <x:c r="E141" s="39" t="str">
        <x:v>2025-05-23</x:v>
      </x:c>
      <x:c r="F141" s="39" t="str">
        <x:v>https://www.chosun.com/economy/economy_general/2025/05/23/EMZ6BBQZAND4DKNQF5RMMDSQEM</x:v>
      </x:c>
      <x:c r="G141" s="39" t="str">
        <x:v>이문희 한은 물가통계팀장은 “5월 들어 중순까지 평균 유가가 전월보다 6% 정도 하락한 만큼, 이런 추세가 이어지면 5월 생산자물가에도 하방 압력으로 작용할 수 있을 것”이라고 했다.</x:v>
      </x:c>
      <x:c r="H141" s="38" t="str">
        <x:v>CHANGE_RATE</x:v>
      </x:c>
      <x:c r="I141" s="40" t="str">
        <x:v>6.0</x:v>
      </x:c>
      <x:c r="J141" s="38" t="str">
        <x:v>['월', '%', '월']</x:v>
      </x:c>
      <x:c r="K141" s="38" t="str">
        <x:v>REFUTES</x:v>
      </x:c>
      <x:c r="L141" s="38" t="str">
        <x:v>FULL_KOSIS_MCP</x:v>
      </x:c>
      <x:c r="M141" s="38" t="str">
        <x:v>Y</x:v>
      </x:c>
      <x:c r="N141" s="38" t="str">
        <x:v>Y</x:v>
      </x:c>
      <x:c r="O141" s="38" t="str">
        <x:v>N</x:v>
      </x:c>
      <x:c r="P141" s="38" t="str">
        <x:v>101</x:v>
      </x:c>
      <x:c r="Q141" s="38" t="str">
        <x:v>DT_1J22003</x:v>
      </x:c>
      <x:c r="R141" s="38" t="str">
        <x:v>소비자물가지수(2020＝100)</x:v>
      </x:c>
      <x:c r="S141" s="38" t="str">
        <x:v>T10</x:v>
      </x:c>
      <x:c r="T141" s="38" t="str">
        <x:v>N/A</x:v>
      </x:c>
      <x:c r="U141" s="38" t="str">
        <x:v>T</x:v>
      </x:c>
      <x:c r="V141" s="38" t="str">
        <x:v>소비자물가지수(총지수)</x:v>
      </x:c>
      <x:c r="W141" s="38" t="str">
        <x:v>전국</x:v>
      </x:c>
      <x:c r="X141" s="38" t="str">
        <x:v>M</x:v>
      </x:c>
      <x:c r="Y141" s="38" t="str">
        <x:v>202505</x:v>
      </x:c>
      <x:c r="Z141" s="38" t="str">
        <x:v>202504</x:v>
      </x:c>
      <x:c r="AA141" s="41" t="str">
        <x:v>116.27</x:v>
      </x:c>
      <x:c r="AB141" s="41" t="str">
        <x:v>116.38</x:v>
      </x:c>
      <x:c r="AC141" s="41" t="str">
        <x:v>2020＝100</x:v>
      </x:c>
      <x:c r="AD141" s="41" t="str">
        <x:v>-0.09451795841209781</x:v>
      </x:c>
      <x:c r="AE141" s="39" t="str">
        <x:v>(MCP current − MCP previous) / |MCP previous| × 100</x:v>
      </x:c>
      <x:c r="AF141" s="39" t="str">
        <x:v>MCP_ACTUAL_VALUE_CONFIRMED</x:v>
      </x:c>
      <x:c r="AG141" s="39" t="str">
        <x:v>KOSIS_MCP_GET_DATA</x:v>
      </x:c>
      <x:c r="AH141" s="39" t="str">
        <x:v>https://kosis.kr/statHtml/statHtml.do?orgId=101&amp;tblId=DT_1J22003&amp;vw_cd=MT_ZTITLE&amp;list_id=&amp;seqNo=&amp;lang_mode=ko&amp;language=kor&amp;obj_var_id=&amp;itm_id=&amp;conn_path=MT_ZTITLE</x:v>
      </x:c>
      <x:c r="AI141" s="38" t="str">
        <x:v>61-120</x:v>
      </x:c>
      <x:c r="AJ141" s="38" t="n">
        <x:v>46239.35826159722</x:v>
      </x:c>
    </x:row>
    <x:row r="142">
      <x:c r="A142" s="38" t="str">
        <x:v>MCPG-141</x:v>
      </x:c>
      <x:c r="B142" s="38" t="str">
        <x:v>C16486</x:v>
      </x:c>
      <x:c r="C142" s="102" t="str">
        <x:v>A2167</x:v>
      </x:c>
      <x:c r="D142" s="39" t="str">
        <x:v>사먹기도 해먹기도 겁나는 물가, OECD 2위</x:v>
      </x:c>
      <x:c r="E142" s="39" t="str">
        <x:v>2025-06-16</x:v>
      </x:c>
      <x:c r="F142" s="39" t="str">
        <x:v>https://www.chosun.com/economy/economy_general/2025/06/16/V5I4E7K4IFHELJ3BU7CFB3VPHU</x:v>
      </x:c>
      <x:c r="G142" s="39" t="str">
        <x:v>aT(한국농수산식품유통공사) 농산물 유통 실태 조사에 따르면, 농산물 구매 가격에서 유통 비용이 차지하는 비율을 의미하는 ‘유통 비용률’은 1999년 39%에서 2022년 49.7%까지 높아졌다.</x:v>
      </x:c>
      <x:c r="H142" s="38" t="str">
        <x:v>LEVEL</x:v>
      </x:c>
      <x:c r="I142" s="40" t="str">
        <x:v>49.7</x:v>
      </x:c>
      <x:c r="J142" s="38" t="str">
        <x:v>['년', '%', '년', '%']</x:v>
      </x:c>
      <x:c r="K142" s="38" t="str">
        <x:v>REFUTES</x:v>
      </x:c>
      <x:c r="L142" s="38" t="str">
        <x:v>FULL_KOSIS_MCP</x:v>
      </x:c>
      <x:c r="M142" s="38" t="str">
        <x:v>Y</x:v>
      </x:c>
      <x:c r="N142" s="38" t="str">
        <x:v>Y</x:v>
      </x:c>
      <x:c r="O142" s="38" t="str">
        <x:v>N</x:v>
      </x:c>
      <x:c r="P142" s="38" t="str">
        <x:v>101</x:v>
      </x:c>
      <x:c r="Q142" s="38" t="str">
        <x:v>DT_1J22003</x:v>
      </x:c>
      <x:c r="R142" s="38" t="str">
        <x:v>소비자물가지수(2020＝100)</x:v>
      </x:c>
      <x:c r="S142" s="38" t="str">
        <x:v>T10</x:v>
      </x:c>
      <x:c r="T142" s="38" t="str">
        <x:v>N/A</x:v>
      </x:c>
      <x:c r="U142" s="38" t="str">
        <x:v>T</x:v>
      </x:c>
      <x:c r="V142" s="38" t="str">
        <x:v>소비자물가지수(총지수)</x:v>
      </x:c>
      <x:c r="W142" s="38" t="str">
        <x:v>전국</x:v>
      </x:c>
      <x:c r="X142" s="38" t="str">
        <x:v>Y</x:v>
      </x:c>
      <x:c r="Y142" s="38" t="str">
        <x:v>2022</x:v>
      </x:c>
      <x:c r="Z142" s="38" t="str">
        <x:v>N/A</x:v>
      </x:c>
      <x:c r="AA142" s="41" t="str">
        <x:v>107.72</x:v>
      </x:c>
      <x:c r="AB142" s="41" t="str">
        <x:v>N/A</x:v>
      </x:c>
      <x:c r="AC142" s="41" t="str">
        <x:v>2020＝100</x:v>
      </x:c>
      <x:c r="AD142" s="41" t="str">
        <x:v>107.72</x:v>
      </x:c>
      <x:c r="AE142" s="39" t="str">
        <x:v>MCP current value × source unit scale (1)</x:v>
      </x:c>
      <x:c r="AF142" s="39" t="str">
        <x:v>MCP_ACTUAL_VALUE_CONFIRMED</x:v>
      </x:c>
      <x:c r="AG142" s="39" t="str">
        <x:v>KOSIS_MCP_GET_DATA</x:v>
      </x:c>
      <x:c r="AH142" s="39" t="str">
        <x:v>https://kosis.kr/statHtml/statHtml.do?orgId=101&amp;tblId=DT_1J22003&amp;vw_cd=MT_ZTITLE&amp;list_id=&amp;seqNo=&amp;lang_mode=ko&amp;language=kor&amp;obj_var_id=&amp;itm_id=&amp;conn_path=MT_ZTITLE</x:v>
      </x:c>
      <x:c r="AI142" s="38" t="str">
        <x:v>61-120</x:v>
      </x:c>
      <x:c r="AJ142" s="38" t="n">
        <x:v>46239.35826159722</x:v>
      </x:c>
    </x:row>
    <x:row r="143">
      <x:c r="A143" s="38" t="str">
        <x:v>MCPG-142</x:v>
      </x:c>
      <x:c r="B143" s="38" t="str">
        <x:v>C18105</x:v>
      </x:c>
      <x:c r="C143" s="102" t="str">
        <x:v>A2375</x:v>
      </x:c>
      <x:c r="D143" s="39" t="str">
        <x:v>가공식품 물가 4.6%↑ 새 정부 출범에도 고공행진</x:v>
      </x:c>
      <x:c r="E143" s="39" t="str">
        <x:v>2025-07-02</x:v>
      </x:c>
      <x:c r="F143" s="39" t="str">
        <x:v>https://www.chosun.com/economy/economy_general/2025/07/02/XGWZFYDANBHY5F4B2ZSPFDBPCQ</x:v>
      </x:c>
      <x:c r="G143" s="39" t="str">
        <x:v>수산물 가격은 7.4% 상승해 2023년 3월(7.4%) 이후 2년 3개월 만에 가장 높은 오름폭을 보였다.</x:v>
      </x:c>
      <x:c r="H143" s="38" t="str">
        <x:v>CHANGE_RATE</x:v>
      </x:c>
      <x:c r="I143" s="40" t="str">
        <x:v>7.4</x:v>
      </x:c>
      <x:c r="J143" s="38" t="str">
        <x:v>['%', '년', '월', '%', '년', '개']</x:v>
      </x:c>
      <x:c r="K143" s="38" t="str">
        <x:v>REFUTES</x:v>
      </x:c>
      <x:c r="L143" s="38" t="str">
        <x:v>FULL_KOSIS_MCP</x:v>
      </x:c>
      <x:c r="M143" s="38" t="str">
        <x:v>Y</x:v>
      </x:c>
      <x:c r="N143" s="38" t="str">
        <x:v>Y</x:v>
      </x:c>
      <x:c r="O143" s="38" t="str">
        <x:v>N</x:v>
      </x:c>
      <x:c r="P143" s="38" t="str">
        <x:v>101</x:v>
      </x:c>
      <x:c r="Q143" s="38" t="str">
        <x:v>DT_1J22003</x:v>
      </x:c>
      <x:c r="R143" s="38" t="str">
        <x:v>소비자물가지수(2020＝100)</x:v>
      </x:c>
      <x:c r="S143" s="38" t="str">
        <x:v>T10</x:v>
      </x:c>
      <x:c r="T143" s="38" t="str">
        <x:v>N/A</x:v>
      </x:c>
      <x:c r="U143" s="38" t="str">
        <x:v>T</x:v>
      </x:c>
      <x:c r="V143" s="38" t="str">
        <x:v>소비자물가지수(총지수)</x:v>
      </x:c>
      <x:c r="W143" s="38" t="str">
        <x:v>전국</x:v>
      </x:c>
      <x:c r="X143" s="38" t="str">
        <x:v>M</x:v>
      </x:c>
      <x:c r="Y143" s="38" t="str">
        <x:v>202303</x:v>
      </x:c>
      <x:c r="Z143" s="38" t="str">
        <x:v>202302</x:v>
      </x:c>
      <x:c r="AA143" s="41" t="str">
        <x:v>110.52</x:v>
      </x:c>
      <x:c r="AB143" s="41" t="str">
        <x:v>110.33</x:v>
      </x:c>
      <x:c r="AC143" s="41" t="str">
        <x:v>2020＝100</x:v>
      </x:c>
      <x:c r="AD143" s="41" t="str">
        <x:v>0.1722106408048561</x:v>
      </x:c>
      <x:c r="AE143" s="39" t="str">
        <x:v>(MCP current − MCP previous) / |MCP previous| × 100</x:v>
      </x:c>
      <x:c r="AF143" s="39" t="str">
        <x:v>MCP_ACTUAL_VALUE_CONFIRMED</x:v>
      </x:c>
      <x:c r="AG143" s="39" t="str">
        <x:v>KOSIS_MCP_GET_DATA</x:v>
      </x:c>
      <x:c r="AH143" s="39" t="str">
        <x:v>https://kosis.kr/statHtml/statHtml.do?orgId=101&amp;tblId=DT_1J22003&amp;vw_cd=MT_ZTITLE&amp;list_id=&amp;seqNo=&amp;lang_mode=ko&amp;language=kor&amp;obj_var_id=&amp;itm_id=&amp;conn_path=MT_ZTITLE</x:v>
      </x:c>
      <x:c r="AI143" s="38" t="str">
        <x:v>121-160</x:v>
      </x:c>
      <x:c r="AJ143" s="38" t="n">
        <x:v>46239.364639444444</x:v>
      </x:c>
    </x:row>
    <x:row r="144">
      <x:c r="A144" s="38" t="str">
        <x:v>MCPG-143</x:v>
      </x:c>
      <x:c r="B144" s="38" t="str">
        <x:v>C19744</x:v>
      </x:c>
      <x:c r="C144" s="102" t="str">
        <x:v>A2605</x:v>
      </x:c>
      <x:c r="D144" s="39" t="str">
        <x:v>통신료·외식 할인 종료… 생활물가, 전월比 1%P 상승</x:v>
      </x:c>
      <x:c r="E144" s="39" t="str">
        <x:v>2025-10-02</x:v>
      </x:c>
      <x:c r="F144" s="39" t="str">
        <x:v>https://biz.chosun.com/policy/policy_sub/2025/10/02/RYCCY5GNCFCR5DLWADJPTZI4RI/</x:v>
      </x:c>
      <x:c r="G144" s="39" t="str">
        <x:v>작년 9월 폭염으로 인한 공급이 부족했던 채소류는 올해 9월엔 안정적으로 공급되면서 물가가 12.3% 내렸다.</x:v>
      </x:c>
      <x:c r="H144" s="38" t="str">
        <x:v>CHANGE_RATE</x:v>
      </x:c>
      <x:c r="I144" s="40" t="str">
        <x:v>12.3</x:v>
      </x:c>
      <x:c r="J144" s="38" t="str">
        <x:v>['월', '월', '%']</x:v>
      </x:c>
      <x:c r="K144" s="38" t="str">
        <x:v>REFUTES</x:v>
      </x:c>
      <x:c r="L144" s="38" t="str">
        <x:v>FULL_KOSIS_MCP</x:v>
      </x:c>
      <x:c r="M144" s="38" t="str">
        <x:v>Y</x:v>
      </x:c>
      <x:c r="N144" s="38" t="str">
        <x:v>Y</x:v>
      </x:c>
      <x:c r="O144" s="38" t="str">
        <x:v>N</x:v>
      </x:c>
      <x:c r="P144" s="38" t="str">
        <x:v>101</x:v>
      </x:c>
      <x:c r="Q144" s="38" t="str">
        <x:v>DT_1J22003</x:v>
      </x:c>
      <x:c r="R144" s="38" t="str">
        <x:v>소비자물가지수(2020＝100)</x:v>
      </x:c>
      <x:c r="S144" s="38" t="str">
        <x:v>T10</x:v>
      </x:c>
      <x:c r="T144" s="38" t="str">
        <x:v>N/A</x:v>
      </x:c>
      <x:c r="U144" s="38" t="str">
        <x:v>T</x:v>
      </x:c>
      <x:c r="V144" s="38" t="str">
        <x:v>소비자물가지수(총지수)</x:v>
      </x:c>
      <x:c r="W144" s="38" t="str">
        <x:v>전국</x:v>
      </x:c>
      <x:c r="X144" s="38" t="str">
        <x:v>M</x:v>
      </x:c>
      <x:c r="Y144" s="38" t="str">
        <x:v>202409</x:v>
      </x:c>
      <x:c r="Z144" s="38" t="str">
        <x:v>202408</x:v>
      </x:c>
      <x:c r="AA144" s="41" t="str">
        <x:v>114.65</x:v>
      </x:c>
      <x:c r="AB144" s="41" t="str">
        <x:v>114.54</x:v>
      </x:c>
      <x:c r="AC144" s="41" t="str">
        <x:v>2020＝100</x:v>
      </x:c>
      <x:c r="AD144" s="41" t="str">
        <x:v>0.09603631918980218</x:v>
      </x:c>
      <x:c r="AE144" s="39" t="str">
        <x:v>(MCP current − MCP previous) / |MCP previous| × 100</x:v>
      </x:c>
      <x:c r="AF144" s="39" t="str">
        <x:v>MCP_ACTUAL_VALUE_CONFIRMED</x:v>
      </x:c>
      <x:c r="AG144" s="39" t="str">
        <x:v>KOSIS_MCP_GET_DATA</x:v>
      </x:c>
      <x:c r="AH144" s="39" t="str">
        <x:v>https://kosis.kr/statHtml/statHtml.do?orgId=101&amp;tblId=DT_1J22003&amp;vw_cd=MT_ZTITLE&amp;list_id=&amp;seqNo=&amp;lang_mode=ko&amp;language=kor&amp;obj_var_id=&amp;itm_id=&amp;conn_path=MT_ZTITLE</x:v>
      </x:c>
      <x:c r="AI144" s="38" t="str">
        <x:v>121-160</x:v>
      </x:c>
      <x:c r="AJ144" s="38" t="n">
        <x:v>46239.364639444444</x:v>
      </x:c>
    </x:row>
    <x:row r="145">
      <x:c r="A145" s="38" t="str">
        <x:v>MCPG-144</x:v>
      </x:c>
      <x:c r="B145" s="38" t="str">
        <x:v>C20319</x:v>
      </x:c>
      <x:c r="C145" s="102" t="str">
        <x:v>A2688</x:v>
      </x:c>
      <x:c r="D145" s="39" t="str">
        <x:v>무서운 물가 버거운 월세</x:v>
      </x:c>
      <x:c r="E145" s="39" t="str">
        <x:v>2025-11-05</x:v>
      </x:c>
      <x:c r="F145" s="39" t="str">
        <x:v>https://www.chosun.com/economy/economy_general/2025/11/05/V34MXCN2EJFETORLTMYZB6R5TU/</x:v>
      </x:c>
      <x:c r="G145" s="39" t="str">
        <x:v>지난달 소비자 물가가 1년 새 2.4% 오르며 1년 3개월 만에 가장 큰 폭으로 뛰었다고 국가데이터처가 4일 밝혔다.</x:v>
      </x:c>
      <x:c r="H145" s="38" t="str">
        <x:v>LEVEL</x:v>
      </x:c>
      <x:c r="I145" s="40" t="str">
        <x:v>2.4</x:v>
      </x:c>
      <x:c r="J145" s="38" t="str">
        <x:v>['년', '%', '년', '개', '일']</x:v>
      </x:c>
      <x:c r="K145" s="38" t="str">
        <x:v>REFUTES</x:v>
      </x:c>
      <x:c r="L145" s="38" t="str">
        <x:v>FULL_KOSIS_MCP</x:v>
      </x:c>
      <x:c r="M145" s="38" t="str">
        <x:v>Y</x:v>
      </x:c>
      <x:c r="N145" s="38" t="str">
        <x:v>Y</x:v>
      </x:c>
      <x:c r="O145" s="38" t="str">
        <x:v>N</x:v>
      </x:c>
      <x:c r="P145" s="38" t="str">
        <x:v>101</x:v>
      </x:c>
      <x:c r="Q145" s="38" t="str">
        <x:v>DT_1J22003</x:v>
      </x:c>
      <x:c r="R145" s="38" t="str">
        <x:v>소비자물가지수(2020＝100)</x:v>
      </x:c>
      <x:c r="S145" s="38" t="str">
        <x:v>T10</x:v>
      </x:c>
      <x:c r="T145" s="38" t="str">
        <x:v>N/A</x:v>
      </x:c>
      <x:c r="U145" s="38" t="str">
        <x:v>T</x:v>
      </x:c>
      <x:c r="V145" s="38" t="str">
        <x:v>소비자물가지수(총지수)</x:v>
      </x:c>
      <x:c r="W145" s="38" t="str">
        <x:v>전국</x:v>
      </x:c>
      <x:c r="X145" s="38" t="str">
        <x:v>M</x:v>
      </x:c>
      <x:c r="Y145" s="38" t="str">
        <x:v>202510</x:v>
      </x:c>
      <x:c r="Z145" s="38" t="str">
        <x:v>N/A</x:v>
      </x:c>
      <x:c r="AA145" s="41" t="str">
        <x:v>117.42</x:v>
      </x:c>
      <x:c r="AB145" s="41" t="str">
        <x:v>N/A</x:v>
      </x:c>
      <x:c r="AC145" s="41" t="str">
        <x:v>2020＝100</x:v>
      </x:c>
      <x:c r="AD145" s="41" t="str">
        <x:v>117.42</x:v>
      </x:c>
      <x:c r="AE145" s="39" t="str">
        <x:v>MCP current value × source unit scale (1)</x:v>
      </x:c>
      <x:c r="AF145" s="39" t="str">
        <x:v>MCP_ACTUAL_VALUE_CONFIRMED</x:v>
      </x:c>
      <x:c r="AG145" s="39" t="str">
        <x:v>KOSIS_MCP_GET_DATA</x:v>
      </x:c>
      <x:c r="AH145" s="39" t="str">
        <x:v>https://kosis.kr/statHtml/statHtml.do?orgId=101&amp;tblId=DT_1J22003&amp;vw_cd=MT_ZTITLE&amp;list_id=&amp;seqNo=&amp;lang_mode=ko&amp;language=kor&amp;obj_var_id=&amp;itm_id=&amp;conn_path=MT_ZTITLE</x:v>
      </x:c>
      <x:c r="AI145" s="38" t="str">
        <x:v>121-160</x:v>
      </x:c>
      <x:c r="AJ145" s="38" t="n">
        <x:v>46239.36463945602</x:v>
      </x:c>
    </x:row>
    <x:row r="146">
      <x:c r="A146" s="38" t="str">
        <x:v>MCPG-145</x:v>
      </x:c>
      <x:c r="B146" s="38" t="str">
        <x:v>C01344</x:v>
      </x:c>
      <x:c r="C146" s="102" t="str">
        <x:v>A0187</x:v>
      </x:c>
      <x:c r="D146" s="39" t="str">
        <x:v>崔 대행 “취약부문별 맞춤형 일자리 지원 방안 마련하라”</x:v>
      </x:c>
      <x:c r="E146" s="39" t="str">
        <x:v>2025-01-15</x:v>
      </x:c>
      <x:c r="F146" s="39" t="str">
        <x:v>https://www.chosun.com/economy/economy_general/2025/01/15/54OHUQPUSZHNFPOOJF6PA7N3QI</x:v>
      </x:c>
      <x:c r="G146" s="39" t="str">
        <x:v>지난달 취업자 수가 46개월 만에 5만2000명(전년 동기 대비) 감소 전환한 데 따른 조치다.</x:v>
      </x:c>
      <x:c r="H146" s="38" t="str">
        <x:v>CHANGE_RATE</x:v>
      </x:c>
      <x:c r="I146" s="40" t="str">
        <x:v>2000.0</x:v>
      </x:c>
      <x:c r="J146" s="38" t="str">
        <x:v>['개', '명']</x:v>
      </x:c>
      <x:c r="K146" s="38" t="str">
        <x:v>REFUTES</x:v>
      </x:c>
      <x:c r="L146" s="38" t="str">
        <x:v>FULL_KOSIS_MCP</x:v>
      </x:c>
      <x:c r="M146" s="38" t="str">
        <x:v>Y</x:v>
      </x:c>
      <x:c r="N146" s="38" t="str">
        <x:v>Y</x:v>
      </x:c>
      <x:c r="O146" s="38" t="str">
        <x:v>N</x:v>
      </x:c>
      <x:c r="P146" s="38" t="str">
        <x:v>101</x:v>
      </x:c>
      <x:c r="Q146" s="38" t="str">
        <x:v>DT_1DA7001S</x:v>
      </x:c>
      <x:c r="R146" s="38" t="str">
        <x:v>성별 경제활동인구 총괄</x:v>
      </x:c>
      <x:c r="S146" s="38" t="str">
        <x:v>0</x:v>
      </x:c>
      <x:c r="T146" s="38" t="str">
        <x:v>N/A</x:v>
      </x:c>
      <x:c r="U146" s="38" t="str">
        <x:v>T30</x:v>
      </x:c>
      <x:c r="V146" s="38" t="str">
        <x:v>취업자</x:v>
      </x:c>
      <x:c r="W146" s="38" t="str">
        <x:v>계</x:v>
      </x:c>
      <x:c r="X146" s="38" t="str">
        <x:v>M</x:v>
      </x:c>
      <x:c r="Y146" s="38" t="str">
        <x:v>202412</x:v>
      </x:c>
      <x:c r="Z146" s="38" t="str">
        <x:v>202312</x:v>
      </x:c>
      <x:c r="AA146" s="41" t="str">
        <x:v>28041.1</x:v>
      </x:c>
      <x:c r="AB146" s="41" t="str">
        <x:v>28092.9</x:v>
      </x:c>
      <x:c r="AC146" s="41" t="str">
        <x:v>천명</x:v>
      </x:c>
      <x:c r="AD146" s="41" t="str">
        <x:v>-0.18438822620663195</x:v>
      </x:c>
      <x:c r="AE146" s="39" t="str">
        <x:v>(MCP current − MCP previous) / |MCP previous| × 100</x:v>
      </x:c>
      <x:c r="AF146" s="39" t="str">
        <x:v>MCP_ACTUAL_VALUE_CONFIRMED</x:v>
      </x:c>
      <x:c r="AG146" s="39" t="str">
        <x:v>KOSIS_MCP_GET_DATA</x:v>
      </x:c>
      <x:c r="AH146" s="39" t="str">
        <x:v>https://kosis.kr/statHtml/statHtml.do?orgId=101&amp;tblId=DT_1DA7001S&amp;vw_cd=MT_ZTITLE&amp;list_id=&amp;seqNo=&amp;lang_mode=ko&amp;language=kor&amp;obj_var_id=&amp;itm_id=&amp;conn_path=MT_ZTITLE</x:v>
      </x:c>
      <x:c r="AI146" s="38" t="str">
        <x:v>121-160</x:v>
      </x:c>
      <x:c r="AJ146" s="38" t="n">
        <x:v>46239.36463945602</x:v>
      </x:c>
    </x:row>
    <x:row r="147">
      <x:c r="A147" s="38" t="str">
        <x:v>MCPG-146</x:v>
      </x:c>
      <x:c r="B147" s="38" t="str">
        <x:v>C01478</x:v>
      </x:c>
      <x:c r="C147" s="102" t="str">
        <x:v>A0202</x:v>
      </x:c>
      <x:c r="D147" s="39" t="str">
        <x:v>고용 한파… 청년이라 더 추운 겨울</x:v>
      </x:c>
      <x:c r="E147" s="39" t="str">
        <x:v>2025-01-16</x:v>
      </x:c>
      <x:c r="F147" s="39" t="str">
        <x:v>https://www.chosun.com/economy/economy_general/2025/01/16/IYBVLBS7D5AJ3ENSN7WNDOJX2Y</x:v>
      </x:c>
      <x:c r="G147" s="39" t="str">
        <x:v>지난달 실업률은 3.8%로 2022년 1월(4.1%) 이후 가장 높았고, 청년 실업률은 5.9%로 6%에 육박했다.</x:v>
      </x:c>
      <x:c r="H147" s="38" t="str">
        <x:v>LEVEL</x:v>
      </x:c>
      <x:c r="I147" s="40" t="str">
        <x:v>6.0</x:v>
      </x:c>
      <x:c r="J147" s="38" t="str">
        <x:v>['%', '년', '월', '%', '%', '%']</x:v>
      </x:c>
      <x:c r="K147" s="38" t="str">
        <x:v>REFUTES</x:v>
      </x:c>
      <x:c r="L147" s="38" t="str">
        <x:v>FULL_KOSIS_MCP</x:v>
      </x:c>
      <x:c r="M147" s="38" t="str">
        <x:v>Y</x:v>
      </x:c>
      <x:c r="N147" s="38" t="str">
        <x:v>Y</x:v>
      </x:c>
      <x:c r="O147" s="38" t="str">
        <x:v>N</x:v>
      </x:c>
      <x:c r="P147" s="38" t="str">
        <x:v>101</x:v>
      </x:c>
      <x:c r="Q147" s="38" t="str">
        <x:v>DT_1DA7001S</x:v>
      </x:c>
      <x:c r="R147" s="38" t="str">
        <x:v>성별 경제활동인구 총괄</x:v>
      </x:c>
      <x:c r="S147" s="38" t="str">
        <x:v>0</x:v>
      </x:c>
      <x:c r="T147" s="38" t="str">
        <x:v>N/A</x:v>
      </x:c>
      <x:c r="U147" s="38" t="str">
        <x:v>T80</x:v>
      </x:c>
      <x:c r="V147" s="38" t="str">
        <x:v>실업률</x:v>
      </x:c>
      <x:c r="W147" s="38" t="str">
        <x:v>계</x:v>
      </x:c>
      <x:c r="X147" s="38" t="str">
        <x:v>M</x:v>
      </x:c>
      <x:c r="Y147" s="38" t="str">
        <x:v>202401</x:v>
      </x:c>
      <x:c r="Z147" s="38" t="str">
        <x:v>N/A</x:v>
      </x:c>
      <x:c r="AA147" s="41" t="str">
        <x:v>3.7</x:v>
      </x:c>
      <x:c r="AB147" s="41" t="str">
        <x:v>N/A</x:v>
      </x:c>
      <x:c r="AC147" s="41" t="str">
        <x:v>%</x:v>
      </x:c>
      <x:c r="AD147" s="41" t="str">
        <x:v>3.7</x:v>
      </x:c>
      <x:c r="AE147" s="39" t="str">
        <x:v>MCP current value × source unit scale (1)</x:v>
      </x:c>
      <x:c r="AF147" s="39" t="str">
        <x:v>MCP_ACTUAL_VALUE_CONFIRMED</x:v>
      </x:c>
      <x:c r="AG147" s="39" t="str">
        <x:v>KOSIS_MCP_GET_DATA</x:v>
      </x:c>
      <x:c r="AH147" s="39" t="str">
        <x:v>https://kosis.kr/statHtml/statHtml.do?orgId=101&amp;tblId=DT_1DA7001S&amp;vw_cd=MT_ZTITLE&amp;list_id=&amp;seqNo=&amp;lang_mode=ko&amp;language=kor&amp;obj_var_id=&amp;itm_id=&amp;conn_path=MT_ZTITLE</x:v>
      </x:c>
      <x:c r="AI147" s="38" t="str">
        <x:v>121-160</x:v>
      </x:c>
      <x:c r="AJ147" s="38" t="n">
        <x:v>46239.36463945602</x:v>
      </x:c>
    </x:row>
    <x:row r="148">
      <x:c r="A148" s="38" t="str">
        <x:v>MCPG-147</x:v>
      </x:c>
      <x:c r="B148" s="38" t="str">
        <x:v>C03859</x:v>
      </x:c>
      <x:c r="C148" s="102" t="str">
        <x:v>A0491</x:v>
      </x:c>
      <x:c r="D148" s="39" t="str">
        <x:v>4%로 떨어진 美 실업률...금리 인하 전망 줄어</x:v>
      </x:c>
      <x:c r="E148" s="39" t="str">
        <x:v>2025-02-07</x:v>
      </x:c>
      <x:c r="F148" s="39" t="str">
        <x:v>https://www.chosun.com/economy/economy_general/2025/02/07/X4YBFCHS5FGHTPPSUDTKHI6V7Q</x:v>
      </x:c>
      <x:c r="G148" s="39" t="str">
        <x:v>그러나 1월 실업률은 4%를 기록, 전월(4.1%)보다 낮았다.</x:v>
      </x:c>
      <x:c r="H148" s="38" t="str">
        <x:v>LEVEL</x:v>
      </x:c>
      <x:c r="I148" s="40" t="str">
        <x:v>4.1</x:v>
      </x:c>
      <x:c r="J148" s="38" t="str">
        <x:v>['월', '%', '%']</x:v>
      </x:c>
      <x:c r="K148" s="38" t="str">
        <x:v>REFUTES</x:v>
      </x:c>
      <x:c r="L148" s="38" t="str">
        <x:v>FULL_KOSIS_MCP</x:v>
      </x:c>
      <x:c r="M148" s="38" t="str">
        <x:v>Y</x:v>
      </x:c>
      <x:c r="N148" s="38" t="str">
        <x:v>Y</x:v>
      </x:c>
      <x:c r="O148" s="38" t="str">
        <x:v>N</x:v>
      </x:c>
      <x:c r="P148" s="38" t="str">
        <x:v>101</x:v>
      </x:c>
      <x:c r="Q148" s="38" t="str">
        <x:v>DT_1DA7001S</x:v>
      </x:c>
      <x:c r="R148" s="38" t="str">
        <x:v>성별 경제활동인구 총괄</x:v>
      </x:c>
      <x:c r="S148" s="38" t="str">
        <x:v>0</x:v>
      </x:c>
      <x:c r="T148" s="38" t="str">
        <x:v>N/A</x:v>
      </x:c>
      <x:c r="U148" s="38" t="str">
        <x:v>T80</x:v>
      </x:c>
      <x:c r="V148" s="38" t="str">
        <x:v>실업률</x:v>
      </x:c>
      <x:c r="W148" s="38" t="str">
        <x:v>계</x:v>
      </x:c>
      <x:c r="X148" s="38" t="str">
        <x:v>M</x:v>
      </x:c>
      <x:c r="Y148" s="38" t="str">
        <x:v>202501</x:v>
      </x:c>
      <x:c r="Z148" s="38" t="str">
        <x:v>N/A</x:v>
      </x:c>
      <x:c r="AA148" s="41" t="str">
        <x:v>3.7</x:v>
      </x:c>
      <x:c r="AB148" s="41" t="str">
        <x:v>N/A</x:v>
      </x:c>
      <x:c r="AC148" s="41" t="str">
        <x:v>%</x:v>
      </x:c>
      <x:c r="AD148" s="41" t="str">
        <x:v>3.7</x:v>
      </x:c>
      <x:c r="AE148" s="39" t="str">
        <x:v>MCP current value × source unit scale (1)</x:v>
      </x:c>
      <x:c r="AF148" s="39" t="str">
        <x:v>MCP_ACTUAL_VALUE_CONFIRMED</x:v>
      </x:c>
      <x:c r="AG148" s="39" t="str">
        <x:v>KOSIS_MCP_GET_DATA</x:v>
      </x:c>
      <x:c r="AH148" s="39" t="str">
        <x:v>https://kosis.kr/statHtml/statHtml.do?orgId=101&amp;tblId=DT_1DA7001S&amp;vw_cd=MT_ZTITLE&amp;list_id=&amp;seqNo=&amp;lang_mode=ko&amp;language=kor&amp;obj_var_id=&amp;itm_id=&amp;conn_path=MT_ZTITLE</x:v>
      </x:c>
      <x:c r="AI148" s="38" t="str">
        <x:v>121-160</x:v>
      </x:c>
      <x:c r="AJ148" s="38" t="n">
        <x:v>46239.36463945602</x:v>
      </x:c>
    </x:row>
    <x:row r="149">
      <x:c r="A149" s="38" t="str">
        <x:v>MCPG-148</x:v>
      </x:c>
      <x:c r="B149" s="38" t="str">
        <x:v>C04576</x:v>
      </x:c>
      <x:c r="C149" s="102" t="str">
        <x:v>A0579</x:v>
      </x:c>
      <x:c r="D149" s="39" t="str">
        <x:v>1월 취업자 13.5만명 늘어...노인 일자리 신속 집행에 일시 호조</x:v>
      </x:c>
      <x:c r="E149" s="39" t="str">
        <x:v>2025-02-14</x:v>
      </x:c>
      <x:c r="F149" s="39" t="str">
        <x:v>https://www.chosun.com/economy/economy_general/2025/02/14/CMQ2GGIF6NFVFOK7NS472SUCSM</x:v>
      </x:c>
      <x:c r="G149" s="39" t="str">
        <x:v>14일 통계청이 발표한 ‘1월 고용동향’에 따르면, 지난달 취업자 수는 2787만8000명으로 1년 전(2774만3000명)보다 13만5000명 늘었다.</x:v>
      </x:c>
      <x:c r="H149" s="38" t="str">
        <x:v>CHANGE_RATE</x:v>
      </x:c>
      <x:c r="I149" s="40" t="str">
        <x:v>5000.0</x:v>
      </x:c>
      <x:c r="J149" s="38" t="str">
        <x:v>['일', '월', '명', '년', '명', '명']</x:v>
      </x:c>
      <x:c r="K149" s="38" t="str">
        <x:v>REFUTES</x:v>
      </x:c>
      <x:c r="L149" s="38" t="str">
        <x:v>FULL_KOSIS_MCP</x:v>
      </x:c>
      <x:c r="M149" s="38" t="str">
        <x:v>Y</x:v>
      </x:c>
      <x:c r="N149" s="38" t="str">
        <x:v>Y</x:v>
      </x:c>
      <x:c r="O149" s="38" t="str">
        <x:v>N</x:v>
      </x:c>
      <x:c r="P149" s="38" t="str">
        <x:v>101</x:v>
      </x:c>
      <x:c r="Q149" s="38" t="str">
        <x:v>DT_1DA7001S</x:v>
      </x:c>
      <x:c r="R149" s="38" t="str">
        <x:v>성별 경제활동인구 총괄</x:v>
      </x:c>
      <x:c r="S149" s="38" t="str">
        <x:v>0</x:v>
      </x:c>
      <x:c r="T149" s="38" t="str">
        <x:v>N/A</x:v>
      </x:c>
      <x:c r="U149" s="38" t="str">
        <x:v>T30</x:v>
      </x:c>
      <x:c r="V149" s="38" t="str">
        <x:v>취업자</x:v>
      </x:c>
      <x:c r="W149" s="38" t="str">
        <x:v>계</x:v>
      </x:c>
      <x:c r="X149" s="38" t="str">
        <x:v>M</x:v>
      </x:c>
      <x:c r="Y149" s="38" t="str">
        <x:v>202501</x:v>
      </x:c>
      <x:c r="Z149" s="38" t="str">
        <x:v>202412</x:v>
      </x:c>
      <x:c r="AA149" s="41" t="str">
        <x:v>27878.0</x:v>
      </x:c>
      <x:c r="AB149" s="41" t="str">
        <x:v>28041.1</x:v>
      </x:c>
      <x:c r="AC149" s="41" t="str">
        <x:v>천명</x:v>
      </x:c>
      <x:c r="AD149" s="41" t="str">
        <x:v>-0.5816462264319109</x:v>
      </x:c>
      <x:c r="AE149" s="39" t="str">
        <x:v>(MCP current − MCP previous) / |MCP previous| × 100</x:v>
      </x:c>
      <x:c r="AF149" s="39" t="str">
        <x:v>MCP_ACTUAL_VALUE_CONFIRMED</x:v>
      </x:c>
      <x:c r="AG149" s="39" t="str">
        <x:v>KOSIS_MCP_GET_DATA</x:v>
      </x:c>
      <x:c r="AH149" s="39" t="str">
        <x:v>https://kosis.kr/statHtml/statHtml.do?orgId=101&amp;tblId=DT_1DA7001S&amp;vw_cd=MT_ZTITLE&amp;list_id=&amp;seqNo=&amp;lang_mode=ko&amp;language=kor&amp;obj_var_id=&amp;itm_id=&amp;conn_path=MT_ZTITLE</x:v>
      </x:c>
      <x:c r="AI149" s="38" t="str">
        <x:v>121-160</x:v>
      </x:c>
      <x:c r="AJ149" s="38" t="n">
        <x:v>46239.36463945602</x:v>
      </x:c>
    </x:row>
    <x:row r="150">
      <x:c r="A150" s="38" t="str">
        <x:v>MCPG-149</x:v>
      </x:c>
      <x:c r="B150" s="38" t="str">
        <x:v>C04585</x:v>
      </x:c>
      <x:c r="C150" s="102" t="str">
        <x:v>A0579</x:v>
      </x:c>
      <x:c r="D150" s="39" t="str">
        <x:v>1월 취업자 13.5만명 늘어...노인 일자리 신속 집행에 일시 호조</x:v>
      </x:c>
      <x:c r="E150" s="39" t="str">
        <x:v>2025-02-14</x:v>
      </x:c>
      <x:c r="F150" s="39" t="str">
        <x:v>https://www.chosun.com/economy/economy_general/2025/02/14/CMQ2GGIF6NFVFOK7NS472SUCSM</x:v>
      </x:c>
      <x:c r="G150" s="39" t="str">
        <x:v>대표적으로 도·소매업 취업자는 전년 동월 대비 9만1000명 감소하는 데 그치며, 지난해 8월(-5만5000명) 이후 5개월 만에 최저 감소폭을 보였다.</x:v>
      </x:c>
      <x:c r="H150" s="38" t="str">
        <x:v>CHANGE_RATE</x:v>
      </x:c>
      <x:c r="I150" s="40" t="str">
        <x:v>5000.0</x:v>
      </x:c>
      <x:c r="J150" s="38" t="str">
        <x:v>['명', '월', '명', '개']</x:v>
      </x:c>
      <x:c r="K150" s="38" t="str">
        <x:v>REFUTES</x:v>
      </x:c>
      <x:c r="L150" s="38" t="str">
        <x:v>FULL_KOSIS_MCP</x:v>
      </x:c>
      <x:c r="M150" s="38" t="str">
        <x:v>Y</x:v>
      </x:c>
      <x:c r="N150" s="38" t="str">
        <x:v>Y</x:v>
      </x:c>
      <x:c r="O150" s="38" t="str">
        <x:v>N</x:v>
      </x:c>
      <x:c r="P150" s="38" t="str">
        <x:v>101</x:v>
      </x:c>
      <x:c r="Q150" s="38" t="str">
        <x:v>DT_1DA7001S</x:v>
      </x:c>
      <x:c r="R150" s="38" t="str">
        <x:v>성별 경제활동인구 총괄</x:v>
      </x:c>
      <x:c r="S150" s="38" t="str">
        <x:v>0</x:v>
      </x:c>
      <x:c r="T150" s="38" t="str">
        <x:v>N/A</x:v>
      </x:c>
      <x:c r="U150" s="38" t="str">
        <x:v>T30</x:v>
      </x:c>
      <x:c r="V150" s="38" t="str">
        <x:v>취업자</x:v>
      </x:c>
      <x:c r="W150" s="38" t="str">
        <x:v>계</x:v>
      </x:c>
      <x:c r="X150" s="38" t="str">
        <x:v>M</x:v>
      </x:c>
      <x:c r="Y150" s="38" t="str">
        <x:v>202408</x:v>
      </x:c>
      <x:c r="Z150" s="38" t="str">
        <x:v>202308</x:v>
      </x:c>
      <x:c r="AA150" s="41" t="str">
        <x:v>28800.8</x:v>
      </x:c>
      <x:c r="AB150" s="41" t="str">
        <x:v>28678.0</x:v>
      </x:c>
      <x:c r="AC150" s="41" t="str">
        <x:v>천명</x:v>
      </x:c>
      <x:c r="AD150" s="41" t="str">
        <x:v>0.42820280354278284</x:v>
      </x:c>
      <x:c r="AE150" s="39" t="str">
        <x:v>(MCP current − MCP previous) / |MCP previous| × 100</x:v>
      </x:c>
      <x:c r="AF150" s="39" t="str">
        <x:v>MCP_ACTUAL_VALUE_CONFIRMED</x:v>
      </x:c>
      <x:c r="AG150" s="39" t="str">
        <x:v>KOSIS_MCP_GET_DATA</x:v>
      </x:c>
      <x:c r="AH150" s="39" t="str">
        <x:v>https://kosis.kr/statHtml/statHtml.do?orgId=101&amp;tblId=DT_1DA7001S&amp;vw_cd=MT_ZTITLE&amp;list_id=&amp;seqNo=&amp;lang_mode=ko&amp;language=kor&amp;obj_var_id=&amp;itm_id=&amp;conn_path=MT_ZTITLE</x:v>
      </x:c>
      <x:c r="AI150" s="38" t="str">
        <x:v>121-160</x:v>
      </x:c>
      <x:c r="AJ150" s="38" t="n">
        <x:v>46239.36463945602</x:v>
      </x:c>
    </x:row>
    <x:row r="151">
      <x:c r="A151" s="38" t="str">
        <x:v>MCPG-150</x:v>
      </x:c>
      <x:c r="B151" s="38" t="str">
        <x:v>C04586</x:v>
      </x:c>
      <x:c r="C151" s="102" t="str">
        <x:v>A0579</x:v>
      </x:c>
      <x:c r="D151" s="39" t="str">
        <x:v>1월 취업자 13.5만명 늘어...노인 일자리 신속 집행에 일시 호조</x:v>
      </x:c>
      <x:c r="E151" s="39" t="str">
        <x:v>2025-02-14</x:v>
      </x:c>
      <x:c r="F151" s="39" t="str">
        <x:v>https://www.chosun.com/economy/economy_general/2025/02/14/CMQ2GGIF6NFVFOK7NS472SUCSM</x:v>
      </x:c>
      <x:c r="G151" s="39" t="str">
        <x:v>지난달 건설업 취업자는 전년 동월 대비 16만9000명 감소하면서, 지난 2013년 관련 통계 작성 이래 최대 감소폭을 보였다.</x:v>
      </x:c>
      <x:c r="H151" s="38" t="str">
        <x:v>CHANGE_RATE</x:v>
      </x:c>
      <x:c r="I151" s="40" t="str">
        <x:v>9000.0</x:v>
      </x:c>
      <x:c r="J151" s="38" t="str">
        <x:v>['명', '년']</x:v>
      </x:c>
      <x:c r="K151" s="38" t="str">
        <x:v>REFUTES</x:v>
      </x:c>
      <x:c r="L151" s="38" t="str">
        <x:v>FULL_KOSIS_MCP</x:v>
      </x:c>
      <x:c r="M151" s="38" t="str">
        <x:v>Y</x:v>
      </x:c>
      <x:c r="N151" s="38" t="str">
        <x:v>Y</x:v>
      </x:c>
      <x:c r="O151" s="38" t="str">
        <x:v>N</x:v>
      </x:c>
      <x:c r="P151" s="38" t="str">
        <x:v>101</x:v>
      </x:c>
      <x:c r="Q151" s="38" t="str">
        <x:v>DT_1DA7001S</x:v>
      </x:c>
      <x:c r="R151" s="38" t="str">
        <x:v>성별 경제활동인구 총괄</x:v>
      </x:c>
      <x:c r="S151" s="38" t="str">
        <x:v>0</x:v>
      </x:c>
      <x:c r="T151" s="38" t="str">
        <x:v>N/A</x:v>
      </x:c>
      <x:c r="U151" s="38" t="str">
        <x:v>T30</x:v>
      </x:c>
      <x:c r="V151" s="38" t="str">
        <x:v>취업자</x:v>
      </x:c>
      <x:c r="W151" s="38" t="str">
        <x:v>계</x:v>
      </x:c>
      <x:c r="X151" s="38" t="str">
        <x:v>M</x:v>
      </x:c>
      <x:c r="Y151" s="38" t="str">
        <x:v>202401</x:v>
      </x:c>
      <x:c r="Z151" s="38" t="str">
        <x:v>202301</x:v>
      </x:c>
      <x:c r="AA151" s="41" t="str">
        <x:v>27742.9</x:v>
      </x:c>
      <x:c r="AB151" s="41" t="str">
        <x:v>27363.1</x:v>
      </x:c>
      <x:c r="AC151" s="41" t="str">
        <x:v>천명</x:v>
      </x:c>
      <x:c r="AD151" s="41" t="str">
        <x:v>1.3880006285837605</x:v>
      </x:c>
      <x:c r="AE151" s="39" t="str">
        <x:v>(MCP current − MCP previous) / |MCP previous| × 100</x:v>
      </x:c>
      <x:c r="AF151" s="39" t="str">
        <x:v>MCP_ACTUAL_VALUE_CONFIRMED</x:v>
      </x:c>
      <x:c r="AG151" s="39" t="str">
        <x:v>KOSIS_MCP_GET_DATA</x:v>
      </x:c>
      <x:c r="AH151" s="39" t="str">
        <x:v>https://kosis.kr/statHtml/statHtml.do?orgId=101&amp;tblId=DT_1DA7001S&amp;vw_cd=MT_ZTITLE&amp;list_id=&amp;seqNo=&amp;lang_mode=ko&amp;language=kor&amp;obj_var_id=&amp;itm_id=&amp;conn_path=MT_ZTITLE</x:v>
      </x:c>
      <x:c r="AI151" s="38" t="str">
        <x:v>121-160</x:v>
      </x:c>
      <x:c r="AJ151" s="38" t="n">
        <x:v>46239.36463945602</x:v>
      </x:c>
    </x:row>
    <x:row r="152">
      <x:c r="A152" s="38" t="str">
        <x:v>MCPG-151</x:v>
      </x:c>
      <x:c r="B152" s="38" t="str">
        <x:v>C04949</x:v>
      </x:c>
      <x:c r="C152" s="102" t="str">
        <x:v>A0628</x:v>
      </x:c>
      <x:c r="D152" s="39" t="str">
        <x:v>월급쟁이가 낸 세금 첫 60조원 돌파… 법인세 육박</x:v>
      </x:c>
      <x:c r="E152" s="39" t="str">
        <x:v>2025-02-18</x:v>
      </x:c>
      <x:c r="F152" s="39" t="str">
        <x:v>https://www.chosun.com/economy/economy_general/2025/02/18/ACYHDWUYD5CGBP3AODXWYTSYVQ</x:v>
      </x:c>
      <x:c r="G152" s="39" t="str">
        <x:v>통계청에 따르면, 지난해 취업자는 전년보다 16만명 늘었는데 임금 근로자는 21만5000명 늘었다.</x:v>
      </x:c>
      <x:c r="H152" s="38" t="str">
        <x:v>CHANGE_RATE</x:v>
      </x:c>
      <x:c r="I152" s="40" t="str">
        <x:v>16.0</x:v>
      </x:c>
      <x:c r="J152" s="38" t="str">
        <x:v>['명']</x:v>
      </x:c>
      <x:c r="K152" s="38" t="str">
        <x:v>REFUTES</x:v>
      </x:c>
      <x:c r="L152" s="38" t="str">
        <x:v>FULL_KOSIS_MCP</x:v>
      </x:c>
      <x:c r="M152" s="38" t="str">
        <x:v>Y</x:v>
      </x:c>
      <x:c r="N152" s="38" t="str">
        <x:v>Y</x:v>
      </x:c>
      <x:c r="O152" s="38" t="str">
        <x:v>N</x:v>
      </x:c>
      <x:c r="P152" s="38" t="str">
        <x:v>101</x:v>
      </x:c>
      <x:c r="Q152" s="38" t="str">
        <x:v>DT_1DA7001S</x:v>
      </x:c>
      <x:c r="R152" s="38" t="str">
        <x:v>성별 경제활동인구 총괄</x:v>
      </x:c>
      <x:c r="S152" s="38" t="str">
        <x:v>0</x:v>
      </x:c>
      <x:c r="T152" s="38" t="str">
        <x:v>N/A</x:v>
      </x:c>
      <x:c r="U152" s="38" t="str">
        <x:v>T30</x:v>
      </x:c>
      <x:c r="V152" s="38" t="str">
        <x:v>취업자</x:v>
      </x:c>
      <x:c r="W152" s="38" t="str">
        <x:v>계</x:v>
      </x:c>
      <x:c r="X152" s="38" t="str">
        <x:v>Y</x:v>
      </x:c>
      <x:c r="Y152" s="38" t="str">
        <x:v>2024</x:v>
      </x:c>
      <x:c r="Z152" s="38" t="str">
        <x:v>2023</x:v>
      </x:c>
      <x:c r="AA152" s="41" t="str">
        <x:v>28575.5</x:v>
      </x:c>
      <x:c r="AB152" s="41" t="str">
        <x:v>28416.3</x:v>
      </x:c>
      <x:c r="AC152" s="41" t="str">
        <x:v>천명</x:v>
      </x:c>
      <x:c r="AD152" s="41" t="str">
        <x:v>0.5602418330324522</x:v>
      </x:c>
      <x:c r="AE152" s="39" t="str">
        <x:v>(MCP current − MCP previous) / |MCP previous| × 100</x:v>
      </x:c>
      <x:c r="AF152" s="39" t="str">
        <x:v>MCP_ACTUAL_VALUE_CONFIRMED</x:v>
      </x:c>
      <x:c r="AG152" s="39" t="str">
        <x:v>KOSIS_MCP_GET_DATA</x:v>
      </x:c>
      <x:c r="AH152" s="39" t="str">
        <x:v>https://kosis.kr/statHtml/statHtml.do?orgId=101&amp;tblId=DT_1DA7001S&amp;vw_cd=MT_ZTITLE&amp;list_id=&amp;seqNo=&amp;lang_mode=ko&amp;language=kor&amp;obj_var_id=&amp;itm_id=&amp;conn_path=MT_ZTITLE</x:v>
      </x:c>
      <x:c r="AI152" s="38" t="str">
        <x:v>121-160</x:v>
      </x:c>
      <x:c r="AJ152" s="38" t="n">
        <x:v>46239.36463945602</x:v>
      </x:c>
    </x:row>
    <x:row r="153">
      <x:c r="A153" s="38" t="str">
        <x:v>MCPG-152</x:v>
      </x:c>
      <x:c r="B153" s="38" t="str">
        <x:v>C06721</x:v>
      </x:c>
      <x:c r="C153" s="102" t="str">
        <x:v>A0846</x:v>
      </x:c>
      <x:c r="D153" s="39" t="str">
        <x:v>2월 미국 신규고용 예상 밑돌아...트럼프침체 우려</x:v>
      </x:c>
      <x:c r="E153" s="39" t="str">
        <x:v>2025-03-07</x:v>
      </x:c>
      <x:c r="F153" s="39" t="str">
        <x:v>https://www.chosun.com/economy/economy_general/2025/03/07/ZNQGRX42MZF5VHHAYKQ33QFWFY</x:v>
      </x:c>
      <x:c r="G153" s="39" t="str">
        <x:v>실업률 또한 4.1%로 전월(4%)보다 높아졌다.</x:v>
      </x:c>
      <x:c r="H153" s="38" t="str">
        <x:v>LEVEL</x:v>
      </x:c>
      <x:c r="I153" s="40" t="str">
        <x:v>4.0</x:v>
      </x:c>
      <x:c r="J153" s="38" t="str">
        <x:v>['%', '%']</x:v>
      </x:c>
      <x:c r="K153" s="38" t="str">
        <x:v>REFUTES</x:v>
      </x:c>
      <x:c r="L153" s="38" t="str">
        <x:v>FULL_KOSIS_MCP</x:v>
      </x:c>
      <x:c r="M153" s="38" t="str">
        <x:v>Y</x:v>
      </x:c>
      <x:c r="N153" s="38" t="str">
        <x:v>Y</x:v>
      </x:c>
      <x:c r="O153" s="38" t="str">
        <x:v>N</x:v>
      </x:c>
      <x:c r="P153" s="38" t="str">
        <x:v>101</x:v>
      </x:c>
      <x:c r="Q153" s="38" t="str">
        <x:v>DT_1DA7001S</x:v>
      </x:c>
      <x:c r="R153" s="38" t="str">
        <x:v>성별 경제활동인구 총괄</x:v>
      </x:c>
      <x:c r="S153" s="38" t="str">
        <x:v>0</x:v>
      </x:c>
      <x:c r="T153" s="38" t="str">
        <x:v>N/A</x:v>
      </x:c>
      <x:c r="U153" s="38" t="str">
        <x:v>T80</x:v>
      </x:c>
      <x:c r="V153" s="38" t="str">
        <x:v>실업률</x:v>
      </x:c>
      <x:c r="W153" s="38" t="str">
        <x:v>계</x:v>
      </x:c>
      <x:c r="X153" s="38" t="str">
        <x:v>M</x:v>
      </x:c>
      <x:c r="Y153" s="38" t="str">
        <x:v>202502</x:v>
      </x:c>
      <x:c r="Z153" s="38" t="str">
        <x:v>N/A</x:v>
      </x:c>
      <x:c r="AA153" s="41" t="str">
        <x:v>3.2</x:v>
      </x:c>
      <x:c r="AB153" s="41" t="str">
        <x:v>N/A</x:v>
      </x:c>
      <x:c r="AC153" s="41" t="str">
        <x:v>%</x:v>
      </x:c>
      <x:c r="AD153" s="41" t="str">
        <x:v>3.2</x:v>
      </x:c>
      <x:c r="AE153" s="39" t="str">
        <x:v>MCP current value × source unit scale (1)</x:v>
      </x:c>
      <x:c r="AF153" s="39" t="str">
        <x:v>MCP_ACTUAL_VALUE_CONFIRMED</x:v>
      </x:c>
      <x:c r="AG153" s="39" t="str">
        <x:v>KOSIS_MCP_GET_DATA</x:v>
      </x:c>
      <x:c r="AH153" s="39" t="str">
        <x:v>https://kosis.kr/statHtml/statHtml.do?orgId=101&amp;tblId=DT_1DA7001S&amp;vw_cd=MT_ZTITLE&amp;list_id=&amp;seqNo=&amp;lang_mode=ko&amp;language=kor&amp;obj_var_id=&amp;itm_id=&amp;conn_path=MT_ZTITLE</x:v>
      </x:c>
      <x:c r="AI153" s="38" t="str">
        <x:v>121-160</x:v>
      </x:c>
      <x:c r="AJ153" s="38" t="n">
        <x:v>46239.36463945602</x:v>
      </x:c>
    </x:row>
    <x:row r="154">
      <x:c r="A154" s="38" t="str">
        <x:v>MCPG-153</x:v>
      </x:c>
      <x:c r="B154" s="38" t="str">
        <x:v>C09942</x:v>
      </x:c>
      <x:c r="C154" s="102" t="str">
        <x:v>A1285</x:v>
      </x:c>
      <x:c r="D154" s="39" t="str">
        <x:v>3월 청년 실업률 7.5%... 코로나 이후 최고</x:v>
      </x:c>
      <x:c r="E154" s="39" t="str">
        <x:v>2025-04-09</x:v>
      </x:c>
      <x:c r="F154" s="39" t="str">
        <x:v>https://www.chosun.com/economy/economy_general/2025/04/09/S5F7BYR5GJDQZFTEJM6L2KWREQ</x:v>
      </x:c>
      <x:c r="G154" s="39" t="str">
        <x:v>4 지난달 청년 실업률이 7% 중반까지 치솟아 코로나 대유행으로 실업률이 10%까지 치솟았던 2021년 이후 4년 만에 가장 높았다.</x:v>
      </x:c>
      <x:c r="H154" s="38" t="str">
        <x:v>LEVEL</x:v>
      </x:c>
      <x:c r="I154" s="40" t="str">
        <x:v>10.0</x:v>
      </x:c>
      <x:c r="J154" s="38" t="str">
        <x:v>['%', '%', '년', '년']</x:v>
      </x:c>
      <x:c r="K154" s="38" t="str">
        <x:v>REFUTES</x:v>
      </x:c>
      <x:c r="L154" s="38" t="str">
        <x:v>FULL_KOSIS_MCP</x:v>
      </x:c>
      <x:c r="M154" s="38" t="str">
        <x:v>Y</x:v>
      </x:c>
      <x:c r="N154" s="38" t="str">
        <x:v>Y</x:v>
      </x:c>
      <x:c r="O154" s="38" t="str">
        <x:v>N</x:v>
      </x:c>
      <x:c r="P154" s="38" t="str">
        <x:v>101</x:v>
      </x:c>
      <x:c r="Q154" s="38" t="str">
        <x:v>DT_1DA7001S</x:v>
      </x:c>
      <x:c r="R154" s="38" t="str">
        <x:v>성별 경제활동인구 총괄</x:v>
      </x:c>
      <x:c r="S154" s="38" t="str">
        <x:v>0</x:v>
      </x:c>
      <x:c r="T154" s="38" t="str">
        <x:v>N/A</x:v>
      </x:c>
      <x:c r="U154" s="38" t="str">
        <x:v>T80</x:v>
      </x:c>
      <x:c r="V154" s="38" t="str">
        <x:v>실업률</x:v>
      </x:c>
      <x:c r="W154" s="38" t="str">
        <x:v>계</x:v>
      </x:c>
      <x:c r="X154" s="38" t="str">
        <x:v>M</x:v>
      </x:c>
      <x:c r="Y154" s="38" t="str">
        <x:v>202503</x:v>
      </x:c>
      <x:c r="Z154" s="38" t="str">
        <x:v>N/A</x:v>
      </x:c>
      <x:c r="AA154" s="41" t="str">
        <x:v>3.1</x:v>
      </x:c>
      <x:c r="AB154" s="41" t="str">
        <x:v>N/A</x:v>
      </x:c>
      <x:c r="AC154" s="41" t="str">
        <x:v>%</x:v>
      </x:c>
      <x:c r="AD154" s="41" t="str">
        <x:v>3.1</x:v>
      </x:c>
      <x:c r="AE154" s="39" t="str">
        <x:v>MCP current value × source unit scale (1)</x:v>
      </x:c>
      <x:c r="AF154" s="39" t="str">
        <x:v>MCP_ACTUAL_VALUE_CONFIRMED</x:v>
      </x:c>
      <x:c r="AG154" s="39" t="str">
        <x:v>KOSIS_MCP_GET_DATA</x:v>
      </x:c>
      <x:c r="AH154" s="39" t="str">
        <x:v>https://kosis.kr/statHtml/statHtml.do?orgId=101&amp;tblId=DT_1DA7001S&amp;vw_cd=MT_ZTITLE&amp;list_id=&amp;seqNo=&amp;lang_mode=ko&amp;language=kor&amp;obj_var_id=&amp;itm_id=&amp;conn_path=MT_ZTITLE</x:v>
      </x:c>
      <x:c r="AI154" s="38" t="str">
        <x:v>121-160</x:v>
      </x:c>
      <x:c r="AJ154" s="38" t="n">
        <x:v>46239.36463945602</x:v>
      </x:c>
    </x:row>
    <x:row r="155">
      <x:c r="A155" s="38" t="str">
        <x:v>MCPG-154</x:v>
      </x:c>
      <x:c r="B155" s="38" t="str">
        <x:v>C09944</x:v>
      </x:c>
      <x:c r="C155" s="102" t="str">
        <x:v>A1285</x:v>
      </x:c>
      <x:c r="D155" s="39" t="str">
        <x:v>3월 청년 실업률 7.5%... 코로나 이후 최고</x:v>
      </x:c>
      <x:c r="E155" s="39" t="str">
        <x:v>2025-04-09</x:v>
      </x:c>
      <x:c r="F155" s="39" t="str">
        <x:v>https://www.chosun.com/economy/economy_general/2025/04/09/S5F7BYR5GJDQZFTEJM6L2KWREQ</x:v>
      </x:c>
      <x:c r="G155" s="39" t="str">
        <x:v>9일 통계청이 발표한 ‘3월 고용동향’에 따르면, 지난 3월 취업자 수는 2858만9000명으로 전년 동월 대비 19만3000명 증가했다.</x:v>
      </x:c>
      <x:c r="H155" s="38" t="str">
        <x:v>CHANGE_RATE</x:v>
      </x:c>
      <x:c r="I155" s="40" t="str">
        <x:v>3000.0</x:v>
      </x:c>
      <x:c r="J155" s="38" t="str">
        <x:v>['일', '월', '월', '명', '명']</x:v>
      </x:c>
      <x:c r="K155" s="38" t="str">
        <x:v>REFUTES</x:v>
      </x:c>
      <x:c r="L155" s="38" t="str">
        <x:v>FULL_KOSIS_MCP</x:v>
      </x:c>
      <x:c r="M155" s="38" t="str">
        <x:v>Y</x:v>
      </x:c>
      <x:c r="N155" s="38" t="str">
        <x:v>Y</x:v>
      </x:c>
      <x:c r="O155" s="38" t="str">
        <x:v>N</x:v>
      </x:c>
      <x:c r="P155" s="38" t="str">
        <x:v>101</x:v>
      </x:c>
      <x:c r="Q155" s="38" t="str">
        <x:v>DT_1DA7001S</x:v>
      </x:c>
      <x:c r="R155" s="38" t="str">
        <x:v>성별 경제활동인구 총괄</x:v>
      </x:c>
      <x:c r="S155" s="38" t="str">
        <x:v>0</x:v>
      </x:c>
      <x:c r="T155" s="38" t="str">
        <x:v>N/A</x:v>
      </x:c>
      <x:c r="U155" s="38" t="str">
        <x:v>T80</x:v>
      </x:c>
      <x:c r="V155" s="38" t="str">
        <x:v>실업률</x:v>
      </x:c>
      <x:c r="W155" s="38" t="str">
        <x:v>계</x:v>
      </x:c>
      <x:c r="X155" s="38" t="str">
        <x:v>M</x:v>
      </x:c>
      <x:c r="Y155" s="38" t="str">
        <x:v>202403</x:v>
      </x:c>
      <x:c r="Z155" s="38" t="str">
        <x:v>202303</x:v>
      </x:c>
      <x:c r="AA155" s="41" t="str">
        <x:v>3.0</x:v>
      </x:c>
      <x:c r="AB155" s="41" t="str">
        <x:v>2.9</x:v>
      </x:c>
      <x:c r="AC155" s="41" t="str">
        <x:v>%</x:v>
      </x:c>
      <x:c r="AD155" s="41" t="str">
        <x:v>3.448275862068969</x:v>
      </x:c>
      <x:c r="AE155" s="39" t="str">
        <x:v>(MCP current − MCP previous) / |MCP previous| × 100</x:v>
      </x:c>
      <x:c r="AF155" s="39" t="str">
        <x:v>MCP_ACTUAL_VALUE_CONFIRMED</x:v>
      </x:c>
      <x:c r="AG155" s="39" t="str">
        <x:v>KOSIS_MCP_GET_DATA</x:v>
      </x:c>
      <x:c r="AH155" s="39" t="str">
        <x:v>https://kosis.kr/statHtml/statHtml.do?orgId=101&amp;tblId=DT_1DA7001S&amp;vw_cd=MT_ZTITLE&amp;list_id=&amp;seqNo=&amp;lang_mode=ko&amp;language=kor&amp;obj_var_id=&amp;itm_id=&amp;conn_path=MT_ZTITLE</x:v>
      </x:c>
      <x:c r="AI155" s="38" t="str">
        <x:v>121-160</x:v>
      </x:c>
      <x:c r="AJ155" s="38" t="n">
        <x:v>46239.364639467596</x:v>
      </x:c>
    </x:row>
    <x:row r="156">
      <x:c r="A156" s="38" t="str">
        <x:v>MCPG-155</x:v>
      </x:c>
      <x:c r="B156" s="38" t="str">
        <x:v>C09950</x:v>
      </x:c>
      <x:c r="C156" s="102" t="str">
        <x:v>A1285</x:v>
      </x:c>
      <x:c r="D156" s="39" t="str">
        <x:v>3월 청년 실업률 7.5%... 코로나 이후 최고</x:v>
      </x:c>
      <x:c r="E156" s="39" t="str">
        <x:v>2025-04-09</x:v>
      </x:c>
      <x:c r="F156" s="39" t="str">
        <x:v>https://www.chosun.com/economy/economy_general/2025/04/09/S5F7BYR5GJDQZFTEJM6L2KWREQ</x:v>
      </x:c>
      <x:c r="G156" s="39" t="str">
        <x:v>청년 경제활동인구 대비 실업자 수를 뜻하는 청년 실업률은 7.5%로 코로나 대유행이 한창이었던 2021년 6월(8.9%) 이후 3년 9개월 이후 최고치를 기록했다.</x:v>
      </x:c>
      <x:c r="H156" s="38" t="str">
        <x:v>LEVEL</x:v>
      </x:c>
      <x:c r="I156" s="40" t="str">
        <x:v>8.9</x:v>
      </x:c>
      <x:c r="J156" s="38" t="str">
        <x:v>['%', '년', '월', '%', '년', '개']</x:v>
      </x:c>
      <x:c r="K156" s="38" t="str">
        <x:v>REFUTES</x:v>
      </x:c>
      <x:c r="L156" s="38" t="str">
        <x:v>FULL_KOSIS_MCP</x:v>
      </x:c>
      <x:c r="M156" s="38" t="str">
        <x:v>Y</x:v>
      </x:c>
      <x:c r="N156" s="38" t="str">
        <x:v>Y</x:v>
      </x:c>
      <x:c r="O156" s="38" t="str">
        <x:v>N</x:v>
      </x:c>
      <x:c r="P156" s="38" t="str">
        <x:v>101</x:v>
      </x:c>
      <x:c r="Q156" s="38" t="str">
        <x:v>DT_1DA7001S</x:v>
      </x:c>
      <x:c r="R156" s="38" t="str">
        <x:v>성별 경제활동인구 총괄</x:v>
      </x:c>
      <x:c r="S156" s="38" t="str">
        <x:v>0</x:v>
      </x:c>
      <x:c r="T156" s="38" t="str">
        <x:v>N/A</x:v>
      </x:c>
      <x:c r="U156" s="38" t="str">
        <x:v>T80</x:v>
      </x:c>
      <x:c r="V156" s="38" t="str">
        <x:v>실업률</x:v>
      </x:c>
      <x:c r="W156" s="38" t="str">
        <x:v>계</x:v>
      </x:c>
      <x:c r="X156" s="38" t="str">
        <x:v>M</x:v>
      </x:c>
      <x:c r="Y156" s="38" t="str">
        <x:v>202106</x:v>
      </x:c>
      <x:c r="Z156" s="38" t="str">
        <x:v>N/A</x:v>
      </x:c>
      <x:c r="AA156" s="41" t="str">
        <x:v>3.8</x:v>
      </x:c>
      <x:c r="AB156" s="41" t="str">
        <x:v>N/A</x:v>
      </x:c>
      <x:c r="AC156" s="41" t="str">
        <x:v>%</x:v>
      </x:c>
      <x:c r="AD156" s="41" t="str">
        <x:v>3.8</x:v>
      </x:c>
      <x:c r="AE156" s="39" t="str">
        <x:v>MCP current value × source unit scale (1)</x:v>
      </x:c>
      <x:c r="AF156" s="39" t="str">
        <x:v>MCP_ACTUAL_VALUE_CONFIRMED</x:v>
      </x:c>
      <x:c r="AG156" s="39" t="str">
        <x:v>KOSIS_MCP_GET_DATA</x:v>
      </x:c>
      <x:c r="AH156" s="39" t="str">
        <x:v>https://kosis.kr/statHtml/statHtml.do?orgId=101&amp;tblId=DT_1DA7001S&amp;vw_cd=MT_ZTITLE&amp;list_id=&amp;seqNo=&amp;lang_mode=ko&amp;language=kor&amp;obj_var_id=&amp;itm_id=&amp;conn_path=MT_ZTITLE</x:v>
      </x:c>
      <x:c r="AI156" s="38" t="str">
        <x:v>121-160</x:v>
      </x:c>
      <x:c r="AJ156" s="38" t="n">
        <x:v>46239.364639467596</x:v>
      </x:c>
    </x:row>
    <x:row r="157">
      <x:c r="A157" s="38" t="str">
        <x:v>MCPG-156</x:v>
      </x:c>
      <x:c r="B157" s="38" t="str">
        <x:v>C09951</x:v>
      </x:c>
      <x:c r="C157" s="102" t="str">
        <x:v>A1285</x:v>
      </x:c>
      <x:c r="D157" s="39" t="str">
        <x:v>3월 청년 실업률 7.5%... 코로나 이후 최고</x:v>
      </x:c>
      <x:c r="E157" s="39" t="str">
        <x:v>2025-04-09</x:v>
      </x:c>
      <x:c r="F157" s="39" t="str">
        <x:v>https://www.chosun.com/economy/economy_general/2025/04/09/S5F7BYR5GJDQZFTEJM6L2KWREQ</x:v>
      </x:c>
      <x:c r="G157" s="39" t="str">
        <x:v>3월 기준으로는 청년 실업률이 10%에 달했던 2021년 3월 이후 4년 만에 가장 높다.</x:v>
      </x:c>
      <x:c r="H157" s="38" t="str">
        <x:v>LEVEL</x:v>
      </x:c>
      <x:c r="I157" s="40" t="str">
        <x:v>10.0</x:v>
      </x:c>
      <x:c r="J157" s="38" t="str">
        <x:v>['월', '%', '년', '월', '년']</x:v>
      </x:c>
      <x:c r="K157" s="38" t="str">
        <x:v>REFUTES</x:v>
      </x:c>
      <x:c r="L157" s="38" t="str">
        <x:v>FULL_KOSIS_MCP</x:v>
      </x:c>
      <x:c r="M157" s="38" t="str">
        <x:v>Y</x:v>
      </x:c>
      <x:c r="N157" s="38" t="str">
        <x:v>Y</x:v>
      </x:c>
      <x:c r="O157" s="38" t="str">
        <x:v>N</x:v>
      </x:c>
      <x:c r="P157" s="38" t="str">
        <x:v>101</x:v>
      </x:c>
      <x:c r="Q157" s="38" t="str">
        <x:v>DT_1DA7001S</x:v>
      </x:c>
      <x:c r="R157" s="38" t="str">
        <x:v>성별 경제활동인구 총괄</x:v>
      </x:c>
      <x:c r="S157" s="38" t="str">
        <x:v>0</x:v>
      </x:c>
      <x:c r="T157" s="38" t="str">
        <x:v>N/A</x:v>
      </x:c>
      <x:c r="U157" s="38" t="str">
        <x:v>T80</x:v>
      </x:c>
      <x:c r="V157" s="38" t="str">
        <x:v>실업률</x:v>
      </x:c>
      <x:c r="W157" s="38" t="str">
        <x:v>계</x:v>
      </x:c>
      <x:c r="X157" s="38" t="str">
        <x:v>M</x:v>
      </x:c>
      <x:c r="Y157" s="38" t="str">
        <x:v>202103</x:v>
      </x:c>
      <x:c r="Z157" s="38" t="str">
        <x:v>N/A</x:v>
      </x:c>
      <x:c r="AA157" s="41" t="str">
        <x:v>4.3</x:v>
      </x:c>
      <x:c r="AB157" s="41" t="str">
        <x:v>N/A</x:v>
      </x:c>
      <x:c r="AC157" s="41" t="str">
        <x:v>%</x:v>
      </x:c>
      <x:c r="AD157" s="41" t="str">
        <x:v>4.3</x:v>
      </x:c>
      <x:c r="AE157" s="39" t="str">
        <x:v>MCP current value × source unit scale (1)</x:v>
      </x:c>
      <x:c r="AF157" s="39" t="str">
        <x:v>MCP_ACTUAL_VALUE_CONFIRMED</x:v>
      </x:c>
      <x:c r="AG157" s="39" t="str">
        <x:v>KOSIS_MCP_GET_DATA</x:v>
      </x:c>
      <x:c r="AH157" s="39" t="str">
        <x:v>https://kosis.kr/statHtml/statHtml.do?orgId=101&amp;tblId=DT_1DA7001S&amp;vw_cd=MT_ZTITLE&amp;list_id=&amp;seqNo=&amp;lang_mode=ko&amp;language=kor&amp;obj_var_id=&amp;itm_id=&amp;conn_path=MT_ZTITLE</x:v>
      </x:c>
      <x:c r="AI157" s="38" t="str">
        <x:v>121-160</x:v>
      </x:c>
      <x:c r="AJ157" s="38" t="n">
        <x:v>46239.364639467596</x:v>
      </x:c>
    </x:row>
    <x:row r="158">
      <x:c r="A158" s="38" t="str">
        <x:v>MCPG-157</x:v>
      </x:c>
      <x:c r="B158" s="38" t="str">
        <x:v>C10000</x:v>
      </x:c>
      <x:c r="C158" s="102" t="str">
        <x:v>A1292</x:v>
      </x:c>
      <x:c r="D158" s="39" t="str">
        <x:v>3월 청년 실업률 7.5%… 4년 만에 최대치 기록</x:v>
      </x:c>
      <x:c r="E158" s="39" t="str">
        <x:v>2025-04-10</x:v>
      </x:c>
      <x:c r="F158" s="39" t="str">
        <x:v>https://www.chosun.com/economy/economy_general/2025/04/10/6WLSW5D3JFC3XHV6BX4GAXERTU</x:v>
      </x:c>
      <x:c r="G158" s="39" t="str">
        <x:v>특히 건설업 취업자 수는 전년 동월 대비 8.7% 줄었는데, 2013년 관련 통계 작성 이래 최대 감소 폭이다.</x:v>
      </x:c>
      <x:c r="H158" s="38" t="str">
        <x:v>CHANGE_RATE</x:v>
      </x:c>
      <x:c r="I158" s="40" t="str">
        <x:v>8.7</x:v>
      </x:c>
      <x:c r="J158" s="38" t="str">
        <x:v>['%', '년']</x:v>
      </x:c>
      <x:c r="K158" s="38" t="str">
        <x:v>REFUTES</x:v>
      </x:c>
      <x:c r="L158" s="38" t="str">
        <x:v>FULL_KOSIS_MCP</x:v>
      </x:c>
      <x:c r="M158" s="38" t="str">
        <x:v>Y</x:v>
      </x:c>
      <x:c r="N158" s="38" t="str">
        <x:v>Y</x:v>
      </x:c>
      <x:c r="O158" s="38" t="str">
        <x:v>N</x:v>
      </x:c>
      <x:c r="P158" s="38" t="str">
        <x:v>101</x:v>
      </x:c>
      <x:c r="Q158" s="38" t="str">
        <x:v>DT_1DA7001S</x:v>
      </x:c>
      <x:c r="R158" s="38" t="str">
        <x:v>성별 경제활동인구 총괄</x:v>
      </x:c>
      <x:c r="S158" s="38" t="str">
        <x:v>0</x:v>
      </x:c>
      <x:c r="T158" s="38" t="str">
        <x:v>N/A</x:v>
      </x:c>
      <x:c r="U158" s="38" t="str">
        <x:v>T80</x:v>
      </x:c>
      <x:c r="V158" s="38" t="str">
        <x:v>실업률</x:v>
      </x:c>
      <x:c r="W158" s="38" t="str">
        <x:v>계</x:v>
      </x:c>
      <x:c r="X158" s="38" t="str">
        <x:v>M</x:v>
      </x:c>
      <x:c r="Y158" s="38" t="str">
        <x:v>202412</x:v>
      </x:c>
      <x:c r="Z158" s="38" t="str">
        <x:v>202312</x:v>
      </x:c>
      <x:c r="AA158" s="41" t="str">
        <x:v>3.8</x:v>
      </x:c>
      <x:c r="AB158" s="41" t="str">
        <x:v>3.3</x:v>
      </x:c>
      <x:c r="AC158" s="41" t="str">
        <x:v>%</x:v>
      </x:c>
      <x:c r="AD158" s="41" t="str">
        <x:v>15.151515151515152</x:v>
      </x:c>
      <x:c r="AE158" s="39" t="str">
        <x:v>(MCP current − MCP previous) / |MCP previous| × 100</x:v>
      </x:c>
      <x:c r="AF158" s="39" t="str">
        <x:v>MCP_ACTUAL_VALUE_CONFIRMED</x:v>
      </x:c>
      <x:c r="AG158" s="39" t="str">
        <x:v>KOSIS_MCP_GET_DATA</x:v>
      </x:c>
      <x:c r="AH158" s="39" t="str">
        <x:v>https://kosis.kr/statHtml/statHtml.do?orgId=101&amp;tblId=DT_1DA7001S&amp;vw_cd=MT_ZTITLE&amp;list_id=&amp;seqNo=&amp;lang_mode=ko&amp;language=kor&amp;obj_var_id=&amp;itm_id=&amp;conn_path=MT_ZTITLE</x:v>
      </x:c>
      <x:c r="AI158" s="38" t="str">
        <x:v>121-160</x:v>
      </x:c>
      <x:c r="AJ158" s="38" t="n">
        <x:v>46239.364639467596</x:v>
      </x:c>
    </x:row>
    <x:row r="159">
      <x:c r="A159" s="38" t="str">
        <x:v>MCPG-158</x:v>
      </x:c>
      <x:c r="B159" s="38" t="str">
        <x:v>C13415</x:v>
      </x:c>
      <x:c r="C159" s="102" t="str">
        <x:v>A1752</x:v>
      </x:c>
      <x:c r="D159" s="39" t="str">
        <x:v>제조업 취업자 6년 만에 최대 감소</x:v>
      </x:c>
      <x:c r="E159" s="39" t="str">
        <x:v>2025-05-15</x:v>
      </x:c>
      <x:c r="F159" s="39" t="str">
        <x:v>https://www.chosun.com/economy/economy_general/2025/05/15/YJZYOKBKABHNNK6M34RI6QJREA</x:v>
      </x:c>
      <x:c r="G159" s="39" t="str">
        <x:v>제조업은 지난달 기준 취업자 수가 439만7000명으로 전체 취업자의 15.2%를 차지하는 ‘일자리 창출 1위 업종’이다.</x:v>
      </x:c>
      <x:c r="H159" s="38" t="str">
        <x:v>LEVEL</x:v>
      </x:c>
      <x:c r="I159" s="40" t="str">
        <x:v>15.2</x:v>
      </x:c>
      <x:c r="J159" s="38" t="str">
        <x:v>['명', '%']</x:v>
      </x:c>
      <x:c r="K159" s="38" t="str">
        <x:v>REFUTES</x:v>
      </x:c>
      <x:c r="L159" s="38" t="str">
        <x:v>FULL_KOSIS_MCP</x:v>
      </x:c>
      <x:c r="M159" s="38" t="str">
        <x:v>Y</x:v>
      </x:c>
      <x:c r="N159" s="38" t="str">
        <x:v>Y</x:v>
      </x:c>
      <x:c r="O159" s="38" t="str">
        <x:v>N</x:v>
      </x:c>
      <x:c r="P159" s="38" t="str">
        <x:v>101</x:v>
      </x:c>
      <x:c r="Q159" s="38" t="str">
        <x:v>DT_1DA7001S</x:v>
      </x:c>
      <x:c r="R159" s="38" t="str">
        <x:v>성별 경제활동인구 총괄</x:v>
      </x:c>
      <x:c r="S159" s="38" t="str">
        <x:v>0</x:v>
      </x:c>
      <x:c r="T159" s="38" t="str">
        <x:v>N/A</x:v>
      </x:c>
      <x:c r="U159" s="38" t="str">
        <x:v>T30</x:v>
      </x:c>
      <x:c r="V159" s="38" t="str">
        <x:v>취업자</x:v>
      </x:c>
      <x:c r="W159" s="38" t="str">
        <x:v>계</x:v>
      </x:c>
      <x:c r="X159" s="38" t="str">
        <x:v>M</x:v>
      </x:c>
      <x:c r="Y159" s="38" t="str">
        <x:v>202504</x:v>
      </x:c>
      <x:c r="Z159" s="38" t="str">
        <x:v>N/A</x:v>
      </x:c>
      <x:c r="AA159" s="41" t="str">
        <x:v>28887.0</x:v>
      </x:c>
      <x:c r="AB159" s="41" t="str">
        <x:v>N/A</x:v>
      </x:c>
      <x:c r="AC159" s="41" t="str">
        <x:v>천명</x:v>
      </x:c>
      <x:c r="AD159" s="41" t="str">
        <x:v>28887.0</x:v>
      </x:c>
      <x:c r="AE159" s="39" t="str">
        <x:v>MCP current value × source unit scale (1)</x:v>
      </x:c>
      <x:c r="AF159" s="39" t="str">
        <x:v>MCP_ACTUAL_VALUE_CONFIRMED</x:v>
      </x:c>
      <x:c r="AG159" s="39" t="str">
        <x:v>KOSIS_MCP_GET_DATA</x:v>
      </x:c>
      <x:c r="AH159" s="39" t="str">
        <x:v>https://kosis.kr/statHtml/statHtml.do?orgId=101&amp;tblId=DT_1DA7001S&amp;vw_cd=MT_ZTITLE&amp;list_id=&amp;seqNo=&amp;lang_mode=ko&amp;language=kor&amp;obj_var_id=&amp;itm_id=&amp;conn_path=MT_ZTITLE</x:v>
      </x:c>
      <x:c r="AI159" s="38" t="str">
        <x:v>121-160</x:v>
      </x:c>
      <x:c r="AJ159" s="38" t="n">
        <x:v>46239.364639467596</x:v>
      </x:c>
    </x:row>
    <x:row r="160">
      <x:c r="A160" s="38" t="str">
        <x:v>MCPG-159</x:v>
      </x:c>
      <x:c r="B160" s="38" t="str">
        <x:v>C13515</x:v>
      </x:c>
      <x:c r="C160" s="102" t="str">
        <x:v>A1766</x:v>
      </x:c>
      <x:c r="D160" s="39" t="str">
        <x:v>“쉬는 게 버는 것?”… 70대 초보 사장, 매출은 3050의 절반</x:v>
      </x:c>
      <x:c r="E160" s="39" t="str">
        <x:v>2025-05-16</x:v>
      </x:c>
      <x:c r="F160" s="39" t="str">
        <x:v>https://www.chosun.com/economy/economy_general/2025/05/16/Q6AP76HLH5BWPPK7H4LMK24LBE</x:v>
      </x:c>
      <x:c r="G160" s="39" t="str">
        <x:v>그런데 이제는 2차 베이비부머(1964~1974년생)들의 은퇴가 늘어나면서 2032년 전체 취업자의 약 9%인 248만명에 달할 것으로 예측되고 있다.</x:v>
      </x:c>
      <x:c r="H160" s="38" t="str">
        <x:v>LEVEL</x:v>
      </x:c>
      <x:c r="I160" s="40" t="str">
        <x:v>9.0</x:v>
      </x:c>
      <x:c r="J160" s="38" t="str">
        <x:v>['년', '년', '%']</x:v>
      </x:c>
      <x:c r="K160" s="38" t="str">
        <x:v>REFUTES</x:v>
      </x:c>
      <x:c r="L160" s="38" t="str">
        <x:v>FULL_KOSIS_MCP</x:v>
      </x:c>
      <x:c r="M160" s="38" t="str">
        <x:v>Y</x:v>
      </x:c>
      <x:c r="N160" s="38" t="str">
        <x:v>Y</x:v>
      </x:c>
      <x:c r="O160" s="38" t="str">
        <x:v>N</x:v>
      </x:c>
      <x:c r="P160" s="38" t="str">
        <x:v>101</x:v>
      </x:c>
      <x:c r="Q160" s="38" t="str">
        <x:v>DT_1DA7001S</x:v>
      </x:c>
      <x:c r="R160" s="38" t="str">
        <x:v>성별 경제활동인구 총괄</x:v>
      </x:c>
      <x:c r="S160" s="38" t="str">
        <x:v>0</x:v>
      </x:c>
      <x:c r="T160" s="38" t="str">
        <x:v>N/A</x:v>
      </x:c>
      <x:c r="U160" s="38" t="str">
        <x:v>T30</x:v>
      </x:c>
      <x:c r="V160" s="38" t="str">
        <x:v>취업자</x:v>
      </x:c>
      <x:c r="W160" s="38" t="str">
        <x:v>계</x:v>
      </x:c>
      <x:c r="X160" s="38" t="str">
        <x:v>Y</x:v>
      </x:c>
      <x:c r="Y160" s="38" t="str">
        <x:v>2023</x:v>
      </x:c>
      <x:c r="Z160" s="38" t="str">
        <x:v>N/A</x:v>
      </x:c>
      <x:c r="AA160" s="41" t="str">
        <x:v>28416.3</x:v>
      </x:c>
      <x:c r="AB160" s="41" t="str">
        <x:v>N/A</x:v>
      </x:c>
      <x:c r="AC160" s="41" t="str">
        <x:v>천명</x:v>
      </x:c>
      <x:c r="AD160" s="41" t="str">
        <x:v>28416.3</x:v>
      </x:c>
      <x:c r="AE160" s="39" t="str">
        <x:v>MCP current value × source unit scale (1)</x:v>
      </x:c>
      <x:c r="AF160" s="39" t="str">
        <x:v>MCP_ACTUAL_VALUE_CONFIRMED</x:v>
      </x:c>
      <x:c r="AG160" s="39" t="str">
        <x:v>KOSIS_MCP_GET_DATA</x:v>
      </x:c>
      <x:c r="AH160" s="39" t="str">
        <x:v>https://kosis.kr/statHtml/statHtml.do?orgId=101&amp;tblId=DT_1DA7001S&amp;vw_cd=MT_ZTITLE&amp;list_id=&amp;seqNo=&amp;lang_mode=ko&amp;language=kor&amp;obj_var_id=&amp;itm_id=&amp;conn_path=MT_ZTITLE</x:v>
      </x:c>
      <x:c r="AI160" s="38" t="str">
        <x:v>121-160</x:v>
      </x:c>
      <x:c r="AJ160" s="38" t="n">
        <x:v>46239.364639467596</x:v>
      </x:c>
    </x:row>
    <x:row r="161">
      <x:c r="A161" s="38" t="str">
        <x:v>MCPG-160</x:v>
      </x:c>
      <x:c r="B161" s="38" t="str">
        <x:v>C14412</x:v>
      </x:c>
      <x:c r="C161" s="102" t="str">
        <x:v>A1902</x:v>
      </x:c>
      <x:c r="D161" s="39" t="str">
        <x:v>“더 좋은 기업으로 간다”… 이젠 취업도 ‘반수 시대’</x:v>
      </x:c>
      <x:c r="E161" s="39" t="str">
        <x:v>2025-05-27</x:v>
      </x:c>
      <x:c r="F161" s="39" t="str">
        <x:v>https://www.chosun.com/economy/economy_general/2025/05/27/FUCSNQX24FBOTBKZVNTRCAB3WA</x:v>
      </x:c>
      <x:c r="G161" s="39" t="str">
        <x:v>◇늘어나는 취업 반수생 지난 3월 한국경제인협회(한경협)가 발표한 매출액 상위 500대 기업 대상 ‘대졸 신규 채용 계획 조사’ 결과에 따르면, 설문에 응답한 126곳이 작년 뽑은 신입 사원의 28.9%는 이미 이전에 회사를 다닌 경력이 있었다.</x:v>
      </x:c>
      <x:c r="H161" s="38" t="str">
        <x:v>LEVEL</x:v>
      </x:c>
      <x:c r="I161" s="40" t="str">
        <x:v>28.9</x:v>
      </x:c>
      <x:c r="J161" s="38" t="str">
        <x:v>['월', '%']</x:v>
      </x:c>
      <x:c r="K161" s="38" t="str">
        <x:v>REFUTES</x:v>
      </x:c>
      <x:c r="L161" s="38" t="str">
        <x:v>FULL_KOSIS_MCP</x:v>
      </x:c>
      <x:c r="M161" s="38" t="str">
        <x:v>Y</x:v>
      </x:c>
      <x:c r="N161" s="38" t="str">
        <x:v>Y</x:v>
      </x:c>
      <x:c r="O161" s="38" t="str">
        <x:v>N</x:v>
      </x:c>
      <x:c r="P161" s="38" t="str">
        <x:v>101</x:v>
      </x:c>
      <x:c r="Q161" s="38" t="str">
        <x:v>DT_1DA7001S</x:v>
      </x:c>
      <x:c r="R161" s="38" t="str">
        <x:v>성별 경제활동인구 총괄</x:v>
      </x:c>
      <x:c r="S161" s="38" t="str">
        <x:v>0</x:v>
      </x:c>
      <x:c r="T161" s="38" t="str">
        <x:v>N/A</x:v>
      </x:c>
      <x:c r="U161" s="38" t="str">
        <x:v>T30</x:v>
      </x:c>
      <x:c r="V161" s="38" t="str">
        <x:v>취업자</x:v>
      </x:c>
      <x:c r="W161" s="38" t="str">
        <x:v>계</x:v>
      </x:c>
      <x:c r="X161" s="38" t="str">
        <x:v>M</x:v>
      </x:c>
      <x:c r="Y161" s="38" t="str">
        <x:v>202403</x:v>
      </x:c>
      <x:c r="Z161" s="38" t="str">
        <x:v>N/A</x:v>
      </x:c>
      <x:c r="AA161" s="41" t="str">
        <x:v>28395.8</x:v>
      </x:c>
      <x:c r="AB161" s="41" t="str">
        <x:v>N/A</x:v>
      </x:c>
      <x:c r="AC161" s="41" t="str">
        <x:v>천명</x:v>
      </x:c>
      <x:c r="AD161" s="41" t="str">
        <x:v>28395.8</x:v>
      </x:c>
      <x:c r="AE161" s="39" t="str">
        <x:v>MCP current value × source unit scale (1)</x:v>
      </x:c>
      <x:c r="AF161" s="39" t="str">
        <x:v>MCP_ACTUAL_VALUE_CONFIRMED</x:v>
      </x:c>
      <x:c r="AG161" s="39" t="str">
        <x:v>KOSIS_MCP_GET_DATA</x:v>
      </x:c>
      <x:c r="AH161" s="39" t="str">
        <x:v>https://kosis.kr/statHtml/statHtml.do?orgId=101&amp;tblId=DT_1DA7001S&amp;vw_cd=MT_ZTITLE&amp;list_id=&amp;seqNo=&amp;lang_mode=ko&amp;language=kor&amp;obj_var_id=&amp;itm_id=&amp;conn_path=MT_ZTITLE</x:v>
      </x:c>
      <x:c r="AI161" s="38" t="str">
        <x:v>121-160</x:v>
      </x:c>
      <x:c r="AJ161" s="38" t="n">
        <x:v>46239.364639467596</x:v>
      </x:c>
    </x:row>
    <x:row r="162">
      <x:c r="A162" s="38" t="str">
        <x:v>MCPG-161</x:v>
      </x:c>
      <x:c r="B162" s="38" t="str">
        <x:v>C14417</x:v>
      </x:c>
      <x:c r="C162" s="102" t="str">
        <x:v>A1902</x:v>
      </x:c>
      <x:c r="D162" s="39" t="str">
        <x:v>“더 좋은 기업으로 간다”… 이젠 취업도 ‘반수 시대’</x:v>
      </x:c>
      <x:c r="E162" s="39" t="str">
        <x:v>2025-05-27</x:v>
      </x:c>
      <x:c r="F162" s="39" t="str">
        <x:v>https://www.chosun.com/economy/economy_general/2025/05/27/FUCSNQX24FBOTBKZVNTRCAB3WA</x:v>
      </x:c>
      <x:c r="G162" s="39" t="str">
        <x:v>26일 통계청에 따르면, 청년층인 15~29세 실업률은 7.3%로 코로나 대유행 막바지인 2022년(7.4%) 이후 3년 만에 4월 기준 최고다.</x:v>
      </x:c>
      <x:c r="H162" s="38" t="str">
        <x:v>LEVEL</x:v>
      </x:c>
      <x:c r="I162" s="40" t="str">
        <x:v>7.4</x:v>
      </x:c>
      <x:c r="J162" s="38" t="str">
        <x:v>['일', '%', '년', '%', '년', '월']</x:v>
      </x:c>
      <x:c r="K162" s="38" t="str">
        <x:v>REFUTES</x:v>
      </x:c>
      <x:c r="L162" s="38" t="str">
        <x:v>FULL_KOSIS_MCP</x:v>
      </x:c>
      <x:c r="M162" s="38" t="str">
        <x:v>Y</x:v>
      </x:c>
      <x:c r="N162" s="38" t="str">
        <x:v>Y</x:v>
      </x:c>
      <x:c r="O162" s="38" t="str">
        <x:v>N</x:v>
      </x:c>
      <x:c r="P162" s="38" t="str">
        <x:v>101</x:v>
      </x:c>
      <x:c r="Q162" s="38" t="str">
        <x:v>DT_1DA7001S</x:v>
      </x:c>
      <x:c r="R162" s="38" t="str">
        <x:v>성별 경제활동인구 총괄</x:v>
      </x:c>
      <x:c r="S162" s="38" t="str">
        <x:v>0</x:v>
      </x:c>
      <x:c r="T162" s="38" t="str">
        <x:v>N/A</x:v>
      </x:c>
      <x:c r="U162" s="38" t="str">
        <x:v>T80</x:v>
      </x:c>
      <x:c r="V162" s="38" t="str">
        <x:v>실업률</x:v>
      </x:c>
      <x:c r="W162" s="38" t="str">
        <x:v>계</x:v>
      </x:c>
      <x:c r="X162" s="38" t="str">
        <x:v>M</x:v>
      </x:c>
      <x:c r="Y162" s="38" t="str">
        <x:v>202204</x:v>
      </x:c>
      <x:c r="Z162" s="38" t="str">
        <x:v>N/A</x:v>
      </x:c>
      <x:c r="AA162" s="41" t="str">
        <x:v>3.0</x:v>
      </x:c>
      <x:c r="AB162" s="41" t="str">
        <x:v>N/A</x:v>
      </x:c>
      <x:c r="AC162" s="41" t="str">
        <x:v>%</x:v>
      </x:c>
      <x:c r="AD162" s="41" t="str">
        <x:v>3.0</x:v>
      </x:c>
      <x:c r="AE162" s="39" t="str">
        <x:v>MCP current value × source unit scale (1)</x:v>
      </x:c>
      <x:c r="AF162" s="39" t="str">
        <x:v>MCP_ACTUAL_VALUE_CONFIRMED</x:v>
      </x:c>
      <x:c r="AG162" s="39" t="str">
        <x:v>KOSIS_MCP_GET_DATA</x:v>
      </x:c>
      <x:c r="AH162" s="39" t="str">
        <x:v>https://kosis.kr/statHtml/statHtml.do?orgId=101&amp;tblId=DT_1DA7001S&amp;vw_cd=MT_ZTITLE&amp;list_id=&amp;seqNo=&amp;lang_mode=ko&amp;language=kor&amp;obj_var_id=&amp;itm_id=&amp;conn_path=MT_ZTITLE</x:v>
      </x:c>
      <x:c r="AI162" s="38" t="str">
        <x:v>121-160</x:v>
      </x:c>
      <x:c r="AJ162" s="38" t="n">
        <x:v>46239.364639467596</x:v>
      </x:c>
    </x:row>
    <x:row r="163">
      <x:c r="A163" s="38" t="str">
        <x:v>MCPG-162</x:v>
      </x:c>
      <x:c r="B163" s="38" t="str">
        <x:v>C14423</x:v>
      </x:c>
      <x:c r="C163" s="102" t="str">
        <x:v>A1903</x:v>
      </x:c>
      <x:c r="D163" s="39" t="str">
        <x:v>노인 고용률 OECD 1위지만...65세 근로자 3명 중 1명은 ‘단순 노무직’</x:v>
      </x:c>
      <x:c r="E163" s="39" t="str">
        <x:v>2025-05-27</x:v>
      </x:c>
      <x:c r="F163" s="39" t="str">
        <x:v>https://www.chosun.com/economy/economy_general/2025/05/27/NE3J4GIGIREKTLPROKLTL2NF3M</x:v>
      </x:c>
      <x:c r="G163" s="39" t="str">
        <x:v>27일 국회예산정책처의 ‘인구·고용동향 &amp; 이슈’ 보고서에 따르면, 2023년 기준 우리나라 65세 이상 인구의 고용률은 37.3%로 OECD 평균(13.6%)의 3배에 육박했다.</x:v>
      </x:c>
      <x:c r="H163" s="38" t="str">
        <x:v>LEVEL</x:v>
      </x:c>
      <x:c r="I163" s="40" t="str">
        <x:v>13.6</x:v>
      </x:c>
      <x:c r="J163" s="38" t="str">
        <x:v>['일', '년', '%', '%', '배']</x:v>
      </x:c>
      <x:c r="K163" s="38" t="str">
        <x:v>REFUTES</x:v>
      </x:c>
      <x:c r="L163" s="38" t="str">
        <x:v>FULL_KOSIS_MCP</x:v>
      </x:c>
      <x:c r="M163" s="38" t="str">
        <x:v>Y</x:v>
      </x:c>
      <x:c r="N163" s="38" t="str">
        <x:v>Y</x:v>
      </x:c>
      <x:c r="O163" s="38" t="str">
        <x:v>N</x:v>
      </x:c>
      <x:c r="P163" s="38" t="str">
        <x:v>101</x:v>
      </x:c>
      <x:c r="Q163" s="38" t="str">
        <x:v>DT_1DA7001S</x:v>
      </x:c>
      <x:c r="R163" s="38" t="str">
        <x:v>성별 경제활동인구 총괄</x:v>
      </x:c>
      <x:c r="S163" s="38" t="str">
        <x:v>0</x:v>
      </x:c>
      <x:c r="T163" s="38" t="str">
        <x:v>N/A</x:v>
      </x:c>
      <x:c r="U163" s="38" t="str">
        <x:v>T90</x:v>
      </x:c>
      <x:c r="V163" s="38" t="str">
        <x:v>고용률</x:v>
      </x:c>
      <x:c r="W163" s="38" t="str">
        <x:v>계</x:v>
      </x:c>
      <x:c r="X163" s="38" t="str">
        <x:v>Y</x:v>
      </x:c>
      <x:c r="Y163" s="38" t="str">
        <x:v>2023</x:v>
      </x:c>
      <x:c r="Z163" s="38" t="str">
        <x:v>N/A</x:v>
      </x:c>
      <x:c r="AA163" s="41" t="str">
        <x:v>62.6</x:v>
      </x:c>
      <x:c r="AB163" s="41" t="str">
        <x:v>N/A</x:v>
      </x:c>
      <x:c r="AC163" s="41" t="str">
        <x:v>%</x:v>
      </x:c>
      <x:c r="AD163" s="41" t="str">
        <x:v>62.6</x:v>
      </x:c>
      <x:c r="AE163" s="39" t="str">
        <x:v>MCP current value × source unit scale (1)</x:v>
      </x:c>
      <x:c r="AF163" s="39" t="str">
        <x:v>MCP_ACTUAL_VALUE_CONFIRMED</x:v>
      </x:c>
      <x:c r="AG163" s="39" t="str">
        <x:v>KOSIS_MCP_GET_DATA</x:v>
      </x:c>
      <x:c r="AH163" s="39" t="str">
        <x:v>https://kosis.kr/statHtml/statHtml.do?orgId=101&amp;tblId=DT_1DA7001S&amp;vw_cd=MT_ZTITLE&amp;list_id=&amp;seqNo=&amp;lang_mode=ko&amp;language=kor&amp;obj_var_id=&amp;itm_id=&amp;conn_path=MT_ZTITLE</x:v>
      </x:c>
      <x:c r="AI163" s="38" t="str">
        <x:v>121-160</x:v>
      </x:c>
      <x:c r="AJ163" s="38" t="n">
        <x:v>46239.364639467596</x:v>
      </x:c>
    </x:row>
    <x:row r="164">
      <x:c r="A164" s="38" t="str">
        <x:v>MCPG-163</x:v>
      </x:c>
      <x:c r="B164" s="38" t="str">
        <x:v>C01466</x:v>
      </x:c>
      <x:c r="C164" s="102" t="str">
        <x:v>A0202</x:v>
      </x:c>
      <x:c r="D164" s="39" t="str">
        <x:v>고용 한파… 청년이라 더 추운 겨울</x:v>
      </x:c>
      <x:c r="E164" s="39" t="str">
        <x:v>2025-01-16</x:v>
      </x:c>
      <x:c r="F164" s="39" t="str">
        <x:v>https://www.chosun.com/economy/economy_general/2025/01/16/IYBVLBS7D5AJ3ENSN7WNDOJX2Y</x:v>
      </x:c>
      <x:c r="G164" s="39" t="str">
        <x:v>15일 통계청이 발표한 ‘2024년 12월 및 연간 고용 동향’에 따르면, 지난달 취업자 수는 2804만1000명으로 전년 동월 대비 5만2000명 감소했다.</x:v>
      </x:c>
      <x:c r="H164" s="38" t="str">
        <x:v>CHANGE_RATE</x:v>
      </x:c>
      <x:c r="I164" s="40" t="str">
        <x:v>2000.0</x:v>
      </x:c>
      <x:c r="J164" s="38" t="str">
        <x:v>['일', '년', '월', '명', '명']</x:v>
      </x:c>
      <x:c r="K164" s="38" t="str">
        <x:v>REFUTES</x:v>
      </x:c>
      <x:c r="L164" s="38" t="str">
        <x:v>FULL_KOSIS_MCP</x:v>
      </x:c>
      <x:c r="M164" s="38" t="str">
        <x:v>Y</x:v>
      </x:c>
      <x:c r="N164" s="38" t="str">
        <x:v>Y</x:v>
      </x:c>
      <x:c r="O164" s="38" t="str">
        <x:v>N</x:v>
      </x:c>
      <x:c r="P164" s="38" t="str">
        <x:v>101</x:v>
      </x:c>
      <x:c r="Q164" s="38" t="str">
        <x:v>DT_1DA7002S</x:v>
      </x:c>
      <x:c r="R164" s="38" t="str">
        <x:v>연령별 경제활동인구 총괄</x:v>
      </x:c>
      <x:c r="S164" s="38" t="str">
        <x:v>75</x:v>
      </x:c>
      <x:c r="T164" s="38" t="str">
        <x:v>N/A</x:v>
      </x:c>
      <x:c r="U164" s="38" t="str">
        <x:v>T30</x:v>
      </x:c>
      <x:c r="V164" s="38" t="str">
        <x:v>취업자</x:v>
      </x:c>
      <x:c r="W164" s="38" t="str">
        <x:v>15 - 29세</x:v>
      </x:c>
      <x:c r="X164" s="38" t="str">
        <x:v>M</x:v>
      </x:c>
      <x:c r="Y164" s="38" t="str">
        <x:v>202412</x:v>
      </x:c>
      <x:c r="Z164" s="38" t="str">
        <x:v>202312</x:v>
      </x:c>
      <x:c r="AA164" s="41" t="str">
        <x:v>3602.0</x:v>
      </x:c>
      <x:c r="AB164" s="41" t="str">
        <x:v>3818.6</x:v>
      </x:c>
      <x:c r="AC164" s="41" t="str">
        <x:v>천명</x:v>
      </x:c>
      <x:c r="AD164" s="41" t="str">
        <x:v>-5.672235897973077</x:v>
      </x:c>
      <x:c r="AE164" s="39" t="str">
        <x:v>(MCP current − MCP previous) / |MCP previous| × 100</x:v>
      </x:c>
      <x:c r="AF164" s="39" t="str">
        <x:v>MCP_ACTUAL_VALUE_CONFIRMED</x:v>
      </x:c>
      <x:c r="AG164" s="39" t="str">
        <x:v>KOSIS_MCP_GET_DATA</x:v>
      </x:c>
      <x:c r="AH164" s="39" t="str">
        <x:v>https://kosis.kr/statHtml/statHtml.do?orgId=101&amp;tblId=DT_1DA7002S&amp;vw_cd=MT_ZTITLE&amp;list_id=&amp;seqNo=&amp;lang_mode=ko&amp;language=kor&amp;obj_var_id=&amp;itm_id=&amp;conn_path=MT_ZTITLE</x:v>
      </x:c>
      <x:c r="AI164" s="38" t="str">
        <x:v>121-160</x:v>
      </x:c>
      <x:c r="AJ164" s="38" t="n">
        <x:v>46239.364639467596</x:v>
      </x:c>
    </x:row>
    <x:row r="165">
      <x:c r="A165" s="38" t="str">
        <x:v>MCPG-164</x:v>
      </x:c>
      <x:c r="B165" s="38" t="str">
        <x:v>C01479</x:v>
      </x:c>
      <x:c r="C165" s="102" t="str">
        <x:v>A0202</x:v>
      </x:c>
      <x:c r="D165" s="39" t="str">
        <x:v>고용 한파… 청년이라 더 추운 겨울</x:v>
      </x:c>
      <x:c r="E165" s="39" t="str">
        <x:v>2025-01-16</x:v>
      </x:c>
      <x:c r="F165" s="39" t="str">
        <x:v>https://www.chosun.com/economy/economy_general/2025/01/16/IYBVLBS7D5AJ3ENSN7WNDOJX2Y</x:v>
      </x:c>
      <x:c r="G165" s="39" t="str">
        <x:v>◇연간 취업자도 ‘반 토막’ 작년 한 해 월평균 취업자 수는 2857만6000명으로 1년 전보다 15만9000명 늘어나는 데 그쳤다.</x:v>
      </x:c>
      <x:c r="H165" s="38" t="str">
        <x:v>LEVEL</x:v>
      </x:c>
      <x:c r="I165" s="40" t="str">
        <x:v>9000.0</x:v>
      </x:c>
      <x:c r="J165" s="38" t="str">
        <x:v>['명', '년', '명']</x:v>
      </x:c>
      <x:c r="K165" s="38" t="str">
        <x:v>REFUTES</x:v>
      </x:c>
      <x:c r="L165" s="38" t="str">
        <x:v>FULL_KOSIS_MCP</x:v>
      </x:c>
      <x:c r="M165" s="38" t="str">
        <x:v>Y</x:v>
      </x:c>
      <x:c r="N165" s="38" t="str">
        <x:v>Y</x:v>
      </x:c>
      <x:c r="O165" s="38" t="str">
        <x:v>N</x:v>
      </x:c>
      <x:c r="P165" s="38" t="str">
        <x:v>101</x:v>
      </x:c>
      <x:c r="Q165" s="38" t="str">
        <x:v>DT_1DA7002S</x:v>
      </x:c>
      <x:c r="R165" s="38" t="str">
        <x:v>연령별 경제활동인구 총괄</x:v>
      </x:c>
      <x:c r="S165" s="38" t="str">
        <x:v>75</x:v>
      </x:c>
      <x:c r="T165" s="38" t="str">
        <x:v>N/A</x:v>
      </x:c>
      <x:c r="U165" s="38" t="str">
        <x:v>T30</x:v>
      </x:c>
      <x:c r="V165" s="38" t="str">
        <x:v>취업자</x:v>
      </x:c>
      <x:c r="W165" s="38" t="str">
        <x:v>15 - 29세</x:v>
      </x:c>
      <x:c r="X165" s="38" t="str">
        <x:v>Y</x:v>
      </x:c>
      <x:c r="Y165" s="38" t="str">
        <x:v>2024</x:v>
      </x:c>
      <x:c r="Z165" s="38" t="str">
        <x:v>N/A</x:v>
      </x:c>
      <x:c r="AA165" s="41" t="str">
        <x:v>3755.2</x:v>
      </x:c>
      <x:c r="AB165" s="41" t="str">
        <x:v>N/A</x:v>
      </x:c>
      <x:c r="AC165" s="41" t="str">
        <x:v>천명</x:v>
      </x:c>
      <x:c r="AD165" s="41" t="str">
        <x:v>3755.2</x:v>
      </x:c>
      <x:c r="AE165" s="39" t="str">
        <x:v>MCP current value × source unit scale (1)</x:v>
      </x:c>
      <x:c r="AF165" s="39" t="str">
        <x:v>MCP_ACTUAL_VALUE_CONFIRMED</x:v>
      </x:c>
      <x:c r="AG165" s="39" t="str">
        <x:v>KOSIS_MCP_GET_DATA</x:v>
      </x:c>
      <x:c r="AH165" s="39" t="str">
        <x:v>https://kosis.kr/statHtml/statHtml.do?orgId=101&amp;tblId=DT_1DA7002S&amp;vw_cd=MT_ZTITLE&amp;list_id=&amp;seqNo=&amp;lang_mode=ko&amp;language=kor&amp;obj_var_id=&amp;itm_id=&amp;conn_path=MT_ZTITLE</x:v>
      </x:c>
      <x:c r="AI165" s="38" t="str">
        <x:v>121-160</x:v>
      </x:c>
      <x:c r="AJ165" s="38" t="n">
        <x:v>46239.364639467596</x:v>
      </x:c>
    </x:row>
    <x:row r="166">
      <x:c r="A166" s="38" t="str">
        <x:v>MCPG-165</x:v>
      </x:c>
      <x:c r="B166" s="38" t="str">
        <x:v>C02373</x:v>
      </x:c>
      <x:c r="C166" s="102" t="str">
        <x:v>A0319</x:v>
      </x:c>
      <x:c r="D166" s="39" t="str">
        <x:v>1년간 무료 코딩 교육… 삼성 청년 SW아카데미, 고졸 청년들 첫 입학</x:v>
      </x:c>
      <x:c r="E166" s="39" t="str">
        <x:v>2025-01-25</x:v>
      </x:c>
      <x:c r="F166" s="39" t="str">
        <x:v>https://www.chosun.com/economy/industry-company/2025/01/25/Y5IAISPA2ZDPHHDJN5QWX7JAN4</x:v>
      </x:c>
      <x:c r="G166" s="39" t="str">
        <x:v>삼성은 “2018년부터 현재까지 누적 취업자가 7000명을 넘어섰다”며 “AI 시대를 선도할 주역으로 성장할 수 있도록 청년들을 지속적으로 키워나갈 것”이라고 밝혔다.</x:v>
      </x:c>
      <x:c r="H166" s="38" t="str">
        <x:v>CHANGE_RATE</x:v>
      </x:c>
      <x:c r="I166" s="40" t="str">
        <x:v>7000.0</x:v>
      </x:c>
      <x:c r="J166" s="38" t="str">
        <x:v>['년', '명']</x:v>
      </x:c>
      <x:c r="K166" s="38" t="str">
        <x:v>REFUTES</x:v>
      </x:c>
      <x:c r="L166" s="38" t="str">
        <x:v>FULL_KOSIS_MCP</x:v>
      </x:c>
      <x:c r="M166" s="38" t="str">
        <x:v>Y</x:v>
      </x:c>
      <x:c r="N166" s="38" t="str">
        <x:v>Y</x:v>
      </x:c>
      <x:c r="O166" s="38" t="str">
        <x:v>N</x:v>
      </x:c>
      <x:c r="P166" s="38" t="str">
        <x:v>101</x:v>
      </x:c>
      <x:c r="Q166" s="38" t="str">
        <x:v>DT_1DA7002S</x:v>
      </x:c>
      <x:c r="R166" s="38" t="str">
        <x:v>연령별 경제활동인구 총괄</x:v>
      </x:c>
      <x:c r="S166" s="38" t="str">
        <x:v>75</x:v>
      </x:c>
      <x:c r="T166" s="38" t="str">
        <x:v>N/A</x:v>
      </x:c>
      <x:c r="U166" s="38" t="str">
        <x:v>T30</x:v>
      </x:c>
      <x:c r="V166" s="38" t="str">
        <x:v>취업자</x:v>
      </x:c>
      <x:c r="W166" s="38" t="str">
        <x:v>15 - 29세</x:v>
      </x:c>
      <x:c r="X166" s="38" t="str">
        <x:v>Y</x:v>
      </x:c>
      <x:c r="Y166" s="38" t="str">
        <x:v>2018</x:v>
      </x:c>
      <x:c r="Z166" s="38" t="str">
        <x:v>2017</x:v>
      </x:c>
      <x:c r="AA166" s="41" t="str">
        <x:v>3904.1</x:v>
      </x:c>
      <x:c r="AB166" s="41" t="str">
        <x:v>3906.9</x:v>
      </x:c>
      <x:c r="AC166" s="41" t="str">
        <x:v>천명</x:v>
      </x:c>
      <x:c r="AD166" s="41" t="str">
        <x:v>-0.0716680744324191</x:v>
      </x:c>
      <x:c r="AE166" s="39" t="str">
        <x:v>(MCP current − MCP previous) / |MCP previous| × 100</x:v>
      </x:c>
      <x:c r="AF166" s="39" t="str">
        <x:v>MCP_ACTUAL_VALUE_CONFIRMED</x:v>
      </x:c>
      <x:c r="AG166" s="39" t="str">
        <x:v>KOSIS_MCP_GET_DATA</x:v>
      </x:c>
      <x:c r="AH166" s="39" t="str">
        <x:v>https://kosis.kr/statHtml/statHtml.do?orgId=101&amp;tblId=DT_1DA7002S&amp;vw_cd=MT_ZTITLE&amp;list_id=&amp;seqNo=&amp;lang_mode=ko&amp;language=kor&amp;obj_var_id=&amp;itm_id=&amp;conn_path=MT_ZTITLE</x:v>
      </x:c>
      <x:c r="AI166" s="38" t="str">
        <x:v>121-160</x:v>
      </x:c>
      <x:c r="AJ166" s="38" t="n">
        <x:v>46239.364639467596</x:v>
      </x:c>
    </x:row>
    <x:row r="167">
      <x:c r="A167" s="38" t="str">
        <x:v>MCPG-166</x:v>
      </x:c>
      <x:c r="B167" s="38" t="str">
        <x:v>C10540</x:v>
      </x:c>
      <x:c r="C167" s="102" t="str">
        <x:v>A1359</x:v>
      </x:c>
      <x:c r="D167" s="39" t="str">
        <x:v>25~34세 청년 취업자 1분기 3만명 넘게 줄어… 4년 만에 감소세 전환</x:v>
      </x:c>
      <x:c r="E167" s="39" t="str">
        <x:v>2025-04-15</x:v>
      </x:c>
      <x:c r="F167" s="39" t="str">
        <x:v>https://www.chosun.com/economy/economy_general/2025/04/15/POL2G36SVVA2TKNC5BVLK52A44</x:v>
      </x:c>
      <x:c r="G167" s="39" t="str">
        <x:v>지난달 제조업 취업자는 전년 동월 대비 11만2000명 줄며 4년 4개월 만에 최대 감소 폭을 기록했고, 건설업 취업자는 18만5000명 급감하면서 2013년 관련 통계 집계 이래 최대 감소 폭을 보였다.</x:v>
      </x:c>
      <x:c r="H167" s="38" t="str">
        <x:v>CHANGE_RATE</x:v>
      </x:c>
      <x:c r="I167" s="40" t="str">
        <x:v>5000.0</x:v>
      </x:c>
      <x:c r="J167" s="38" t="str">
        <x:v>['명', '년', '개', '명', '년']</x:v>
      </x:c>
      <x:c r="K167" s="38" t="str">
        <x:v>REFUTES</x:v>
      </x:c>
      <x:c r="L167" s="38" t="str">
        <x:v>FULL_KOSIS_MCP</x:v>
      </x:c>
      <x:c r="M167" s="38" t="str">
        <x:v>Y</x:v>
      </x:c>
      <x:c r="N167" s="38" t="str">
        <x:v>Y</x:v>
      </x:c>
      <x:c r="O167" s="38" t="str">
        <x:v>N</x:v>
      </x:c>
      <x:c r="P167" s="38" t="str">
        <x:v>101</x:v>
      </x:c>
      <x:c r="Q167" s="38" t="str">
        <x:v>DT_1DA7002S</x:v>
      </x:c>
      <x:c r="R167" s="38" t="str">
        <x:v>연령별 경제활동인구 총괄</x:v>
      </x:c>
      <x:c r="S167" s="38" t="str">
        <x:v>75</x:v>
      </x:c>
      <x:c r="T167" s="38" t="str">
        <x:v>N/A</x:v>
      </x:c>
      <x:c r="U167" s="38" t="str">
        <x:v>T30</x:v>
      </x:c>
      <x:c r="V167" s="38" t="str">
        <x:v>취업자</x:v>
      </x:c>
      <x:c r="W167" s="38" t="str">
        <x:v>15 - 29세</x:v>
      </x:c>
      <x:c r="X167" s="38" t="str">
        <x:v>M</x:v>
      </x:c>
      <x:c r="Y167" s="38" t="str">
        <x:v>202403</x:v>
      </x:c>
      <x:c r="Z167" s="38" t="str">
        <x:v>202303</x:v>
      </x:c>
      <x:c r="AA167" s="41" t="str">
        <x:v>3775.6</x:v>
      </x:c>
      <x:c r="AB167" s="41" t="str">
        <x:v>3907.0</x:v>
      </x:c>
      <x:c r="AC167" s="41" t="str">
        <x:v>천명</x:v>
      </x:c>
      <x:c r="AD167" s="41" t="str">
        <x:v>-3.363194266700796</x:v>
      </x:c>
      <x:c r="AE167" s="39" t="str">
        <x:v>(MCP current − MCP previous) / |MCP previous| × 100</x:v>
      </x:c>
      <x:c r="AF167" s="39" t="str">
        <x:v>MCP_ACTUAL_VALUE_CONFIRMED</x:v>
      </x:c>
      <x:c r="AG167" s="39" t="str">
        <x:v>KOSIS_MCP_GET_DATA</x:v>
      </x:c>
      <x:c r="AH167" s="39" t="str">
        <x:v>https://kosis.kr/statHtml/statHtml.do?orgId=101&amp;tblId=DT_1DA7002S&amp;vw_cd=MT_ZTITLE&amp;list_id=&amp;seqNo=&amp;lang_mode=ko&amp;language=kor&amp;obj_var_id=&amp;itm_id=&amp;conn_path=MT_ZTITLE</x:v>
      </x:c>
      <x:c r="AI167" s="38" t="str">
        <x:v>121-160</x:v>
      </x:c>
      <x:c r="AJ167" s="38" t="n">
        <x:v>46239.364639467596</x:v>
      </x:c>
    </x:row>
    <x:row r="168">
      <x:c r="A168" s="38" t="str">
        <x:v>MCPG-167</x:v>
      </x:c>
      <x:c r="B168" s="38" t="str">
        <x:v>C13303</x:v>
      </x:c>
      <x:c r="C168" s="102" t="str">
        <x:v>A1737</x:v>
      </x:c>
      <x:c r="D168" s="39" t="str">
        <x:v>청년 고용률 1년째 내리막...20대 후반 실업률 45개월만 최대치</x:v>
      </x:c>
      <x:c r="E168" s="39" t="str">
        <x:v>2025-05-14</x:v>
      </x:c>
      <x:c r="F168" s="39" t="str">
        <x:v>https://www.chosun.com/economy/economy_general/2025/05/14/O2W4JERT4FGXRKVNYQRYWEVEQY</x:v>
      </x:c>
      <x:c r="G168" s="39" t="str">
        <x:v>14일 통계청이 발표한 ‘2025년 4월 고용동향’에 따르면, 지난달 15세 이상 취업자는 2888만7000명으로 전년 동월 대비 19만4000명 늘었다.</x:v>
      </x:c>
      <x:c r="H168" s="38" t="str">
        <x:v>CHANGE_RATE</x:v>
      </x:c>
      <x:c r="I168" s="40" t="str">
        <x:v>4000.0</x:v>
      </x:c>
      <x:c r="J168" s="38" t="str">
        <x:v>['일', '년', '월', '명', '명']</x:v>
      </x:c>
      <x:c r="K168" s="38" t="str">
        <x:v>REFUTES</x:v>
      </x:c>
      <x:c r="L168" s="38" t="str">
        <x:v>FULL_KOSIS_MCP</x:v>
      </x:c>
      <x:c r="M168" s="38" t="str">
        <x:v>Y</x:v>
      </x:c>
      <x:c r="N168" s="38" t="str">
        <x:v>Y</x:v>
      </x:c>
      <x:c r="O168" s="38" t="str">
        <x:v>N</x:v>
      </x:c>
      <x:c r="P168" s="38" t="str">
        <x:v>101</x:v>
      </x:c>
      <x:c r="Q168" s="38" t="str">
        <x:v>DT_1DA7002S</x:v>
      </x:c>
      <x:c r="R168" s="38" t="str">
        <x:v>연령별 경제활동인구 총괄</x:v>
      </x:c>
      <x:c r="S168" s="38" t="str">
        <x:v>75</x:v>
      </x:c>
      <x:c r="T168" s="38" t="str">
        <x:v>N/A</x:v>
      </x:c>
      <x:c r="U168" s="38" t="str">
        <x:v>T90</x:v>
      </x:c>
      <x:c r="V168" s="38" t="str">
        <x:v>고용률</x:v>
      </x:c>
      <x:c r="W168" s="38" t="str">
        <x:v>15 - 29세</x:v>
      </x:c>
      <x:c r="X168" s="38" t="str">
        <x:v>M</x:v>
      </x:c>
      <x:c r="Y168" s="38" t="str">
        <x:v>202404</x:v>
      </x:c>
      <x:c r="Z168" s="38" t="str">
        <x:v>202304</x:v>
      </x:c>
      <x:c r="AA168" s="41" t="str">
        <x:v>46.2</x:v>
      </x:c>
      <x:c r="AB168" s="41" t="str">
        <x:v>46.0</x:v>
      </x:c>
      <x:c r="AC168" s="41" t="str">
        <x:v>%</x:v>
      </x:c>
      <x:c r="AD168" s="41" t="str">
        <x:v>0.4347826086956583</x:v>
      </x:c>
      <x:c r="AE168" s="39" t="str">
        <x:v>(MCP current − MCP previous) / |MCP previous| × 100</x:v>
      </x:c>
      <x:c r="AF168" s="39" t="str">
        <x:v>MCP_ACTUAL_VALUE_CONFIRMED</x:v>
      </x:c>
      <x:c r="AG168" s="39" t="str">
        <x:v>KOSIS_MCP_GET_DATA</x:v>
      </x:c>
      <x:c r="AH168" s="39" t="str">
        <x:v>https://kosis.kr/statHtml/statHtml.do?orgId=101&amp;tblId=DT_1DA7002S&amp;vw_cd=MT_ZTITLE&amp;list_id=&amp;seqNo=&amp;lang_mode=ko&amp;language=kor&amp;obj_var_id=&amp;itm_id=&amp;conn_path=MT_ZTITLE</x:v>
      </x:c>
      <x:c r="AI168" s="38" t="str">
        <x:v>121-160</x:v>
      </x:c>
      <x:c r="AJ168" s="38" t="n">
        <x:v>46239.364639467596</x:v>
      </x:c>
    </x:row>
    <x:row r="169">
      <x:c r="A169" s="38" t="str">
        <x:v>MCPG-168</x:v>
      </x:c>
      <x:c r="B169" s="38" t="str">
        <x:v>C13310</x:v>
      </x:c>
      <x:c r="C169" s="102" t="str">
        <x:v>A1737</x:v>
      </x:c>
      <x:c r="D169" s="39" t="str">
        <x:v>청년 고용률 1년째 내리막...20대 후반 실업률 45개월만 최대치</x:v>
      </x:c>
      <x:c r="E169" s="39" t="str">
        <x:v>2025-05-14</x:v>
      </x:c>
      <x:c r="F169" s="39" t="str">
        <x:v>https://www.chosun.com/economy/economy_general/2025/05/14/O2W4JERT4FGXRKVNYQRYWEVEQY</x:v>
      </x:c>
      <x:c r="G169" s="39" t="str">
        <x:v>코로나 시기였던 지난 2021년 7월(7.2%) 이후 45개월만의 최대치로, 20대 후반 실업률이 7%대에 올라선 것 자체가 2022년 4월(7%) 이후 3년 만이다.</x:v>
      </x:c>
      <x:c r="H169" s="38" t="str">
        <x:v>LEVEL</x:v>
      </x:c>
      <x:c r="I169" s="40" t="str">
        <x:v>7.0</x:v>
      </x:c>
      <x:c r="J169" s="38" t="str">
        <x:v>['년', '월', '%', '개', '%', '년', '월', '%', '년']</x:v>
      </x:c>
      <x:c r="K169" s="38" t="str">
        <x:v>REFUTES</x:v>
      </x:c>
      <x:c r="L169" s="38" t="str">
        <x:v>FULL_KOSIS_MCP</x:v>
      </x:c>
      <x:c r="M169" s="38" t="str">
        <x:v>Y</x:v>
      </x:c>
      <x:c r="N169" s="38" t="str">
        <x:v>Y</x:v>
      </x:c>
      <x:c r="O169" s="38" t="str">
        <x:v>N</x:v>
      </x:c>
      <x:c r="P169" s="38" t="str">
        <x:v>101</x:v>
      </x:c>
      <x:c r="Q169" s="38" t="str">
        <x:v>DT_1DA7002S</x:v>
      </x:c>
      <x:c r="R169" s="38" t="str">
        <x:v>연령별 경제활동인구 총괄</x:v>
      </x:c>
      <x:c r="S169" s="38" t="str">
        <x:v>75</x:v>
      </x:c>
      <x:c r="T169" s="38" t="str">
        <x:v>N/A</x:v>
      </x:c>
      <x:c r="U169" s="38" t="str">
        <x:v>T90</x:v>
      </x:c>
      <x:c r="V169" s="38" t="str">
        <x:v>고용률</x:v>
      </x:c>
      <x:c r="W169" s="38" t="str">
        <x:v>15 - 29세</x:v>
      </x:c>
      <x:c r="X169" s="38" t="str">
        <x:v>M</x:v>
      </x:c>
      <x:c r="Y169" s="38" t="str">
        <x:v>202204</x:v>
      </x:c>
      <x:c r="Z169" s="38" t="str">
        <x:v>N/A</x:v>
      </x:c>
      <x:c r="AA169" s="41" t="str">
        <x:v>46.6</x:v>
      </x:c>
      <x:c r="AB169" s="41" t="str">
        <x:v>N/A</x:v>
      </x:c>
      <x:c r="AC169" s="41" t="str">
        <x:v>%</x:v>
      </x:c>
      <x:c r="AD169" s="41" t="str">
        <x:v>46.6</x:v>
      </x:c>
      <x:c r="AE169" s="39" t="str">
        <x:v>MCP current value × source unit scale (1)</x:v>
      </x:c>
      <x:c r="AF169" s="39" t="str">
        <x:v>MCP_ACTUAL_VALUE_CONFIRMED</x:v>
      </x:c>
      <x:c r="AG169" s="39" t="str">
        <x:v>KOSIS_MCP_GET_DATA</x:v>
      </x:c>
      <x:c r="AH169" s="39" t="str">
        <x:v>https://kosis.kr/statHtml/statHtml.do?orgId=101&amp;tblId=DT_1DA7002S&amp;vw_cd=MT_ZTITLE&amp;list_id=&amp;seqNo=&amp;lang_mode=ko&amp;language=kor&amp;obj_var_id=&amp;itm_id=&amp;conn_path=MT_ZTITLE</x:v>
      </x:c>
      <x:c r="AI169" s="38" t="str">
        <x:v>121-160</x:v>
      </x:c>
      <x:c r="AJ169" s="38" t="n">
        <x:v>46239.364639467596</x:v>
      </x:c>
    </x:row>
    <x:row r="170">
      <x:c r="A170" s="38" t="str">
        <x:v>MCPG-169</x:v>
      </x:c>
      <x:c r="B170" s="38" t="str">
        <x:v>C13422</x:v>
      </x:c>
      <x:c r="C170" s="102" t="str">
        <x:v>A1752</x:v>
      </x:c>
      <x:c r="D170" s="39" t="str">
        <x:v>제조업 취업자 6년 만에 최대 감소</x:v>
      </x:c>
      <x:c r="E170" s="39" t="str">
        <x:v>2025-05-15</x:v>
      </x:c>
      <x:c r="F170" s="39" t="str">
        <x:v>https://www.chosun.com/economy/economy_general/2025/05/15/YJZYOKBKABHNNK6M34RI6QJREA</x:v>
      </x:c>
      <x:c r="G170" s="39" t="str">
        <x:v>청년층 고용률은 작년 5월(46.9%)부터 12개월 연속으로 뒷걸음질 쳤다.</x:v>
      </x:c>
      <x:c r="H170" s="38" t="str">
        <x:v>CHANGE_RATE</x:v>
      </x:c>
      <x:c r="I170" s="40" t="str">
        <x:v>46.9</x:v>
      </x:c>
      <x:c r="J170" s="38" t="str">
        <x:v>['월', '%', '개']</x:v>
      </x:c>
      <x:c r="K170" s="38" t="str">
        <x:v>REFUTES</x:v>
      </x:c>
      <x:c r="L170" s="38" t="str">
        <x:v>FULL_KOSIS_MCP</x:v>
      </x:c>
      <x:c r="M170" s="38" t="str">
        <x:v>Y</x:v>
      </x:c>
      <x:c r="N170" s="38" t="str">
        <x:v>Y</x:v>
      </x:c>
      <x:c r="O170" s="38" t="str">
        <x:v>N</x:v>
      </x:c>
      <x:c r="P170" s="38" t="str">
        <x:v>101</x:v>
      </x:c>
      <x:c r="Q170" s="38" t="str">
        <x:v>DT_1DA7002S</x:v>
      </x:c>
      <x:c r="R170" s="38" t="str">
        <x:v>연령별 경제활동인구 총괄</x:v>
      </x:c>
      <x:c r="S170" s="38" t="str">
        <x:v>75</x:v>
      </x:c>
      <x:c r="T170" s="38" t="str">
        <x:v>N/A</x:v>
      </x:c>
      <x:c r="U170" s="38" t="str">
        <x:v>T90</x:v>
      </x:c>
      <x:c r="V170" s="38" t="str">
        <x:v>고용률</x:v>
      </x:c>
      <x:c r="W170" s="38" t="str">
        <x:v>15 - 29세</x:v>
      </x:c>
      <x:c r="X170" s="38" t="str">
        <x:v>M</x:v>
      </x:c>
      <x:c r="Y170" s="38" t="str">
        <x:v>202405</x:v>
      </x:c>
      <x:c r="Z170" s="38" t="str">
        <x:v>202404</x:v>
      </x:c>
      <x:c r="AA170" s="41" t="str">
        <x:v>46.9</x:v>
      </x:c>
      <x:c r="AB170" s="41" t="str">
        <x:v>46.2</x:v>
      </x:c>
      <x:c r="AC170" s="41" t="str">
        <x:v>%</x:v>
      </x:c>
      <x:c r="AD170" s="41" t="str">
        <x:v>1.5151515151515058</x:v>
      </x:c>
      <x:c r="AE170" s="39" t="str">
        <x:v>(MCP current − MCP previous) / |MCP previous| × 100</x:v>
      </x:c>
      <x:c r="AF170" s="39" t="str">
        <x:v>MCP_ACTUAL_VALUE_CONFIRMED</x:v>
      </x:c>
      <x:c r="AG170" s="39" t="str">
        <x:v>KOSIS_MCP_GET_DATA</x:v>
      </x:c>
      <x:c r="AH170" s="39" t="str">
        <x:v>https://kosis.kr/statHtml/statHtml.do?orgId=101&amp;tblId=DT_1DA7002S&amp;vw_cd=MT_ZTITLE&amp;list_id=&amp;seqNo=&amp;lang_mode=ko&amp;language=kor&amp;obj_var_id=&amp;itm_id=&amp;conn_path=MT_ZTITLE</x:v>
      </x:c>
      <x:c r="AI170" s="38" t="str">
        <x:v>121-160</x:v>
      </x:c>
      <x:c r="AJ170" s="38" t="n">
        <x:v>46239.364639479165</x:v>
      </x:c>
    </x:row>
    <x:row r="171">
      <x:c r="A171" s="38" t="str">
        <x:v>MCPG-170</x:v>
      </x:c>
      <x:c r="B171" s="38" t="str">
        <x:v>C14532</x:v>
      </x:c>
      <x:c r="C171" s="102" t="str">
        <x:v>A1917</x:v>
      </x:c>
      <x:c r="D171" s="39" t="str">
        <x:v>조선·건설… 숙련 노동자는 정년 60 훌쩍 넘겨서도 일한다</x:v>
      </x:c>
      <x:c r="E171" s="39" t="str">
        <x:v>2025-05-28</x:v>
      </x:c>
      <x:c r="F171" s="39" t="str">
        <x:v>https://www.chosun.com/economy/economy_general/2025/05/28/5T7IZ3KBY5DIHCWBS2DVG7KKMA</x:v>
      </x:c>
      <x:c r="G171" s="39" t="str">
        <x:v>27일 통계청의 ‘경제활동인구조사’에 따르면, 평생 대부분을 일한 ‘주된 일자리’를 법적 정년 이후인 60~64세에 그만뒀다는 응답자가 지난해 77만명으로 1년 전(73만2000명)보다 5.2% 늘었다.</x:v>
      </x:c>
      <x:c r="H171" s="38" t="str">
        <x:v>CHANGE_RATE</x:v>
      </x:c>
      <x:c r="I171" s="40" t="str">
        <x:v>5.2</x:v>
      </x:c>
      <x:c r="J171" s="38" t="str">
        <x:v>['일', '년', '명', '%']</x:v>
      </x:c>
      <x:c r="K171" s="38" t="str">
        <x:v>REFUTES</x:v>
      </x:c>
      <x:c r="L171" s="38" t="str">
        <x:v>FULL_KOSIS_MCP</x:v>
      </x:c>
      <x:c r="M171" s="38" t="str">
        <x:v>Y</x:v>
      </x:c>
      <x:c r="N171" s="38" t="str">
        <x:v>Y</x:v>
      </x:c>
      <x:c r="O171" s="38" t="str">
        <x:v>N</x:v>
      </x:c>
      <x:c r="P171" s="38" t="str">
        <x:v>101</x:v>
      </x:c>
      <x:c r="Q171" s="38" t="str">
        <x:v>DT_1DA7002S</x:v>
      </x:c>
      <x:c r="R171" s="38" t="str">
        <x:v>연령별 경제활동인구 총괄</x:v>
      </x:c>
      <x:c r="S171" s="38" t="str">
        <x:v>00</x:v>
      </x:c>
      <x:c r="T171" s="38" t="str">
        <x:v>N/A</x:v>
      </x:c>
      <x:c r="U171" s="38" t="str">
        <x:v>T10</x:v>
      </x:c>
      <x:c r="V171" s="38" t="str">
        <x:v>인구</x:v>
      </x:c>
      <x:c r="W171" s="38" t="str">
        <x:v>15세 이상 전체</x:v>
      </x:c>
      <x:c r="X171" s="38" t="str">
        <x:v>Y</x:v>
      </x:c>
      <x:c r="Y171" s="38" t="str">
        <x:v>2024</x:v>
      </x:c>
      <x:c r="Z171" s="38" t="str">
        <x:v>2023</x:v>
      </x:c>
      <x:c r="AA171" s="41" t="str">
        <x:v>45570.3</x:v>
      </x:c>
      <x:c r="AB171" s="41" t="str">
        <x:v>45407.1</x:v>
      </x:c>
      <x:c r="AC171" s="41" t="str">
        <x:v>천명</x:v>
      </x:c>
      <x:c r="AD171" s="41" t="str">
        <x:v>0.35941515754145137</x:v>
      </x:c>
      <x:c r="AE171" s="39" t="str">
        <x:v>(MCP current − MCP previous) / |MCP previous| × 100</x:v>
      </x:c>
      <x:c r="AF171" s="39" t="str">
        <x:v>MCP_ACTUAL_VALUE_CONFIRMED</x:v>
      </x:c>
      <x:c r="AG171" s="39" t="str">
        <x:v>KOSIS_MCP_GET_DATA</x:v>
      </x:c>
      <x:c r="AH171" s="39" t="str">
        <x:v>https://kosis.kr/statHtml/statHtml.do?orgId=101&amp;tblId=DT_1DA7002S&amp;vw_cd=MT_ZTITLE&amp;list_id=&amp;seqNo=&amp;lang_mode=ko&amp;language=kor&amp;obj_var_id=&amp;itm_id=&amp;conn_path=MT_ZTITLE</x:v>
      </x:c>
      <x:c r="AI171" s="38" t="str">
        <x:v>121-160</x:v>
      </x:c>
      <x:c r="AJ171" s="38" t="n">
        <x:v>46239.364639479165</x:v>
      </x:c>
    </x:row>
    <x:row r="172">
      <x:c r="A172" s="38" t="str">
        <x:v>MCPG-171</x:v>
      </x:c>
      <x:c r="B172" s="38" t="str">
        <x:v>C19437</x:v>
      </x:c>
      <x:c r="C172" s="102" t="str">
        <x:v>A2558</x:v>
      </x:c>
      <x:c r="D172" s="39" t="str">
        <x:v>제조업 취업자 1년째 내리막에...‘쉬었음’ 20대 5년 만 최대</x:v>
      </x:c>
      <x:c r="E172" s="39" t="str">
        <x:v>2025-07-16</x:v>
      </x:c>
      <x:c r="F172" s="39" t="str">
        <x:v>https://www.chosun.com/economy/economy_general/2025/07/16/JJGWFZ2EF5BPZPOLN4O4NQHNLU</x:v>
      </x:c>
      <x:c r="G172" s="39" t="str">
        <x:v>16일 통계청이 발표한 ‘2025년 6월 고용동향’에 따르면, 지난달 15세 이상 취업자는 2909만1000명으로 전년 동월 대비 18만3000명 늘었다.</x:v>
      </x:c>
      <x:c r="H172" s="38" t="str">
        <x:v>CHANGE_RATE</x:v>
      </x:c>
      <x:c r="I172" s="40" t="str">
        <x:v>3000.0</x:v>
      </x:c>
      <x:c r="J172" s="38" t="str">
        <x:v>['일', '년', '월', '명', '명']</x:v>
      </x:c>
      <x:c r="K172" s="38" t="str">
        <x:v>REFUTES</x:v>
      </x:c>
      <x:c r="L172" s="38" t="str">
        <x:v>FULL_KOSIS_MCP</x:v>
      </x:c>
      <x:c r="M172" s="38" t="str">
        <x:v>Y</x:v>
      </x:c>
      <x:c r="N172" s="38" t="str">
        <x:v>Y</x:v>
      </x:c>
      <x:c r="O172" s="38" t="str">
        <x:v>N</x:v>
      </x:c>
      <x:c r="P172" s="38" t="str">
        <x:v>101</x:v>
      </x:c>
      <x:c r="Q172" s="38" t="str">
        <x:v>DT_1DA7002S</x:v>
      </x:c>
      <x:c r="R172" s="38" t="str">
        <x:v>연령별 경제활동인구 총괄</x:v>
      </x:c>
      <x:c r="S172" s="38" t="str">
        <x:v>20</x:v>
      </x:c>
      <x:c r="T172" s="38" t="str">
        <x:v>N/A</x:v>
      </x:c>
      <x:c r="U172" s="38" t="str">
        <x:v>T30</x:v>
      </x:c>
      <x:c r="V172" s="38" t="str">
        <x:v>취업자</x:v>
      </x:c>
      <x:c r="W172" s="38" t="str">
        <x:v>20 - 29세</x:v>
      </x:c>
      <x:c r="X172" s="38" t="str">
        <x:v>M</x:v>
      </x:c>
      <x:c r="Y172" s="38" t="str">
        <x:v>202406</x:v>
      </x:c>
      <x:c r="Z172" s="38" t="str">
        <x:v>202306</x:v>
      </x:c>
      <x:c r="AA172" s="41" t="str">
        <x:v>3641.9</x:v>
      </x:c>
      <x:c r="AB172" s="41" t="str">
        <x:v>3777.3</x:v>
      </x:c>
      <x:c r="AC172" s="41" t="str">
        <x:v>천명</x:v>
      </x:c>
      <x:c r="AD172" s="41" t="str">
        <x:v>-3.5845709898604845</x:v>
      </x:c>
      <x:c r="AE172" s="39" t="str">
        <x:v>(MCP current − MCP previous) / |MCP previous| × 100</x:v>
      </x:c>
      <x:c r="AF172" s="39" t="str">
        <x:v>MCP_ACTUAL_VALUE_CONFIRMED</x:v>
      </x:c>
      <x:c r="AG172" s="39" t="str">
        <x:v>KOSIS_MCP_GET_DATA</x:v>
      </x:c>
      <x:c r="AH172" s="39" t="str">
        <x:v>https://kosis.kr/statHtml/statHtml.do?orgId=101&amp;tblId=DT_1DA7002S&amp;vw_cd=MT_ZTITLE&amp;list_id=&amp;seqNo=&amp;lang_mode=ko&amp;language=kor&amp;obj_var_id=&amp;itm_id=&amp;conn_path=MT_ZTITLE</x:v>
      </x:c>
      <x:c r="AI172" s="38" t="str">
        <x:v>121-160</x:v>
      </x:c>
      <x:c r="AJ172" s="38" t="n">
        <x:v>46239.364639479165</x:v>
      </x:c>
    </x:row>
    <x:row r="173">
      <x:c r="A173" s="38" t="str">
        <x:v>MCPG-172</x:v>
      </x:c>
      <x:c r="B173" s="38" t="str">
        <x:v>C19526</x:v>
      </x:c>
      <x:c r="C173" s="102" t="str">
        <x:v>A2569</x:v>
      </x:c>
      <x:c r="D173" s="39" t="str">
        <x:v>“그냥 쉬었다”는 20대, 5년 새 가장 많아</x:v>
      </x:c>
      <x:c r="E173" s="39" t="str">
        <x:v>2025-07-17</x:v>
      </x:c>
      <x:c r="F173" s="39" t="str">
        <x:v>https://www.chosun.com/economy/economy_general/2025/07/17/NDNGACBI4RAZJBDEMRKGKVA5KY</x:v>
      </x:c>
      <x:c r="G173" s="39" t="str">
        <x:v>하지만 전체 취업자의 15% 이상을 차지하는 취업자 수 1위 업종인 제조업 분야는 전년 동월 대비 8만3000명 줄었다.</x:v>
      </x:c>
      <x:c r="H173" s="38" t="str">
        <x:v>CHANGE_RATE</x:v>
      </x:c>
      <x:c r="I173" s="40" t="str">
        <x:v>15.0</x:v>
      </x:c>
      <x:c r="J173" s="38" t="str">
        <x:v>['%', '명']</x:v>
      </x:c>
      <x:c r="K173" s="38" t="str">
        <x:v>REFUTES</x:v>
      </x:c>
      <x:c r="L173" s="38" t="str">
        <x:v>FULL_KOSIS_MCP</x:v>
      </x:c>
      <x:c r="M173" s="38" t="str">
        <x:v>Y</x:v>
      </x:c>
      <x:c r="N173" s="38" t="str">
        <x:v>Y</x:v>
      </x:c>
      <x:c r="O173" s="38" t="str">
        <x:v>N</x:v>
      </x:c>
      <x:c r="P173" s="38" t="str">
        <x:v>101</x:v>
      </x:c>
      <x:c r="Q173" s="38" t="str">
        <x:v>DT_1DA7002S</x:v>
      </x:c>
      <x:c r="R173" s="38" t="str">
        <x:v>연령별 경제활동인구 총괄</x:v>
      </x:c>
      <x:c r="S173" s="38" t="str">
        <x:v>20</x:v>
      </x:c>
      <x:c r="T173" s="38" t="str">
        <x:v>N/A</x:v>
      </x:c>
      <x:c r="U173" s="38" t="str">
        <x:v>T30</x:v>
      </x:c>
      <x:c r="V173" s="38" t="str">
        <x:v>취업자</x:v>
      </x:c>
      <x:c r="W173" s="38" t="str">
        <x:v>20 - 29세</x:v>
      </x:c>
      <x:c r="X173" s="38" t="str">
        <x:v>M</x:v>
      </x:c>
      <x:c r="Y173" s="38" t="str">
        <x:v>202412</x:v>
      </x:c>
      <x:c r="Z173" s="38" t="str">
        <x:v>202312</x:v>
      </x:c>
      <x:c r="AA173" s="41" t="str">
        <x:v>3483.9</x:v>
      </x:c>
      <x:c r="AB173" s="41" t="str">
        <x:v>3678.1</x:v>
      </x:c>
      <x:c r="AC173" s="41" t="str">
        <x:v>천명</x:v>
      </x:c>
      <x:c r="AD173" s="41" t="str">
        <x:v>-5.279899948342889</x:v>
      </x:c>
      <x:c r="AE173" s="39" t="str">
        <x:v>(MCP current − MCP previous) / |MCP previous| × 100</x:v>
      </x:c>
      <x:c r="AF173" s="39" t="str">
        <x:v>MCP_ACTUAL_VALUE_CONFIRMED</x:v>
      </x:c>
      <x:c r="AG173" s="39" t="str">
        <x:v>KOSIS_MCP_GET_DATA</x:v>
      </x:c>
      <x:c r="AH173" s="39" t="str">
        <x:v>https://kosis.kr/statHtml/statHtml.do?orgId=101&amp;tblId=DT_1DA7002S&amp;vw_cd=MT_ZTITLE&amp;list_id=&amp;seqNo=&amp;lang_mode=ko&amp;language=kor&amp;obj_var_id=&amp;itm_id=&amp;conn_path=MT_ZTITLE</x:v>
      </x:c>
      <x:c r="AI173" s="38" t="str">
        <x:v>121-160</x:v>
      </x:c>
      <x:c r="AJ173" s="38" t="n">
        <x:v>46239.364639479165</x:v>
      </x:c>
    </x:row>
    <x:row r="174">
      <x:c r="A174" s="38" t="str">
        <x:v>MCPG-173</x:v>
      </x:c>
      <x:c r="B174" s="38" t="str">
        <x:v>C19911</x:v>
      </x:c>
      <x:c r="C174" s="102" t="str">
        <x:v>A2633</x:v>
      </x:c>
      <x:c r="D174" s="39" t="str">
        <x:v>심각해지는 고용 연령 양극화..30대·60대 빼곤 일자리 ‘총체적 부실’</x:v>
      </x:c>
      <x:c r="E174" s="39" t="str">
        <x:v>2025-10-17</x:v>
      </x:c>
      <x:c r="F174" s="39" t="str">
        <x:v>https://www.chosun.com/economy/economy_general/2025/10/17/6GLEDGGJMRC6VEZ6IZJO4V7ZMM/</x:v>
      </x:c>
      <x:c r="G174" s="39" t="str">
        <x:v>17일 국가데이터처가 발표한 ‘9월 고용동향’에 따르면 지난달 15세 이상 취업자는 2915만4000명으로 전년 동월 대비 31만2000명 증가했다.</x:v>
      </x:c>
      <x:c r="H174" s="38" t="str">
        <x:v>CHANGE_RATE</x:v>
      </x:c>
      <x:c r="I174" s="40" t="str">
        <x:v>2000.0</x:v>
      </x:c>
      <x:c r="J174" s="38" t="str">
        <x:v>['일', '월', '명', '명']</x:v>
      </x:c>
      <x:c r="K174" s="38" t="str">
        <x:v>REFUTES</x:v>
      </x:c>
      <x:c r="L174" s="38" t="str">
        <x:v>FULL_KOSIS_MCP</x:v>
      </x:c>
      <x:c r="M174" s="38" t="str">
        <x:v>Y</x:v>
      </x:c>
      <x:c r="N174" s="38" t="str">
        <x:v>Y</x:v>
      </x:c>
      <x:c r="O174" s="38" t="str">
        <x:v>N</x:v>
      </x:c>
      <x:c r="P174" s="38" t="str">
        <x:v>101</x:v>
      </x:c>
      <x:c r="Q174" s="38" t="str">
        <x:v>DT_1DA7002S</x:v>
      </x:c>
      <x:c r="R174" s="38" t="str">
        <x:v>연령별 경제활동인구 총괄</x:v>
      </x:c>
      <x:c r="S174" s="38" t="str">
        <x:v>30</x:v>
      </x:c>
      <x:c r="T174" s="38" t="str">
        <x:v>N/A</x:v>
      </x:c>
      <x:c r="U174" s="38" t="str">
        <x:v>T30</x:v>
      </x:c>
      <x:c r="V174" s="38" t="str">
        <x:v>취업자</x:v>
      </x:c>
      <x:c r="W174" s="38" t="str">
        <x:v>30 - 39세</x:v>
      </x:c>
      <x:c r="X174" s="38" t="str">
        <x:v>M</x:v>
      </x:c>
      <x:c r="Y174" s="38" t="str">
        <x:v>202409</x:v>
      </x:c>
      <x:c r="Z174" s="38" t="str">
        <x:v>202309</x:v>
      </x:c>
      <x:c r="AA174" s="41" t="str">
        <x:v>5472.5</x:v>
      </x:c>
      <x:c r="AB174" s="41" t="str">
        <x:v>5395.1</x:v>
      </x:c>
      <x:c r="AC174" s="41" t="str">
        <x:v>천명</x:v>
      </x:c>
      <x:c r="AD174" s="41" t="str">
        <x:v>1.4346351318789203</x:v>
      </x:c>
      <x:c r="AE174" s="39" t="str">
        <x:v>(MCP current − MCP previous) / |MCP previous| × 100</x:v>
      </x:c>
      <x:c r="AF174" s="39" t="str">
        <x:v>MCP_ACTUAL_VALUE_CONFIRMED</x:v>
      </x:c>
      <x:c r="AG174" s="39" t="str">
        <x:v>KOSIS_MCP_GET_DATA</x:v>
      </x:c>
      <x:c r="AH174" s="39" t="str">
        <x:v>https://kosis.kr/statHtml/statHtml.do?orgId=101&amp;tblId=DT_1DA7002S&amp;vw_cd=MT_ZTITLE&amp;list_id=&amp;seqNo=&amp;lang_mode=ko&amp;language=kor&amp;obj_var_id=&amp;itm_id=&amp;conn_path=MT_ZTITLE</x:v>
      </x:c>
      <x:c r="AI174" s="38" t="str">
        <x:v>121-160</x:v>
      </x:c>
      <x:c r="AJ174" s="38" t="n">
        <x:v>46239.364639479165</x:v>
      </x:c>
    </x:row>
    <x:row r="175">
      <x:c r="A175" s="38" t="str">
        <x:v>MCPG-174</x:v>
      </x:c>
      <x:c r="B175" s="38" t="str">
        <x:v>C19917</x:v>
      </x:c>
      <x:c r="C175" s="102" t="str">
        <x:v>A2633</x:v>
      </x:c>
      <x:c r="D175" s="39" t="str">
        <x:v>심각해지는 고용 연령 양극화..30대·60대 빼곤 일자리 ‘총체적 부실’</x:v>
      </x:c>
      <x:c r="E175" s="39" t="str">
        <x:v>2025-10-17</x:v>
      </x:c>
      <x:c r="F175" s="39" t="str">
        <x:v>https://www.chosun.com/economy/economy_general/2025/10/17/6GLEDGGJMRC6VEZ6IZJO4V7ZMM/</x:v>
      </x:c>
      <x:c r="G175" s="39" t="str">
        <x:v>특히 50대는 작년까지는 계속해서 매달 취업자 수가 전년대비 증가했는데, 올해 들어 1월부터는 9개월 연속 전년대비 감소하는 모습을 보이고 있다.</x:v>
      </x:c>
      <x:c r="H175" s="38" t="str">
        <x:v>CHANGE_RATE</x:v>
      </x:c>
      <x:c r="I175" s="40" t="str">
        <x:v>50.0</x:v>
      </x:c>
      <x:c r="J175" s="38" t="str">
        <x:v>['월', '개']</x:v>
      </x:c>
      <x:c r="K175" s="38" t="str">
        <x:v>REFUTES</x:v>
      </x:c>
      <x:c r="L175" s="38" t="str">
        <x:v>FULL_KOSIS_MCP</x:v>
      </x:c>
      <x:c r="M175" s="38" t="str">
        <x:v>Y</x:v>
      </x:c>
      <x:c r="N175" s="38" t="str">
        <x:v>Y</x:v>
      </x:c>
      <x:c r="O175" s="38" t="str">
        <x:v>N</x:v>
      </x:c>
      <x:c r="P175" s="38" t="str">
        <x:v>101</x:v>
      </x:c>
      <x:c r="Q175" s="38" t="str">
        <x:v>DT_1DA7002S</x:v>
      </x:c>
      <x:c r="R175" s="38" t="str">
        <x:v>연령별 경제활동인구 총괄</x:v>
      </x:c>
      <x:c r="S175" s="38" t="str">
        <x:v>30</x:v>
      </x:c>
      <x:c r="T175" s="38" t="str">
        <x:v>N/A</x:v>
      </x:c>
      <x:c r="U175" s="38" t="str">
        <x:v>T30</x:v>
      </x:c>
      <x:c r="V175" s="38" t="str">
        <x:v>취업자</x:v>
      </x:c>
      <x:c r="W175" s="38" t="str">
        <x:v>30 - 39세</x:v>
      </x:c>
      <x:c r="X175" s="38" t="str">
        <x:v>M</x:v>
      </x:c>
      <x:c r="Y175" s="38" t="str">
        <x:v>202401</x:v>
      </x:c>
      <x:c r="Z175" s="38" t="str">
        <x:v>202301</x:v>
      </x:c>
      <x:c r="AA175" s="41" t="str">
        <x:v>5369.6</x:v>
      </x:c>
      <x:c r="AB175" s="41" t="str">
        <x:v>5284.3</x:v>
      </x:c>
      <x:c r="AC175" s="41" t="str">
        <x:v>천명</x:v>
      </x:c>
      <x:c r="AD175" s="41" t="str">
        <x:v>1.6142156955509752</x:v>
      </x:c>
      <x:c r="AE175" s="39" t="str">
        <x:v>(MCP current − MCP previous) / |MCP previous| × 100</x:v>
      </x:c>
      <x:c r="AF175" s="39" t="str">
        <x:v>MCP_ACTUAL_VALUE_CONFIRMED</x:v>
      </x:c>
      <x:c r="AG175" s="39" t="str">
        <x:v>KOSIS_MCP_GET_DATA</x:v>
      </x:c>
      <x:c r="AH175" s="39" t="str">
        <x:v>https://kosis.kr/statHtml/statHtml.do?orgId=101&amp;tblId=DT_1DA7002S&amp;vw_cd=MT_ZTITLE&amp;list_id=&amp;seqNo=&amp;lang_mode=ko&amp;language=kor&amp;obj_var_id=&amp;itm_id=&amp;conn_path=MT_ZTITLE</x:v>
      </x:c>
      <x:c r="AI175" s="38" t="str">
        <x:v>121-160</x:v>
      </x:c>
      <x:c r="AJ175" s="38" t="n">
        <x:v>46239.364639479165</x:v>
      </x:c>
    </x:row>
    <x:row r="176">
      <x:c r="A176" s="38" t="str">
        <x:v>MCPG-175</x:v>
      </x:c>
      <x:c r="B176" s="38" t="str">
        <x:v>C02016</x:v>
      </x:c>
      <x:c r="C176" s="102" t="str">
        <x:v>A0279</x:v>
      </x:c>
      <x:c r="D176" s="39" t="str">
        <x:v>작년 11월 출생아 14.6% 증가...2010년 이후 최대폭</x:v>
      </x:c>
      <x:c r="E176" s="39" t="str">
        <x:v>2025-01-22</x:v>
      </x:c>
      <x:c r="F176" s="39" t="str">
        <x:v>https://www.chosun.com/economy/economy_general/2025/01/22/HAHTAVPQ75BJXM4GWC4SNRKAZA</x:v>
      </x:c>
      <x:c r="G176" s="39" t="str">
        <x:v>혼인은 2012년(-0.6%)부터 2022년(-0.4%)까지 11년 연속 감소하다가 엔데믹 결혼 붐으로 2023년 1% 반등했었다.</x:v>
      </x:c>
      <x:c r="H176" s="38" t="str">
        <x:v>CHANGE_RATE</x:v>
      </x:c>
      <x:c r="I176" s="40" t="str">
        <x:v>1.0</x:v>
      </x:c>
      <x:c r="J176" s="38" t="str">
        <x:v>['년', '%', '년', '%', '년', '년', '%']</x:v>
      </x:c>
      <x:c r="K176" s="38" t="str">
        <x:v>REFUTES</x:v>
      </x:c>
      <x:c r="L176" s="38" t="str">
        <x:v>FULL_KOSIS_MCP</x:v>
      </x:c>
      <x:c r="M176" s="38" t="str">
        <x:v>Y</x:v>
      </x:c>
      <x:c r="N176" s="38" t="str">
        <x:v>Y</x:v>
      </x:c>
      <x:c r="O176" s="38" t="str">
        <x:v>N</x:v>
      </x:c>
      <x:c r="P176" s="38" t="str">
        <x:v>101</x:v>
      </x:c>
      <x:c r="Q176" s="38" t="str">
        <x:v>INH_1B8000F_01</x:v>
      </x:c>
      <x:c r="R176" s="38" t="str">
        <x:v>출생아수 합계출산율 자연증가 등</x:v>
      </x:c>
      <x:c r="S176" s="38" t="str">
        <x:v>11</x:v>
      </x:c>
      <x:c r="T176" s="38" t="str">
        <x:v>N/A</x:v>
      </x:c>
      <x:c r="U176" s="38" t="str">
        <x:v>T1</x:v>
      </x:c>
      <x:c r="V176" s="38" t="str">
        <x:v>인구동태건수 및 동태율 추이</x:v>
      </x:c>
      <x:c r="W176" s="38" t="str">
        <x:v>출생아수(명)</x:v>
      </x:c>
      <x:c r="X176" s="38" t="str">
        <x:v>Y</x:v>
      </x:c>
      <x:c r="Y176" s="38" t="str">
        <x:v>2023</x:v>
      </x:c>
      <x:c r="Z176" s="38" t="str">
        <x:v>2022</x:v>
      </x:c>
      <x:c r="AA176" s="41" t="str">
        <x:v>230028.0</x:v>
      </x:c>
      <x:c r="AB176" s="41" t="str">
        <x:v>249186.0</x:v>
      </x:c>
      <x:c r="AC176" s="41" t="str">
        <x:v>명</x:v>
      </x:c>
      <x:c r="AD176" s="41" t="str">
        <x:v>-7.68823288627772</x:v>
      </x:c>
      <x:c r="AE176" s="39" t="str">
        <x:v>(MCP current − MCP previous) / |MCP previous| × 100</x:v>
      </x:c>
      <x:c r="AF176" s="39" t="str">
        <x:v>MCP_ACTUAL_VALUE_CONFIRMED</x:v>
      </x:c>
      <x:c r="AG176" s="39" t="str">
        <x:v>KOSIS_MCP_GET_DATA</x:v>
      </x:c>
      <x:c r="AH176" s="39" t="str">
        <x:v>https://kosis.kr/statHtml/statHtml.do?orgId=101&amp;tblId=INH_1B8000F_01&amp;vw_cd=MT_ZTITLE&amp;list_id=&amp;seqNo=&amp;lang_mode=ko&amp;language=kor&amp;obj_var_id=&amp;itm_id=&amp;conn_path=MT_ZTITLE</x:v>
      </x:c>
      <x:c r="AI176" s="38" t="str">
        <x:v>121-160</x:v>
      </x:c>
      <x:c r="AJ176" s="38" t="n">
        <x:v>46239.364639479165</x:v>
      </x:c>
    </x:row>
    <x:row r="177">
      <x:c r="A177" s="38" t="str">
        <x:v>MCPG-176</x:v>
      </x:c>
      <x:c r="B177" s="38" t="str">
        <x:v>C05784</x:v>
      </x:c>
      <x:c r="C177" s="102" t="str">
        <x:v>A0736</x:v>
      </x:c>
      <x:c r="D177" s="39" t="str">
        <x:v>작년 출생아 수 9년 만에 추락 멈췄다... 전년 대비 3.6% 늘어</x:v>
      </x:c>
      <x:c r="E177" s="39" t="str">
        <x:v>2025-02-26</x:v>
      </x:c>
      <x:c r="F177" s="39" t="str">
        <x:v>https://www.chosun.com/economy/economy_general/2025/02/26/5GBKUCD4IZBE7PA33W2SH2256A</x:v>
      </x:c>
      <x:c r="G177" s="39" t="str">
        <x:v>출생아 수가 전년 대비 증가한 것은 지난 2015년(3000명) 이후 9년 만이다.</x:v>
      </x:c>
      <x:c r="H177" s="38" t="str">
        <x:v>CHANGE_RATE</x:v>
      </x:c>
      <x:c r="I177" s="40" t="str">
        <x:v>3000.0</x:v>
      </x:c>
      <x:c r="J177" s="38" t="str">
        <x:v>['년', '명', '년']</x:v>
      </x:c>
      <x:c r="K177" s="38" t="str">
        <x:v>REFUTES</x:v>
      </x:c>
      <x:c r="L177" s="38" t="str">
        <x:v>FULL_KOSIS_MCP</x:v>
      </x:c>
      <x:c r="M177" s="38" t="str">
        <x:v>Y</x:v>
      </x:c>
      <x:c r="N177" s="38" t="str">
        <x:v>Y</x:v>
      </x:c>
      <x:c r="O177" s="38" t="str">
        <x:v>N</x:v>
      </x:c>
      <x:c r="P177" s="38" t="str">
        <x:v>101</x:v>
      </x:c>
      <x:c r="Q177" s="38" t="str">
        <x:v>INH_1B8000F_01</x:v>
      </x:c>
      <x:c r="R177" s="38" t="str">
        <x:v>출생아수 합계출산율 자연증가 등</x:v>
      </x:c>
      <x:c r="S177" s="38" t="str">
        <x:v>11</x:v>
      </x:c>
      <x:c r="T177" s="38" t="str">
        <x:v>N/A</x:v>
      </x:c>
      <x:c r="U177" s="38" t="str">
        <x:v>T1</x:v>
      </x:c>
      <x:c r="V177" s="38" t="str">
        <x:v>인구동태건수 및 동태율 추이</x:v>
      </x:c>
      <x:c r="W177" s="38" t="str">
        <x:v>출생아수(명)</x:v>
      </x:c>
      <x:c r="X177" s="38" t="str">
        <x:v>Y</x:v>
      </x:c>
      <x:c r="Y177" s="38" t="str">
        <x:v>2024</x:v>
      </x:c>
      <x:c r="Z177" s="38" t="str">
        <x:v>2023</x:v>
      </x:c>
      <x:c r="AA177" s="41" t="str">
        <x:v>238317.0</x:v>
      </x:c>
      <x:c r="AB177" s="41" t="str">
        <x:v>230028.0</x:v>
      </x:c>
      <x:c r="AC177" s="41" t="str">
        <x:v>명</x:v>
      </x:c>
      <x:c r="AD177" s="41" t="str">
        <x:v>3.6034743596431738</x:v>
      </x:c>
      <x:c r="AE177" s="39" t="str">
        <x:v>(MCP current − MCP previous) / |MCP previous| × 100</x:v>
      </x:c>
      <x:c r="AF177" s="39" t="str">
        <x:v>MCP_ACTUAL_VALUE_CONFIRMED</x:v>
      </x:c>
      <x:c r="AG177" s="39" t="str">
        <x:v>KOSIS_MCP_GET_DATA</x:v>
      </x:c>
      <x:c r="AH177" s="39" t="str">
        <x:v>https://kosis.kr/statHtml/statHtml.do?orgId=101&amp;tblId=INH_1B8000F_01&amp;vw_cd=MT_ZTITLE&amp;list_id=&amp;seqNo=&amp;lang_mode=ko&amp;language=kor&amp;obj_var_id=&amp;itm_id=&amp;conn_path=MT_ZTITLE</x:v>
      </x:c>
      <x:c r="AI177" s="38" t="str">
        <x:v>121-160</x:v>
      </x:c>
      <x:c r="AJ177" s="38" t="n">
        <x:v>46239.364639479165</x:v>
      </x:c>
    </x:row>
    <x:row r="178">
      <x:c r="A178" s="38" t="str">
        <x:v>MCPG-177</x:v>
      </x:c>
      <x:c r="B178" s="38" t="str">
        <x:v>C05901</x:v>
      </x:c>
      <x:c r="C178" s="102" t="str">
        <x:v>A0749</x:v>
      </x:c>
      <x:c r="D178" s="39" t="str">
        <x:v>출산율 9년 만에 반등… “앞으로 7년이 골든타임”</x:v>
      </x:c>
      <x:c r="E178" s="39" t="str">
        <x:v>2025-02-27</x:v>
      </x:c>
      <x:c r="F178" s="39" t="str">
        <x:v>https://www.chosun.com/economy/economy_general/2025/02/27/JSTSHA6HNJHELOV3RULNHTIZBI</x:v>
      </x:c>
      <x:c r="G178" s="39" t="str">
        <x:v>코로나로 결혼을 미루다 2년 전쯤 뒤늦게 부부가 된 ‘엔데믹(풍토병화) 커플’이 아이를 낳기 시작한 데다, 연간 출생아 수가 70만명대로 늘어난 1990년대 초반생(1991~1995년 출생)들이 결혼해서 아이를 낳는 적령기(여성의 첫아이 출산 연령은 평균 33세)를 맞은 영향이 컸다.</x:v>
      </x:c>
      <x:c r="H178" s="38" t="str">
        <x:v>LEVEL</x:v>
      </x:c>
      <x:c r="I178" s="40" t="str">
        <x:v>70.0</x:v>
      </x:c>
      <x:c r="J178" s="38" t="str">
        <x:v>['년', '년', '년']</x:v>
      </x:c>
      <x:c r="K178" s="38" t="str">
        <x:v>REFUTES</x:v>
      </x:c>
      <x:c r="L178" s="38" t="str">
        <x:v>FULL_KOSIS_MCP</x:v>
      </x:c>
      <x:c r="M178" s="38" t="str">
        <x:v>Y</x:v>
      </x:c>
      <x:c r="N178" s="38" t="str">
        <x:v>Y</x:v>
      </x:c>
      <x:c r="O178" s="38" t="str">
        <x:v>N</x:v>
      </x:c>
      <x:c r="P178" s="38" t="str">
        <x:v>101</x:v>
      </x:c>
      <x:c r="Q178" s="38" t="str">
        <x:v>INH_1B8000F_01</x:v>
      </x:c>
      <x:c r="R178" s="38" t="str">
        <x:v>출생아수 합계출산율 자연증가 등</x:v>
      </x:c>
      <x:c r="S178" s="38" t="str">
        <x:v>30</x:v>
      </x:c>
      <x:c r="T178" s="38" t="str">
        <x:v>N/A</x:v>
      </x:c>
      <x:c r="U178" s="38" t="str">
        <x:v>T1</x:v>
      </x:c>
      <x:c r="V178" s="38" t="str">
        <x:v>인구동태건수 및 동태율 추이</x:v>
      </x:c>
      <x:c r="W178" s="38" t="str">
        <x:v>합계출산율(명)</x:v>
      </x:c>
      <x:c r="X178" s="38" t="str">
        <x:v>Y</x:v>
      </x:c>
      <x:c r="Y178" s="38" t="str">
        <x:v>2023</x:v>
      </x:c>
      <x:c r="Z178" s="38" t="str">
        <x:v>N/A</x:v>
      </x:c>
      <x:c r="AA178" s="41" t="str">
        <x:v>0.721</x:v>
      </x:c>
      <x:c r="AB178" s="41" t="str">
        <x:v>N/A</x:v>
      </x:c>
      <x:c r="AC178" s="41" t="str">
        <x:v>명</x:v>
      </x:c>
      <x:c r="AD178" s="41" t="str">
        <x:v>0.721</x:v>
      </x:c>
      <x:c r="AE178" s="39" t="str">
        <x:v>MCP current value × source unit scale (1)</x:v>
      </x:c>
      <x:c r="AF178" s="39" t="str">
        <x:v>MCP_ACTUAL_VALUE_CONFIRMED</x:v>
      </x:c>
      <x:c r="AG178" s="39" t="str">
        <x:v>KOSIS_MCP_GET_DATA</x:v>
      </x:c>
      <x:c r="AH178" s="39" t="str">
        <x:v>https://kosis.kr/statHtml/statHtml.do?orgId=101&amp;tblId=INH_1B8000F_01&amp;vw_cd=MT_ZTITLE&amp;list_id=&amp;seqNo=&amp;lang_mode=ko&amp;language=kor&amp;obj_var_id=&amp;itm_id=&amp;conn_path=MT_ZTITLE</x:v>
      </x:c>
      <x:c r="AI178" s="38" t="str">
        <x:v>121-160</x:v>
      </x:c>
      <x:c r="AJ178" s="38" t="n">
        <x:v>46239.364639479165</x:v>
      </x:c>
    </x:row>
    <x:row r="179">
      <x:c r="A179" s="38" t="str">
        <x:v>MCPG-178</x:v>
      </x:c>
      <x:c r="B179" s="38" t="str">
        <x:v>C05907</x:v>
      </x:c>
      <x:c r="C179" s="102" t="str">
        <x:v>A0749</x:v>
      </x:c>
      <x:c r="D179" s="39" t="str">
        <x:v>출산율 9년 만에 반등… “앞으로 7년이 골든타임”</x:v>
      </x:c>
      <x:c r="E179" s="39" t="str">
        <x:v>2025-02-27</x:v>
      </x:c>
      <x:c r="F179" s="39" t="str">
        <x:v>https://www.chosun.com/economy/economy_general/2025/02/27/JSTSHA6HNJHELOV3RULNHTIZBI</x:v>
      </x:c>
      <x:c r="G179" s="39" t="str">
        <x:v>작년 혼인 건수도 22만2422건에 달해 전년 대비 14.9% 늘었다.</x:v>
      </x:c>
      <x:c r="H179" s="38" t="str">
        <x:v>CHANGE_RATE</x:v>
      </x:c>
      <x:c r="I179" s="40" t="str">
        <x:v>14.9</x:v>
      </x:c>
      <x:c r="J179" s="38" t="str">
        <x:v>['건', '%']</x:v>
      </x:c>
      <x:c r="K179" s="38" t="str">
        <x:v>REFUTES</x:v>
      </x:c>
      <x:c r="L179" s="38" t="str">
        <x:v>FULL_KOSIS_MCP</x:v>
      </x:c>
      <x:c r="M179" s="38" t="str">
        <x:v>Y</x:v>
      </x:c>
      <x:c r="N179" s="38" t="str">
        <x:v>Y</x:v>
      </x:c>
      <x:c r="O179" s="38" t="str">
        <x:v>N</x:v>
      </x:c>
      <x:c r="P179" s="38" t="str">
        <x:v>101</x:v>
      </x:c>
      <x:c r="Q179" s="38" t="str">
        <x:v>INH_1B8000F_01</x:v>
      </x:c>
      <x:c r="R179" s="38" t="str">
        <x:v>출생아수 합계출산율 자연증가 등</x:v>
      </x:c>
      <x:c r="S179" s="38" t="str">
        <x:v>30</x:v>
      </x:c>
      <x:c r="T179" s="38" t="str">
        <x:v>N/A</x:v>
      </x:c>
      <x:c r="U179" s="38" t="str">
        <x:v>T1</x:v>
      </x:c>
      <x:c r="V179" s="38" t="str">
        <x:v>인구동태건수 및 동태율 추이</x:v>
      </x:c>
      <x:c r="W179" s="38" t="str">
        <x:v>합계출산율(명)</x:v>
      </x:c>
      <x:c r="X179" s="38" t="str">
        <x:v>Y</x:v>
      </x:c>
      <x:c r="Y179" s="38" t="str">
        <x:v>2024</x:v>
      </x:c>
      <x:c r="Z179" s="38" t="str">
        <x:v>2023</x:v>
      </x:c>
      <x:c r="AA179" s="41" t="str">
        <x:v>0.748</x:v>
      </x:c>
      <x:c r="AB179" s="41" t="str">
        <x:v>0.721</x:v>
      </x:c>
      <x:c r="AC179" s="41" t="str">
        <x:v>명</x:v>
      </x:c>
      <x:c r="AD179" s="41" t="str">
        <x:v>3.7447988904299616</x:v>
      </x:c>
      <x:c r="AE179" s="39" t="str">
        <x:v>(MCP current − MCP previous) / |MCP previous| × 100</x:v>
      </x:c>
      <x:c r="AF179" s="39" t="str">
        <x:v>MCP_ACTUAL_VALUE_CONFIRMED</x:v>
      </x:c>
      <x:c r="AG179" s="39" t="str">
        <x:v>KOSIS_MCP_GET_DATA</x:v>
      </x:c>
      <x:c r="AH179" s="39" t="str">
        <x:v>https://kosis.kr/statHtml/statHtml.do?orgId=101&amp;tblId=INH_1B8000F_01&amp;vw_cd=MT_ZTITLE&amp;list_id=&amp;seqNo=&amp;lang_mode=ko&amp;language=kor&amp;obj_var_id=&amp;itm_id=&amp;conn_path=MT_ZTITLE</x:v>
      </x:c>
      <x:c r="AI179" s="38" t="str">
        <x:v>161-200</x:v>
      </x:c>
      <x:c r="AJ179" s="38" t="n">
        <x:v>46240.02448677083</x:v>
      </x:c>
    </x:row>
    <x:row r="180">
      <x:c r="A180" s="38" t="str">
        <x:v>MCPG-179</x:v>
      </x:c>
      <x:c r="B180" s="38" t="str">
        <x:v>C00234</x:v>
      </x:c>
      <x:c r="C180" s="102" t="str">
        <x:v>A0023</x:v>
      </x:c>
      <x:c r="D180" s="39" t="str">
        <x:v>정부 “올해 경제성장률 1.8%”… 한은 전망보다 더 낮췄다</x:v>
      </x:c>
      <x:c r="E180" s="39" t="str">
        <x:v>2025-01-02</x:v>
      </x:c>
      <x:c r="F180" s="39" t="str">
        <x:v>https://www.chosun.com/economy/economy_general/2025/01/02/FWT5PD42TZED7JTIXYCIECCFRE</x:v>
      </x:c>
      <x:c r="G180" s="39" t="str">
        <x:v>다만 11월 소매판매는 전년 동월과 비교하면 1.9% 줄어 부진한 흐름을 이어갔다.</x:v>
      </x:c>
      <x:c r="H180" s="38" t="str">
        <x:v>LEVEL</x:v>
      </x:c>
      <x:c r="I180" s="40" t="str">
        <x:v>1.9</x:v>
      </x:c>
      <x:c r="J180" s="38" t="str">
        <x:v>['월', '%']</x:v>
      </x:c>
      <x:c r="K180" s="38" t="str">
        <x:v>REFUTES</x:v>
      </x:c>
      <x:c r="L180" s="38" t="str">
        <x:v>FULL_KOSIS_MCP</x:v>
      </x:c>
      <x:c r="M180" s="38" t="str">
        <x:v>Y</x:v>
      </x:c>
      <x:c r="N180" s="38" t="str">
        <x:v>Y</x:v>
      </x:c>
      <x:c r="O180" s="38" t="str">
        <x:v>N</x:v>
      </x:c>
      <x:c r="P180" s="38" t="str">
        <x:v>101</x:v>
      </x:c>
      <x:c r="Q180" s="38" t="str">
        <x:v>DT_1K41012</x:v>
      </x:c>
      <x:c r="R180" s="38" t="str">
        <x:v>재별 및 상품군별 소매판매액지수(2020＝100.0)</x:v>
      </x:c>
      <x:c r="S180" s="38" t="str">
        <x:v>G0</x:v>
      </x:c>
      <x:c r="T180" s="38" t="str">
        <x:v>N/A</x:v>
      </x:c>
      <x:c r="U180" s="38" t="str">
        <x:v>T2</x:v>
      </x:c>
      <x:c r="V180" s="38" t="str">
        <x:v>불변지수</x:v>
      </x:c>
      <x:c r="W180" s="38" t="str">
        <x:v>총지수</x:v>
      </x:c>
      <x:c r="X180" s="38" t="str">
        <x:v>M</x:v>
      </x:c>
      <x:c r="Y180" s="38" t="str">
        <x:v>202411</x:v>
      </x:c>
      <x:c r="Z180" s="38" t="str">
        <x:v>N/A</x:v>
      </x:c>
      <x:c r="AA180" s="41" t="str">
        <x:v>105.1</x:v>
      </x:c>
      <x:c r="AB180" s="41" t="str">
        <x:v>N/A</x:v>
      </x:c>
      <x:c r="AC180" s="41" t="str">
        <x:v>2020＝100</x:v>
      </x:c>
      <x:c r="AD180" s="41" t="str">
        <x:v>105.1</x:v>
      </x:c>
      <x:c r="AE180" s="39" t="str">
        <x:v>MCP current value × source unit scale (1)</x:v>
      </x:c>
      <x:c r="AF180" s="39" t="str">
        <x:v>MCP_ACTUAL_VALUE_CONFIRMED</x:v>
      </x:c>
      <x:c r="AG180" s="39" t="str">
        <x:v>KOSIS_MCP_GET_DATA</x:v>
      </x:c>
      <x:c r="AH180" s="39" t="str">
        <x:v>https://kosis.kr/statHtml/statHtml.do?orgId=101&amp;tblId=DT_1K41012&amp;vw_cd=MT_ZTITLE&amp;list_id=&amp;seqNo=&amp;lang_mode=ko&amp;language=kor&amp;obj_var_id=&amp;itm_id=&amp;conn_path=MT_ZTITLE</x:v>
      </x:c>
      <x:c r="AI180" s="38" t="str">
        <x:v>161-200</x:v>
      </x:c>
      <x:c r="AJ180" s="38" t="n">
        <x:v>46240.02448680555</x:v>
      </x:c>
    </x:row>
    <x:row r="181">
      <x:c r="A181" s="38" t="str">
        <x:v>MCPG-180</x:v>
      </x:c>
      <x:c r="B181" s="38" t="str">
        <x:v>C01239</x:v>
      </x:c>
      <x:c r="C181" s="102" t="str">
        <x:v>A0173</x:v>
      </x:c>
      <x:c r="D181" s="39" t="str">
        <x:v>2주 남기고 정하는 임시공휴일, 기업들 혼선</x:v>
      </x:c>
      <x:c r="E181" s="39" t="str">
        <x:v>2025-01-14</x:v>
      </x:c>
      <x:c r="F181" s="39" t="str">
        <x:v>https://www.chosun.com/economy/economy_general/2025/01/14/5M4QGMSUVZFDJMQIRYE7VYC3VU</x:v>
      </x:c>
      <x:c r="G181" s="39" t="str">
        <x:v>실제로 내수 부진이 한창이었던 작년 10월은 임시 공휴일(10월 2일) 지정에도 소매 판매액 지수가 전월 대비 0.8% 감소했다.</x:v>
      </x:c>
      <x:c r="H181" s="38" t="str">
        <x:v>CHANGE_RATE</x:v>
      </x:c>
      <x:c r="I181" s="40" t="str">
        <x:v>0.8</x:v>
      </x:c>
      <x:c r="J181" s="38" t="str">
        <x:v>['월', '월', '일', '%']</x:v>
      </x:c>
      <x:c r="K181" s="38" t="str">
        <x:v>REFUTES</x:v>
      </x:c>
      <x:c r="L181" s="38" t="str">
        <x:v>FULL_KOSIS_MCP</x:v>
      </x:c>
      <x:c r="M181" s="38" t="str">
        <x:v>Y</x:v>
      </x:c>
      <x:c r="N181" s="38" t="str">
        <x:v>Y</x:v>
      </x:c>
      <x:c r="O181" s="38" t="str">
        <x:v>N</x:v>
      </x:c>
      <x:c r="P181" s="38" t="str">
        <x:v>101</x:v>
      </x:c>
      <x:c r="Q181" s="38" t="str">
        <x:v>DT_1K41012</x:v>
      </x:c>
      <x:c r="R181" s="38" t="str">
        <x:v>재별 및 상품군별 소매판매액지수(2020＝100.0)</x:v>
      </x:c>
      <x:c r="S181" s="38" t="str">
        <x:v>G12</x:v>
      </x:c>
      <x:c r="T181" s="38" t="str">
        <x:v>N/A</x:v>
      </x:c>
      <x:c r="U181" s="38" t="str">
        <x:v>T2</x:v>
      </x:c>
      <x:c r="V181" s="38" t="str">
        <x:v>불변지수</x:v>
      </x:c>
      <x:c r="W181" s="38" t="str">
        <x:v>가전제품</x:v>
      </x:c>
      <x:c r="X181" s="38" t="str">
        <x:v>M</x:v>
      </x:c>
      <x:c r="Y181" s="38" t="str">
        <x:v>202410</x:v>
      </x:c>
      <x:c r="Z181" s="38" t="str">
        <x:v>202409</x:v>
      </x:c>
      <x:c r="AA181" s="41" t="str">
        <x:v>80.1</x:v>
      </x:c>
      <x:c r="AB181" s="41" t="str">
        <x:v>81.0</x:v>
      </x:c>
      <x:c r="AC181" s="41" t="str">
        <x:v>2020＝100</x:v>
      </x:c>
      <x:c r="AD181" s="41" t="str">
        <x:v>-1.111111111111118</x:v>
      </x:c>
      <x:c r="AE181" s="39" t="str">
        <x:v>(MCP current − MCP previous) / |MCP previous| × 100</x:v>
      </x:c>
      <x:c r="AF181" s="39" t="str">
        <x:v>MCP_ACTUAL_VALUE_CONFIRMED</x:v>
      </x:c>
      <x:c r="AG181" s="39" t="str">
        <x:v>KOSIS_MCP_GET_DATA</x:v>
      </x:c>
      <x:c r="AH181" s="39" t="str">
        <x:v>https://kosis.kr/statHtml/statHtml.do?orgId=101&amp;tblId=DT_1K41012&amp;vw_cd=MT_ZTITLE&amp;list_id=&amp;seqNo=&amp;lang_mode=ko&amp;language=kor&amp;obj_var_id=&amp;itm_id=&amp;conn_path=MT_ZTITLE</x:v>
      </x:c>
      <x:c r="AI181" s="38" t="str">
        <x:v>161-200</x:v>
      </x:c>
      <x:c r="AJ181" s="38" t="n">
        <x:v>46240.02448680555</x:v>
      </x:c>
    </x:row>
    <x:row r="182">
      <x:c r="A182" s="38" t="str">
        <x:v>MCPG-181</x:v>
      </x:c>
      <x:c r="B182" s="38" t="str">
        <x:v>C01658</x:v>
      </x:c>
      <x:c r="C182" s="102" t="str">
        <x:v>A0224</x:v>
      </x:c>
      <x:c r="D182" s="39" t="str">
        <x:v>간신히 5% 찍은 中 성장률, 올해는 ‘트럼프 관세’ 먹구름</x:v>
      </x:c>
      <x:c r="E182" s="39" t="str">
        <x:v>2025-01-18</x:v>
      </x:c>
      <x:c r="F182" s="39" t="str">
        <x:v>https://www.chosun.com/economy/economy_general/2025/01/18/47BFYPJXONF7RIF22SP3KAKCFU</x:v>
      </x:c>
      <x:c r="G182" s="39" t="str">
        <x:v>반면 소매 판매 증가율은 3.5%로 2023년(7.2%)의 절반에 못 미쳤다.</x:v>
      </x:c>
      <x:c r="H182" s="38" t="str">
        <x:v>CHANGE_RATE</x:v>
      </x:c>
      <x:c r="I182" s="40" t="str">
        <x:v>7.2</x:v>
      </x:c>
      <x:c r="J182" s="38" t="str">
        <x:v>['%', '년', '%']</x:v>
      </x:c>
      <x:c r="K182" s="38" t="str">
        <x:v>REFUTES</x:v>
      </x:c>
      <x:c r="L182" s="38" t="str">
        <x:v>FULL_KOSIS_MCP</x:v>
      </x:c>
      <x:c r="M182" s="38" t="str">
        <x:v>Y</x:v>
      </x:c>
      <x:c r="N182" s="38" t="str">
        <x:v>Y</x:v>
      </x:c>
      <x:c r="O182" s="38" t="str">
        <x:v>N</x:v>
      </x:c>
      <x:c r="P182" s="38" t="str">
        <x:v>101</x:v>
      </x:c>
      <x:c r="Q182" s="38" t="str">
        <x:v>DT_1K41012</x:v>
      </x:c>
      <x:c r="R182" s="38" t="str">
        <x:v>재별 및 상품군별 소매판매액지수(2020＝100.0)</x:v>
      </x:c>
      <x:c r="S182" s="38" t="str">
        <x:v>G0</x:v>
      </x:c>
      <x:c r="T182" s="38" t="str">
        <x:v>N/A</x:v>
      </x:c>
      <x:c r="U182" s="38" t="str">
        <x:v>T2</x:v>
      </x:c>
      <x:c r="V182" s="38" t="str">
        <x:v>불변지수</x:v>
      </x:c>
      <x:c r="W182" s="38" t="str">
        <x:v>총지수</x:v>
      </x:c>
      <x:c r="X182" s="38" t="str">
        <x:v>Y</x:v>
      </x:c>
      <x:c r="Y182" s="38" t="str">
        <x:v>2023</x:v>
      </x:c>
      <x:c r="Z182" s="38" t="str">
        <x:v>2022</x:v>
      </x:c>
      <x:c r="AA182" s="41" t="str">
        <x:v>104.1</x:v>
      </x:c>
      <x:c r="AB182" s="41" t="str">
        <x:v>105.5</x:v>
      </x:c>
      <x:c r="AC182" s="41" t="str">
        <x:v>2020＝100</x:v>
      </x:c>
      <x:c r="AD182" s="41" t="str">
        <x:v>-1.327014218009484</x:v>
      </x:c>
      <x:c r="AE182" s="39" t="str">
        <x:v>(MCP current − MCP previous) / |MCP previous| × 100</x:v>
      </x:c>
      <x:c r="AF182" s="39" t="str">
        <x:v>MCP_ACTUAL_VALUE_CONFIRMED</x:v>
      </x:c>
      <x:c r="AG182" s="39" t="str">
        <x:v>KOSIS_MCP_GET_DATA</x:v>
      </x:c>
      <x:c r="AH182" s="39" t="str">
        <x:v>https://kosis.kr/statHtml/statHtml.do?orgId=101&amp;tblId=DT_1K41012&amp;vw_cd=MT_ZTITLE&amp;list_id=&amp;seqNo=&amp;lang_mode=ko&amp;language=kor&amp;obj_var_id=&amp;itm_id=&amp;conn_path=MT_ZTITLE</x:v>
      </x:c>
      <x:c r="AI182" s="38" t="str">
        <x:v>161-200</x:v>
      </x:c>
      <x:c r="AJ182" s="38" t="n">
        <x:v>46240.02448680555</x:v>
      </x:c>
    </x:row>
    <x:row r="183">
      <x:c r="A183" s="38" t="str">
        <x:v>MCPG-182</x:v>
      </x:c>
      <x:c r="B183" s="38" t="str">
        <x:v>C03489</x:v>
      </x:c>
      <x:c r="C183" s="102" t="str">
        <x:v>A0440</x:v>
      </x:c>
      <x:c r="D183" s="39" t="str">
        <x:v>작년 소매판매 2.2% 줄어... 21년 만에 최대 감소폭</x:v>
      </x:c>
      <x:c r="E183" s="39" t="str">
        <x:v>2025-02-03</x:v>
      </x:c>
      <x:c r="F183" s="39" t="str">
        <x:v>https://www.chosun.com/economy/economy_general/2025/02/03/Y7UQBA7SO5AJTKSOUUK52DYR34</x:v>
      </x:c>
      <x:c r="G183" s="39" t="str">
        <x:v>0 작년 물품 소비에 해당하는 소매 판매가 전년 대비 2.2% 줄어들면서 21년 만에 최대 감소 폭을 기록했다.</x:v>
      </x:c>
      <x:c r="H183" s="38" t="str">
        <x:v>CHANGE_RATE</x:v>
      </x:c>
      <x:c r="I183" s="40" t="str">
        <x:v>2.2</x:v>
      </x:c>
      <x:c r="J183" s="38" t="str">
        <x:v>['%', '년']</x:v>
      </x:c>
      <x:c r="K183" s="38" t="str">
        <x:v>REFUTES</x:v>
      </x:c>
      <x:c r="L183" s="38" t="str">
        <x:v>FULL_KOSIS_MCP</x:v>
      </x:c>
      <x:c r="M183" s="38" t="str">
        <x:v>Y</x:v>
      </x:c>
      <x:c r="N183" s="38" t="str">
        <x:v>Y</x:v>
      </x:c>
      <x:c r="O183" s="38" t="str">
        <x:v>N</x:v>
      </x:c>
      <x:c r="P183" s="38" t="str">
        <x:v>101</x:v>
      </x:c>
      <x:c r="Q183" s="38" t="str">
        <x:v>DT_1K41012</x:v>
      </x:c>
      <x:c r="R183" s="38" t="str">
        <x:v>재별 및 상품군별 소매판매액지수(2020＝100.0)</x:v>
      </x:c>
      <x:c r="S183" s="38" t="str">
        <x:v>G12</x:v>
      </x:c>
      <x:c r="T183" s="38" t="str">
        <x:v>N/A</x:v>
      </x:c>
      <x:c r="U183" s="38" t="str">
        <x:v>T2</x:v>
      </x:c>
      <x:c r="V183" s="38" t="str">
        <x:v>불변지수</x:v>
      </x:c>
      <x:c r="W183" s="38" t="str">
        <x:v>가전제품</x:v>
      </x:c>
      <x:c r="X183" s="38" t="str">
        <x:v>Y</x:v>
      </x:c>
      <x:c r="Y183" s="38" t="str">
        <x:v>2024</x:v>
      </x:c>
      <x:c r="Z183" s="38" t="str">
        <x:v>2023</x:v>
      </x:c>
      <x:c r="AA183" s="41" t="str">
        <x:v>86.1</x:v>
      </x:c>
      <x:c r="AB183" s="41" t="str">
        <x:v>89.9</x:v>
      </x:c>
      <x:c r="AC183" s="41" t="str">
        <x:v>2020＝100</x:v>
      </x:c>
      <x:c r="AD183" s="41" t="str">
        <x:v>-4.226918798665196</x:v>
      </x:c>
      <x:c r="AE183" s="39" t="str">
        <x:v>(MCP current − MCP previous) / |MCP previous| × 100</x:v>
      </x:c>
      <x:c r="AF183" s="39" t="str">
        <x:v>MCP_ACTUAL_VALUE_CONFIRMED</x:v>
      </x:c>
      <x:c r="AG183" s="39" t="str">
        <x:v>KOSIS_MCP_GET_DATA</x:v>
      </x:c>
      <x:c r="AH183" s="39" t="str">
        <x:v>https://kosis.kr/statHtml/statHtml.do?orgId=101&amp;tblId=DT_1K41012&amp;vw_cd=MT_ZTITLE&amp;list_id=&amp;seqNo=&amp;lang_mode=ko&amp;language=kor&amp;obj_var_id=&amp;itm_id=&amp;conn_path=MT_ZTITLE</x:v>
      </x:c>
      <x:c r="AI183" s="38" t="str">
        <x:v>161-200</x:v>
      </x:c>
      <x:c r="AJ183" s="38" t="n">
        <x:v>46240.02448680555</x:v>
      </x:c>
    </x:row>
    <x:row r="184">
      <x:c r="A184" s="38" t="str">
        <x:v>MCPG-183</x:v>
      </x:c>
      <x:c r="B184" s="38" t="str">
        <x:v>C03504</x:v>
      </x:c>
      <x:c r="C184" s="102" t="str">
        <x:v>A0440</x:v>
      </x:c>
      <x:c r="D184" s="39" t="str">
        <x:v>작년 소매판매 2.2% 줄어... 21년 만에 최대 감소폭</x:v>
      </x:c>
      <x:c r="E184" s="39" t="str">
        <x:v>2025-02-03</x:v>
      </x:c>
      <x:c r="F184" s="39" t="str">
        <x:v>https://www.chosun.com/economy/economy_general/2025/02/03/Y7UQBA7SO5AJTKSOUUK52DYR34</x:v>
      </x:c>
      <x:c r="G184" s="39" t="str">
        <x:v>다만 지난달 소매 판매는 0.6% 감소하면서 부진을 이어갔다.</x:v>
      </x:c>
      <x:c r="H184" s="38" t="str">
        <x:v>CHANGE_RATE</x:v>
      </x:c>
      <x:c r="I184" s="40" t="str">
        <x:v>0.6</x:v>
      </x:c>
      <x:c r="J184" s="38" t="str">
        <x:v>['%']</x:v>
      </x:c>
      <x:c r="K184" s="38" t="str">
        <x:v>REFUTES</x:v>
      </x:c>
      <x:c r="L184" s="38" t="str">
        <x:v>FULL_KOSIS_MCP</x:v>
      </x:c>
      <x:c r="M184" s="38" t="str">
        <x:v>Y</x:v>
      </x:c>
      <x:c r="N184" s="38" t="str">
        <x:v>Y</x:v>
      </x:c>
      <x:c r="O184" s="38" t="str">
        <x:v>N</x:v>
      </x:c>
      <x:c r="P184" s="38" t="str">
        <x:v>101</x:v>
      </x:c>
      <x:c r="Q184" s="38" t="str">
        <x:v>DT_1K41012</x:v>
      </x:c>
      <x:c r="R184" s="38" t="str">
        <x:v>재별 및 상품군별 소매판매액지수(2020＝100.0)</x:v>
      </x:c>
      <x:c r="S184" s="38" t="str">
        <x:v>G0</x:v>
      </x:c>
      <x:c r="T184" s="38" t="str">
        <x:v>N/A</x:v>
      </x:c>
      <x:c r="U184" s="38" t="str">
        <x:v>T2</x:v>
      </x:c>
      <x:c r="V184" s="38" t="str">
        <x:v>불변지수</x:v>
      </x:c>
      <x:c r="W184" s="38" t="str">
        <x:v>총지수</x:v>
      </x:c>
      <x:c r="X184" s="38" t="str">
        <x:v>M</x:v>
      </x:c>
      <x:c r="Y184" s="38" t="str">
        <x:v>202501</x:v>
      </x:c>
      <x:c r="Z184" s="38" t="str">
        <x:v>202412</x:v>
      </x:c>
      <x:c r="AA184" s="41" t="str">
        <x:v>100.2</x:v>
      </x:c>
      <x:c r="AB184" s="41" t="str">
        <x:v>106.0</x:v>
      </x:c>
      <x:c r="AC184" s="41" t="str">
        <x:v>2020＝100</x:v>
      </x:c>
      <x:c r="AD184" s="41" t="str">
        <x:v>-5.471698113207545</x:v>
      </x:c>
      <x:c r="AE184" s="39" t="str">
        <x:v>(MCP current − MCP previous) / |MCP previous| × 100</x:v>
      </x:c>
      <x:c r="AF184" s="39" t="str">
        <x:v>MCP_ACTUAL_VALUE_CONFIRMED</x:v>
      </x:c>
      <x:c r="AG184" s="39" t="str">
        <x:v>KOSIS_MCP_GET_DATA</x:v>
      </x:c>
      <x:c r="AH184" s="39" t="str">
        <x:v>https://kosis.kr/statHtml/statHtml.do?orgId=101&amp;tblId=DT_1K41012&amp;vw_cd=MT_ZTITLE&amp;list_id=&amp;seqNo=&amp;lang_mode=ko&amp;language=kor&amp;obj_var_id=&amp;itm_id=&amp;conn_path=MT_ZTITLE</x:v>
      </x:c>
      <x:c r="AI184" s="38" t="str">
        <x:v>161-200</x:v>
      </x:c>
      <x:c r="AJ184" s="38" t="n">
        <x:v>46240.02448680555</x:v>
      </x:c>
    </x:row>
    <x:row r="185">
      <x:c r="A185" s="38" t="str">
        <x:v>MCPG-184</x:v>
      </x:c>
      <x:c r="B185" s="38" t="str">
        <x:v>C03547</x:v>
      </x:c>
      <x:c r="C185" s="102" t="str">
        <x:v>A0448</x:v>
      </x:c>
      <x:c r="D185" s="39" t="str">
        <x:v>끝이 안 보이는 내수 부진… 소매 판매 21년 만에 최대 감소</x:v>
      </x:c>
      <x:c r="E185" s="39" t="str">
        <x:v>2025-02-04</x:v>
      </x:c>
      <x:c r="F185" s="39" t="str">
        <x:v>https://www.chosun.com/economy/economy_general/2025/02/04/54YXZORW2RA5FHIRI552AGTUY4</x:v>
      </x:c>
      <x:c r="G185" s="39" t="str">
        <x:v>3일 통계청이 발표한 ‘2024년 12월 및 연간 산업활동 동향’에 따르면, 작년 연간 소매판매액은 전년보다 2.2% 감소했다.</x:v>
      </x:c>
      <x:c r="H185" s="38" t="str">
        <x:v>CHANGE_RATE</x:v>
      </x:c>
      <x:c r="I185" s="40" t="str">
        <x:v>2.2</x:v>
      </x:c>
      <x:c r="J185" s="38" t="str">
        <x:v>['일', '년', '월', '%']</x:v>
      </x:c>
      <x:c r="K185" s="38" t="str">
        <x:v>REFUTES</x:v>
      </x:c>
      <x:c r="L185" s="38" t="str">
        <x:v>FULL_KOSIS_MCP</x:v>
      </x:c>
      <x:c r="M185" s="38" t="str">
        <x:v>Y</x:v>
      </x:c>
      <x:c r="N185" s="38" t="str">
        <x:v>Y</x:v>
      </x:c>
      <x:c r="O185" s="38" t="str">
        <x:v>N</x:v>
      </x:c>
      <x:c r="P185" s="38" t="str">
        <x:v>101</x:v>
      </x:c>
      <x:c r="Q185" s="38" t="str">
        <x:v>DT_1K41012</x:v>
      </x:c>
      <x:c r="R185" s="38" t="str">
        <x:v>재별 및 상품군별 소매판매액지수(2020＝100.0)</x:v>
      </x:c>
      <x:c r="S185" s="38" t="str">
        <x:v>G0</x:v>
      </x:c>
      <x:c r="T185" s="38" t="str">
        <x:v>N/A</x:v>
      </x:c>
      <x:c r="U185" s="38" t="str">
        <x:v>T2</x:v>
      </x:c>
      <x:c r="V185" s="38" t="str">
        <x:v>불변지수</x:v>
      </x:c>
      <x:c r="W185" s="38" t="str">
        <x:v>총지수</x:v>
      </x:c>
      <x:c r="X185" s="38" t="str">
        <x:v>M</x:v>
      </x:c>
      <x:c r="Y185" s="38" t="str">
        <x:v>202412</x:v>
      </x:c>
      <x:c r="Z185" s="38" t="str">
        <x:v>202411</x:v>
      </x:c>
      <x:c r="AA185" s="41" t="str">
        <x:v>106.0</x:v>
      </x:c>
      <x:c r="AB185" s="41" t="str">
        <x:v>105.1</x:v>
      </x:c>
      <x:c r="AC185" s="41" t="str">
        <x:v>2020＝100</x:v>
      </x:c>
      <x:c r="AD185" s="41" t="str">
        <x:v>0.8563273073263613</x:v>
      </x:c>
      <x:c r="AE185" s="39" t="str">
        <x:v>(MCP current − MCP previous) / |MCP previous| × 100</x:v>
      </x:c>
      <x:c r="AF185" s="39" t="str">
        <x:v>MCP_ACTUAL_VALUE_CONFIRMED</x:v>
      </x:c>
      <x:c r="AG185" s="39" t="str">
        <x:v>KOSIS_MCP_GET_DATA</x:v>
      </x:c>
      <x:c r="AH185" s="39" t="str">
        <x:v>https://kosis.kr/statHtml/statHtml.do?orgId=101&amp;tblId=DT_1K41012&amp;vw_cd=MT_ZTITLE&amp;list_id=&amp;seqNo=&amp;lang_mode=ko&amp;language=kor&amp;obj_var_id=&amp;itm_id=&amp;conn_path=MT_ZTITLE</x:v>
      </x:c>
      <x:c r="AI185" s="38" t="str">
        <x:v>161-200</x:v>
      </x:c>
      <x:c r="AJ185" s="38" t="n">
        <x:v>46240.02448680555</x:v>
      </x:c>
    </x:row>
    <x:row r="186">
      <x:c r="A186" s="38" t="str">
        <x:v>MCPG-185</x:v>
      </x:c>
      <x:c r="B186" s="38" t="str">
        <x:v>C03549</x:v>
      </x:c>
      <x:c r="C186" s="102" t="str">
        <x:v>A0448</x:v>
      </x:c>
      <x:c r="D186" s="39" t="str">
        <x:v>끝이 안 보이는 내수 부진… 소매 판매 21년 만에 최대 감소</x:v>
      </x:c>
      <x:c r="E186" s="39" t="str">
        <x:v>2025-02-04</x:v>
      </x:c>
      <x:c r="F186" s="39" t="str">
        <x:v>https://www.chosun.com/economy/economy_general/2025/02/04/54YXZORW2RA5FHIRI552AGTUY4</x:v>
      </x:c>
      <x:c r="G186" s="39" t="str">
        <x:v>코로나 대유행이 시작된 2020년 0.1% 감소했던 소매판매는 이듬해 5.8% 증가세로 돌아섰었다.</x:v>
      </x:c>
      <x:c r="H186" s="38" t="str">
        <x:v>CHANGE_RATE</x:v>
      </x:c>
      <x:c r="I186" s="40" t="str">
        <x:v>5.8</x:v>
      </x:c>
      <x:c r="J186" s="38" t="str">
        <x:v>['년', '%', '%']</x:v>
      </x:c>
      <x:c r="K186" s="38" t="str">
        <x:v>REFUTES</x:v>
      </x:c>
      <x:c r="L186" s="38" t="str">
        <x:v>FULL_KOSIS_MCP</x:v>
      </x:c>
      <x:c r="M186" s="38" t="str">
        <x:v>Y</x:v>
      </x:c>
      <x:c r="N186" s="38" t="str">
        <x:v>Y</x:v>
      </x:c>
      <x:c r="O186" s="38" t="str">
        <x:v>N</x:v>
      </x:c>
      <x:c r="P186" s="38" t="str">
        <x:v>101</x:v>
      </x:c>
      <x:c r="Q186" s="38" t="str">
        <x:v>DT_1K41012</x:v>
      </x:c>
      <x:c r="R186" s="38" t="str">
        <x:v>재별 및 상품군별 소매판매액지수(2020＝100.0)</x:v>
      </x:c>
      <x:c r="S186" s="38" t="str">
        <x:v>G0</x:v>
      </x:c>
      <x:c r="T186" s="38" t="str">
        <x:v>N/A</x:v>
      </x:c>
      <x:c r="U186" s="38" t="str">
        <x:v>T2</x:v>
      </x:c>
      <x:c r="V186" s="38" t="str">
        <x:v>불변지수</x:v>
      </x:c>
      <x:c r="W186" s="38" t="str">
        <x:v>총지수</x:v>
      </x:c>
      <x:c r="X186" s="38" t="str">
        <x:v>Y</x:v>
      </x:c>
      <x:c r="Y186" s="38" t="str">
        <x:v>2020</x:v>
      </x:c>
      <x:c r="Z186" s="38" t="str">
        <x:v>2019</x:v>
      </x:c>
      <x:c r="AA186" s="41" t="str">
        <x:v>100.0</x:v>
      </x:c>
      <x:c r="AB186" s="41" t="str">
        <x:v>100.1</x:v>
      </x:c>
      <x:c r="AC186" s="41" t="str">
        <x:v>2020＝100</x:v>
      </x:c>
      <x:c r="AD186" s="41" t="str">
        <x:v>-0.09990009990009421</x:v>
      </x:c>
      <x:c r="AE186" s="39" t="str">
        <x:v>(MCP current − MCP previous) / |MCP previous| × 100</x:v>
      </x:c>
      <x:c r="AF186" s="39" t="str">
        <x:v>MCP_ACTUAL_VALUE_CONFIRMED</x:v>
      </x:c>
      <x:c r="AG186" s="39" t="str">
        <x:v>KOSIS_MCP_GET_DATA</x:v>
      </x:c>
      <x:c r="AH186" s="39" t="str">
        <x:v>https://kosis.kr/statHtml/statHtml.do?orgId=101&amp;tblId=DT_1K41012&amp;vw_cd=MT_ZTITLE&amp;list_id=&amp;seqNo=&amp;lang_mode=ko&amp;language=kor&amp;obj_var_id=&amp;itm_id=&amp;conn_path=MT_ZTITLE</x:v>
      </x:c>
      <x:c r="AI186" s="38" t="str">
        <x:v>161-200</x:v>
      </x:c>
      <x:c r="AJ186" s="38" t="n">
        <x:v>46240.02448681713</x:v>
      </x:c>
    </x:row>
    <x:row r="187">
      <x:c r="A187" s="38" t="str">
        <x:v>MCPG-186</x:v>
      </x:c>
      <x:c r="B187" s="38" t="str">
        <x:v>C03555</x:v>
      </x:c>
      <x:c r="C187" s="102" t="str">
        <x:v>A0448</x:v>
      </x:c>
      <x:c r="D187" s="39" t="str">
        <x:v>끝이 안 보이는 내수 부진… 소매 판매 21년 만에 최대 감소</x:v>
      </x:c>
      <x:c r="E187" s="39" t="str">
        <x:v>2025-02-04</x:v>
      </x:c>
      <x:c r="F187" s="39" t="str">
        <x:v>https://www.chosun.com/economy/economy_general/2025/02/04/54YXZORW2RA5FHIRI552AGTUY4</x:v>
      </x:c>
      <x:c r="G187" s="39" t="str">
        <x:v>작년 12월 소매판매는 전월 대비 0.6% 감소해, 9월(-0.3%·10월(-0.7%)·11월(보합)에 이어 4개월 연속으로 감소하는 흐름을 보였다.</x:v>
      </x:c>
      <x:c r="H187" s="38" t="str">
        <x:v>CHANGE_RATE</x:v>
      </x:c>
      <x:c r="I187" s="40" t="str">
        <x:v>-0.7</x:v>
      </x:c>
      <x:c r="J187" s="38" t="str">
        <x:v>['월', '%', '월', '%', '월', '%', '월', '개']</x:v>
      </x:c>
      <x:c r="K187" s="38" t="str">
        <x:v>REFUTES</x:v>
      </x:c>
      <x:c r="L187" s="38" t="str">
        <x:v>FULL_KOSIS_MCP</x:v>
      </x:c>
      <x:c r="M187" s="38" t="str">
        <x:v>Y</x:v>
      </x:c>
      <x:c r="N187" s="38" t="str">
        <x:v>Y</x:v>
      </x:c>
      <x:c r="O187" s="38" t="str">
        <x:v>N</x:v>
      </x:c>
      <x:c r="P187" s="38" t="str">
        <x:v>101</x:v>
      </x:c>
      <x:c r="Q187" s="38" t="str">
        <x:v>DT_1K41012</x:v>
      </x:c>
      <x:c r="R187" s="38" t="str">
        <x:v>재별 및 상품군별 소매판매액지수(2020＝100.0)</x:v>
      </x:c>
      <x:c r="S187" s="38" t="str">
        <x:v>G0</x:v>
      </x:c>
      <x:c r="T187" s="38" t="str">
        <x:v>N/A</x:v>
      </x:c>
      <x:c r="U187" s="38" t="str">
        <x:v>T2</x:v>
      </x:c>
      <x:c r="V187" s="38" t="str">
        <x:v>불변지수</x:v>
      </x:c>
      <x:c r="W187" s="38" t="str">
        <x:v>총지수</x:v>
      </x:c>
      <x:c r="X187" s="38" t="str">
        <x:v>M</x:v>
      </x:c>
      <x:c r="Y187" s="38" t="str">
        <x:v>202411</x:v>
      </x:c>
      <x:c r="Z187" s="38" t="str">
        <x:v>202410</x:v>
      </x:c>
      <x:c r="AA187" s="41" t="str">
        <x:v>105.1</x:v>
      </x:c>
      <x:c r="AB187" s="41" t="str">
        <x:v>103.7</x:v>
      </x:c>
      <x:c r="AC187" s="41" t="str">
        <x:v>2020＝100</x:v>
      </x:c>
      <x:c r="AD187" s="41" t="str">
        <x:v>1.3500482160077063</x:v>
      </x:c>
      <x:c r="AE187" s="39" t="str">
        <x:v>(MCP current − MCP previous) / |MCP previous| × 100</x:v>
      </x:c>
      <x:c r="AF187" s="39" t="str">
        <x:v>MCP_ACTUAL_VALUE_CONFIRMED</x:v>
      </x:c>
      <x:c r="AG187" s="39" t="str">
        <x:v>KOSIS_MCP_GET_DATA</x:v>
      </x:c>
      <x:c r="AH187" s="39" t="str">
        <x:v>https://kosis.kr/statHtml/statHtml.do?orgId=101&amp;tblId=DT_1K41012&amp;vw_cd=MT_ZTITLE&amp;list_id=&amp;seqNo=&amp;lang_mode=ko&amp;language=kor&amp;obj_var_id=&amp;itm_id=&amp;conn_path=MT_ZTITLE</x:v>
      </x:c>
      <x:c r="AI187" s="38" t="str">
        <x:v>161-200</x:v>
      </x:c>
      <x:c r="AJ187" s="38" t="n">
        <x:v>46240.02448681713</x:v>
      </x:c>
    </x:row>
    <x:row r="188">
      <x:c r="A188" s="38" t="str">
        <x:v>MCPG-187</x:v>
      </x:c>
      <x:c r="B188" s="38" t="str">
        <x:v>C04755</x:v>
      </x:c>
      <x:c r="C188" s="102" t="str">
        <x:v>A0601</x:v>
      </x:c>
      <x:c r="D188" s="39" t="str">
        <x:v>빚 못 갚은 자영업자 중 60대 이상이 가장 많았던 이유</x:v>
      </x:c>
      <x:c r="E188" s="39" t="str">
        <x:v>2025-02-16</x:v>
      </x:c>
      <x:c r="F188" s="39" t="str">
        <x:v>https://www.chosun.com/economy/economy_general/2025/02/16/JPSR6CUW55HPNKX73PTUAYO4RA</x:v>
      </x:c>
      <x:c r="G188" s="39" t="str">
        <x:v>작년 우리나라 소매 판매액은 2.2% 줄어 신용카드 대란 사태가 있던 2003년(-3.2%) 이후 21년 만에 가장 큰 폭으로 줄었다.</x:v>
      </x:c>
      <x:c r="H188" s="38" t="str">
        <x:v>CHANGE_RATE</x:v>
      </x:c>
      <x:c r="I188" s="40" t="str">
        <x:v>-3.2</x:v>
      </x:c>
      <x:c r="J188" s="38" t="str">
        <x:v>['%', '년', '%', '년']</x:v>
      </x:c>
      <x:c r="K188" s="38" t="str">
        <x:v>REFUTES</x:v>
      </x:c>
      <x:c r="L188" s="38" t="str">
        <x:v>FULL_KOSIS_MCP</x:v>
      </x:c>
      <x:c r="M188" s="38" t="str">
        <x:v>Y</x:v>
      </x:c>
      <x:c r="N188" s="38" t="str">
        <x:v>Y</x:v>
      </x:c>
      <x:c r="O188" s="38" t="str">
        <x:v>N</x:v>
      </x:c>
      <x:c r="P188" s="38" t="str">
        <x:v>101</x:v>
      </x:c>
      <x:c r="Q188" s="38" t="str">
        <x:v>DT_1K41012</x:v>
      </x:c>
      <x:c r="R188" s="38" t="str">
        <x:v>재별 및 상품군별 소매판매액지수(2020＝100.0)</x:v>
      </x:c>
      <x:c r="S188" s="38" t="str">
        <x:v>G0</x:v>
      </x:c>
      <x:c r="T188" s="38" t="str">
        <x:v>N/A</x:v>
      </x:c>
      <x:c r="U188" s="38" t="str">
        <x:v>T2</x:v>
      </x:c>
      <x:c r="V188" s="38" t="str">
        <x:v>불변지수</x:v>
      </x:c>
      <x:c r="W188" s="38" t="str">
        <x:v>총지수</x:v>
      </x:c>
      <x:c r="X188" s="38" t="str">
        <x:v>Y</x:v>
      </x:c>
      <x:c r="Y188" s="38" t="str">
        <x:v>2024</x:v>
      </x:c>
      <x:c r="Z188" s="38" t="str">
        <x:v>2023</x:v>
      </x:c>
      <x:c r="AA188" s="41" t="str">
        <x:v>102.1</x:v>
      </x:c>
      <x:c r="AB188" s="41" t="str">
        <x:v>104.1</x:v>
      </x:c>
      <x:c r="AC188" s="41" t="str">
        <x:v>2020＝100</x:v>
      </x:c>
      <x:c r="AD188" s="41" t="str">
        <x:v>-1.921229586935639</x:v>
      </x:c>
      <x:c r="AE188" s="39" t="str">
        <x:v>(MCP current − MCP previous) / |MCP previous| × 100</x:v>
      </x:c>
      <x:c r="AF188" s="39" t="str">
        <x:v>MCP_ACTUAL_VALUE_CONFIRMED</x:v>
      </x:c>
      <x:c r="AG188" s="39" t="str">
        <x:v>KOSIS_MCP_GET_DATA</x:v>
      </x:c>
      <x:c r="AH188" s="39" t="str">
        <x:v>https://kosis.kr/statHtml/statHtml.do?orgId=101&amp;tblId=DT_1K41012&amp;vw_cd=MT_ZTITLE&amp;list_id=&amp;seqNo=&amp;lang_mode=ko&amp;language=kor&amp;obj_var_id=&amp;itm_id=&amp;conn_path=MT_ZTITLE</x:v>
      </x:c>
      <x:c r="AI188" s="38" t="str">
        <x:v>161-200</x:v>
      </x:c>
      <x:c r="AJ188" s="38" t="n">
        <x:v>46240.02448681713</x:v>
      </x:c>
    </x:row>
    <x:row r="189">
      <x:c r="A189" s="38" t="str">
        <x:v>MCPG-188</x:v>
      </x:c>
      <x:c r="B189" s="38" t="str">
        <x:v>C07771</x:v>
      </x:c>
      <x:c r="C189" s="102" t="str">
        <x:v>A0985</x:v>
      </x:c>
      <x:c r="D189" s="39" t="str">
        <x:v>경기 침체로 음식점·유원지 손님 ‘뚝’... 매출 급감</x:v>
      </x:c>
      <x:c r="E189" s="39" t="str">
        <x:v>2025-03-17</x:v>
      </x:c>
      <x:c r="F189" s="39" t="str">
        <x:v>https://www.chosun.com/economy/economy_general/2025/03/17/MHBMUOYKGBHQFIXQFRTZUVKWYI</x:v>
      </x:c>
      <x:c r="G189" s="39" t="str">
        <x:v>◇해안 관광 무너지자 탕·구이용 가리비 가격 반 토막 실제 유원지·놀이공원 서비스업 생산지수는 지난 1월 낙폭이 8.2%에 달해 지난 2021년 1월(-78%) 이후 낙폭이 역대 최대치를 기록했다.</x:v>
      </x:c>
      <x:c r="H189" s="38" t="str">
        <x:v>LEVEL</x:v>
      </x:c>
      <x:c r="I189" s="40" t="str">
        <x:v>-78.0</x:v>
      </x:c>
      <x:c r="J189" s="38" t="str">
        <x:v>['월', '%', '년', '월', '%']</x:v>
      </x:c>
      <x:c r="K189" s="38" t="str">
        <x:v>REFUTES</x:v>
      </x:c>
      <x:c r="L189" s="38" t="str">
        <x:v>FULL_KOSIS_MCP</x:v>
      </x:c>
      <x:c r="M189" s="38" t="str">
        <x:v>Y</x:v>
      </x:c>
      <x:c r="N189" s="38" t="str">
        <x:v>Y</x:v>
      </x:c>
      <x:c r="O189" s="38" t="str">
        <x:v>N</x:v>
      </x:c>
      <x:c r="P189" s="38" t="str">
        <x:v>101</x:v>
      </x:c>
      <x:c r="Q189" s="38" t="str">
        <x:v>DT_1KC2020</x:v>
      </x:c>
      <x:c r="R189" s="38" t="str">
        <x:v>산업별 서비스업생산지수(2020＝100.0)</x:v>
      </x:c>
      <x:c r="S189" s="38" t="str">
        <x:v>T</x:v>
      </x:c>
      <x:c r="T189" s="38" t="str">
        <x:v>N/A</x:v>
      </x:c>
      <x:c r="U189" s="38" t="str">
        <x:v>T1</x:v>
      </x:c>
      <x:c r="V189" s="38" t="str">
        <x:v>경상지수</x:v>
      </x:c>
      <x:c r="W189" s="38" t="str">
        <x:v>총지수</x:v>
      </x:c>
      <x:c r="X189" s="38" t="str">
        <x:v>M</x:v>
      </x:c>
      <x:c r="Y189" s="38" t="str">
        <x:v>202101</x:v>
      </x:c>
      <x:c r="Z189" s="38" t="str">
        <x:v>N/A</x:v>
      </x:c>
      <x:c r="AA189" s="41" t="str">
        <x:v>98.3</x:v>
      </x:c>
      <x:c r="AB189" s="41" t="str">
        <x:v>N/A</x:v>
      </x:c>
      <x:c r="AC189" s="41" t="str">
        <x:v>2020＝100</x:v>
      </x:c>
      <x:c r="AD189" s="41" t="str">
        <x:v>98.3</x:v>
      </x:c>
      <x:c r="AE189" s="39" t="str">
        <x:v>MCP current value × source unit scale (1)</x:v>
      </x:c>
      <x:c r="AF189" s="39" t="str">
        <x:v>MCP_ACTUAL_VALUE_CONFIRMED</x:v>
      </x:c>
      <x:c r="AG189" s="39" t="str">
        <x:v>KOSIS_MCP_GET_DATA</x:v>
      </x:c>
      <x:c r="AH189" s="39" t="str">
        <x:v>https://kosis.kr/statHtml/statHtml.do?orgId=101&amp;tblId=DT_1KC2020&amp;vw_cd=MT_ZTITLE&amp;list_id=&amp;seqNo=&amp;lang_mode=ko&amp;language=kor&amp;obj_var_id=&amp;itm_id=&amp;conn_path=MT_ZTITLE</x:v>
      </x:c>
      <x:c r="AI189" s="38" t="str">
        <x:v>161-200</x:v>
      </x:c>
      <x:c r="AJ189" s="38" t="n">
        <x:v>46240.024486828705</x:v>
      </x:c>
    </x:row>
    <x:row r="190">
      <x:c r="A190" s="38" t="str">
        <x:v>MCPG-189</x:v>
      </x:c>
      <x:c r="B190" s="38" t="str">
        <x:v>C09017</x:v>
      </x:c>
      <x:c r="C190" s="102" t="str">
        <x:v>A1164</x:v>
      </x:c>
      <x:c r="D190" s="39" t="str">
        <x:v>생산·소비·투자 2달 만에 ‘트리플 증가’...설 연휴로 연초 경기 등락 커</x:v>
      </x:c>
      <x:c r="E190" s="39" t="str">
        <x:v>2025-03-31</x:v>
      </x:c>
      <x:c r="F190" s="39" t="str">
        <x:v>https://www.chosun.com/economy/economy_general/2025/03/31/7OFBJ6XSYZAL3MWER6FBINVWN4</x:v>
      </x:c>
      <x:c r="G190" s="39" t="str">
        <x:v>전자부품(9.1%)과 전기장비(6%) 등 생산이 늘어나면서 제조업 생산이 0.8% 증가했고, 자동차 판매(9.5%) 등 도·소매업(6.5%)과 금융·보험(2.3%) 생산 증가에 힘입어 서비스업 생산도 전월 대비 0.5% 늘었다.</x:v>
      </x:c>
      <x:c r="H190" s="38" t="str">
        <x:v>CHANGE_RATE</x:v>
      </x:c>
      <x:c r="I190" s="40" t="str">
        <x:v>0.5</x:v>
      </x:c>
      <x:c r="J190" s="38" t="str">
        <x:v>['%', '%', '%', '%', '%', '%', '%']</x:v>
      </x:c>
      <x:c r="K190" s="38" t="str">
        <x:v>REFUTES</x:v>
      </x:c>
      <x:c r="L190" s="38" t="str">
        <x:v>FULL_KOSIS_MCP</x:v>
      </x:c>
      <x:c r="M190" s="38" t="str">
        <x:v>Y</x:v>
      </x:c>
      <x:c r="N190" s="38" t="str">
        <x:v>Y</x:v>
      </x:c>
      <x:c r="O190" s="38" t="str">
        <x:v>N</x:v>
      </x:c>
      <x:c r="P190" s="38" t="str">
        <x:v>101</x:v>
      </x:c>
      <x:c r="Q190" s="38" t="str">
        <x:v>DT_1KC2020</x:v>
      </x:c>
      <x:c r="R190" s="38" t="str">
        <x:v>산업별 서비스업생산지수(2020＝100.0)</x:v>
      </x:c>
      <x:c r="S190" s="38" t="str">
        <x:v>T</x:v>
      </x:c>
      <x:c r="T190" s="38" t="str">
        <x:v>N/A</x:v>
      </x:c>
      <x:c r="U190" s="38" t="str">
        <x:v>T1</x:v>
      </x:c>
      <x:c r="V190" s="38" t="str">
        <x:v>경상지수</x:v>
      </x:c>
      <x:c r="W190" s="38" t="str">
        <x:v>총지수</x:v>
      </x:c>
      <x:c r="X190" s="38" t="str">
        <x:v>M</x:v>
      </x:c>
      <x:c r="Y190" s="38" t="str">
        <x:v>202502</x:v>
      </x:c>
      <x:c r="Z190" s="38" t="str">
        <x:v>202501</x:v>
      </x:c>
      <x:c r="AA190" s="41" t="str">
        <x:v>126.9</x:v>
      </x:c>
      <x:c r="AB190" s="41" t="str">
        <x:v>128.3</x:v>
      </x:c>
      <x:c r="AC190" s="41" t="str">
        <x:v>2020＝100</x:v>
      </x:c>
      <x:c r="AD190" s="41" t="str">
        <x:v>-1.091192517537027</x:v>
      </x:c>
      <x:c r="AE190" s="39" t="str">
        <x:v>(MCP current − MCP previous) / |MCP previous| × 100</x:v>
      </x:c>
      <x:c r="AF190" s="39" t="str">
        <x:v>MCP_ACTUAL_VALUE_CONFIRMED</x:v>
      </x:c>
      <x:c r="AG190" s="39" t="str">
        <x:v>KOSIS_MCP_GET_DATA</x:v>
      </x:c>
      <x:c r="AH190" s="39" t="str">
        <x:v>https://kosis.kr/statHtml/statHtml.do?orgId=101&amp;tblId=DT_1KC2020&amp;vw_cd=MT_ZTITLE&amp;list_id=&amp;seqNo=&amp;lang_mode=ko&amp;language=kor&amp;obj_var_id=&amp;itm_id=&amp;conn_path=MT_ZTITLE</x:v>
      </x:c>
      <x:c r="AI190" s="38" t="str">
        <x:v>161-200</x:v>
      </x:c>
      <x:c r="AJ190" s="38" t="n">
        <x:v>46240.024486828705</x:v>
      </x:c>
    </x:row>
    <x:row r="191">
      <x:c r="A191" s="38" t="str">
        <x:v>MCPG-190</x:v>
      </x:c>
      <x:c r="B191" s="38" t="str">
        <x:v>C14809</x:v>
      </x:c>
      <x:c r="C191" s="102" t="str">
        <x:v>A1944</x:v>
      </x:c>
      <x:c r="D191" s="39" t="str">
        <x:v>3개월만에 생산·소비·투자 ‘트리플 감소’...다시 고개 든 경기 부진</x:v>
      </x:c>
      <x:c r="E191" s="39" t="str">
        <x:v>2025-05-30</x:v>
      </x:c>
      <x:c r="F191" s="39" t="str">
        <x:v>https://www.chosun.com/economy/economy_general/2025/05/30/DA5UIPBNGBANNJUP4OGVELDMBA</x:v>
      </x:c>
      <x:c r="G191" s="39" t="str">
        <x:v>서비스 소비를 나타내는 서비스업 생산은 도소매 등에서 늘었지만, 전문·과학·기술, 금융·보험 등에서 줄면서 전월보다 0.1% 감소했다.</x:v>
      </x:c>
      <x:c r="H191" s="38" t="str">
        <x:v>CHANGE_RATE</x:v>
      </x:c>
      <x:c r="I191" s="40" t="str">
        <x:v>0.1</x:v>
      </x:c>
      <x:c r="J191" s="38" t="str">
        <x:v>['%']</x:v>
      </x:c>
      <x:c r="K191" s="38" t="str">
        <x:v>REFUTES</x:v>
      </x:c>
      <x:c r="L191" s="38" t="str">
        <x:v>FULL_KOSIS_MCP</x:v>
      </x:c>
      <x:c r="M191" s="38" t="str">
        <x:v>Y</x:v>
      </x:c>
      <x:c r="N191" s="38" t="str">
        <x:v>Y</x:v>
      </x:c>
      <x:c r="O191" s="38" t="str">
        <x:v>N</x:v>
      </x:c>
      <x:c r="P191" s="38" t="str">
        <x:v>101</x:v>
      </x:c>
      <x:c r="Q191" s="38" t="str">
        <x:v>DT_1KC2020</x:v>
      </x:c>
      <x:c r="R191" s="38" t="str">
        <x:v>산업별 서비스업생산지수(2020＝100.0)</x:v>
      </x:c>
      <x:c r="S191" s="38" t="str">
        <x:v>T</x:v>
      </x:c>
      <x:c r="T191" s="38" t="str">
        <x:v>N/A</x:v>
      </x:c>
      <x:c r="U191" s="38" t="str">
        <x:v>T1</x:v>
      </x:c>
      <x:c r="V191" s="38" t="str">
        <x:v>경상지수</x:v>
      </x:c>
      <x:c r="W191" s="38" t="str">
        <x:v>총지수</x:v>
      </x:c>
      <x:c r="X191" s="38" t="str">
        <x:v>M</x:v>
      </x:c>
      <x:c r="Y191" s="38" t="str">
        <x:v>202504</x:v>
      </x:c>
      <x:c r="Z191" s="38" t="str">
        <x:v>202503</x:v>
      </x:c>
      <x:c r="AA191" s="41" t="str">
        <x:v>133.9</x:v>
      </x:c>
      <x:c r="AB191" s="41" t="str">
        <x:v>136.5</x:v>
      </x:c>
      <x:c r="AC191" s="41" t="str">
        <x:v>2020＝100</x:v>
      </x:c>
      <x:c r="AD191" s="41" t="str">
        <x:v>-1.9047619047619007</x:v>
      </x:c>
      <x:c r="AE191" s="39" t="str">
        <x:v>(MCP current − MCP previous) / |MCP previous| × 100</x:v>
      </x:c>
      <x:c r="AF191" s="39" t="str">
        <x:v>MCP_ACTUAL_VALUE_CONFIRMED</x:v>
      </x:c>
      <x:c r="AG191" s="39" t="str">
        <x:v>KOSIS_MCP_GET_DATA</x:v>
      </x:c>
      <x:c r="AH191" s="39" t="str">
        <x:v>https://kosis.kr/statHtml/statHtml.do?orgId=101&amp;tblId=DT_1KC2020&amp;vw_cd=MT_ZTITLE&amp;list_id=&amp;seqNo=&amp;lang_mode=ko&amp;language=kor&amp;obj_var_id=&amp;itm_id=&amp;conn_path=MT_ZTITLE</x:v>
      </x:c>
      <x:c r="AI191" s="38" t="str">
        <x:v>161-200</x:v>
      </x:c>
      <x:c r="AJ191" s="38" t="n">
        <x:v>46240.024486828705</x:v>
      </x:c>
    </x:row>
    <x:row r="192">
      <x:c r="A192" s="38" t="str">
        <x:v>MCPG-191</x:v>
      </x:c>
      <x:c r="B192" s="38" t="str">
        <x:v>C20438</x:v>
      </x:c>
      <x:c r="C192" s="102" t="str">
        <x:v>A2702</x:v>
      </x:c>
      <x:c r="D192" s="39" t="str">
        <x:v>KDI “소비 회복에 경기 다소 개선”…석 달째 같은 진단, 현실은?</x:v>
      </x:c>
      <x:c r="E192" s="39" t="str">
        <x:v>2025-11-09</x:v>
      </x:c>
      <x:c r="F192" s="39" t="str">
        <x:v>https://www.chosun.com/economy/economy_general/2025/11/09/PU2BGMNE3JEOBM3XGQRSWQLMP4/</x:v>
      </x:c>
      <x:c r="G192" s="39" t="str">
        <x:v>9월 서비스업생산은 전년 동월 대비 6.2% 증가했다.</x:v>
      </x:c>
      <x:c r="H192" s="38" t="str">
        <x:v>CHANGE_RATE</x:v>
      </x:c>
      <x:c r="I192" s="40" t="str">
        <x:v>6.2</x:v>
      </x:c>
      <x:c r="J192" s="38" t="str">
        <x:v>['월', '%']</x:v>
      </x:c>
      <x:c r="K192" s="38" t="str">
        <x:v>REFUTES</x:v>
      </x:c>
      <x:c r="L192" s="38" t="str">
        <x:v>FULL_KOSIS_MCP</x:v>
      </x:c>
      <x:c r="M192" s="38" t="str">
        <x:v>Y</x:v>
      </x:c>
      <x:c r="N192" s="38" t="str">
        <x:v>Y</x:v>
      </x:c>
      <x:c r="O192" s="38" t="str">
        <x:v>N</x:v>
      </x:c>
      <x:c r="P192" s="38" t="str">
        <x:v>101</x:v>
      </x:c>
      <x:c r="Q192" s="38" t="str">
        <x:v>DT_1KC2020</x:v>
      </x:c>
      <x:c r="R192" s="38" t="str">
        <x:v>산업별 서비스업생산지수(2020＝100.0)</x:v>
      </x:c>
      <x:c r="S192" s="38" t="str">
        <x:v>T</x:v>
      </x:c>
      <x:c r="T192" s="38" t="str">
        <x:v>N/A</x:v>
      </x:c>
      <x:c r="U192" s="38" t="str">
        <x:v>T1</x:v>
      </x:c>
      <x:c r="V192" s="38" t="str">
        <x:v>경상지수</x:v>
      </x:c>
      <x:c r="W192" s="38" t="str">
        <x:v>총지수</x:v>
      </x:c>
      <x:c r="X192" s="38" t="str">
        <x:v>M</x:v>
      </x:c>
      <x:c r="Y192" s="38" t="str">
        <x:v>202409</x:v>
      </x:c>
      <x:c r="Z192" s="38" t="str">
        <x:v>202309</x:v>
      </x:c>
      <x:c r="AA192" s="41" t="str">
        <x:v>129.2</x:v>
      </x:c>
      <x:c r="AB192" s="41" t="str">
        <x:v>128.1</x:v>
      </x:c>
      <x:c r="AC192" s="41" t="str">
        <x:v>2020＝100</x:v>
      </x:c>
      <x:c r="AD192" s="41" t="str">
        <x:v>0.8587041373926576</x:v>
      </x:c>
      <x:c r="AE192" s="39" t="str">
        <x:v>(MCP current − MCP previous) / |MCP previous| × 100</x:v>
      </x:c>
      <x:c r="AF192" s="39" t="str">
        <x:v>MCP_ACTUAL_VALUE_CONFIRMED</x:v>
      </x:c>
      <x:c r="AG192" s="39" t="str">
        <x:v>KOSIS_MCP_GET_DATA</x:v>
      </x:c>
      <x:c r="AH192" s="39" t="str">
        <x:v>https://kosis.kr/statHtml/statHtml.do?orgId=101&amp;tblId=DT_1KC2020&amp;vw_cd=MT_ZTITLE&amp;list_id=&amp;seqNo=&amp;lang_mode=ko&amp;language=kor&amp;obj_var_id=&amp;itm_id=&amp;conn_path=MT_ZTITLE</x:v>
      </x:c>
      <x:c r="AI192" s="38" t="str">
        <x:v>161-200</x:v>
      </x:c>
      <x:c r="AJ192" s="38" t="n">
        <x:v>46240.024486828705</x:v>
      </x:c>
    </x:row>
    <x:row r="193">
      <x:c r="A193" s="38" t="str">
        <x:v>MCPG-192</x:v>
      </x:c>
      <x:c r="B193" s="38" t="str">
        <x:v>C09209</x:v>
      </x:c>
      <x:c r="C193" s="102" t="str">
        <x:v>A1191</x:v>
      </x:c>
      <x:c r="D193" s="39" t="str">
        <x:v>산불 피해 농가에 생계비 120만~187만원 지급...세금 감면·유예도</x:v>
      </x:c>
      <x:c r="E193" s="39" t="str">
        <x:v>2025-04-02</x:v>
      </x:c>
      <x:c r="F193" s="39" t="str">
        <x:v>https://www.chosun.com/economy/economy_general/2025/04/02/HIHVI4FWMNBMBA7ICNIQLXJRRU</x:v>
      </x:c>
      <x:c r="G193" s="39" t="str">
        <x:v>2 정부가 사상 최대 규모의 산림을 불태운 영남권 산불로 피해를 입은 농가들에 대해 피해율이 50% 이상인 경우 생계비와 학자금을 지원하기로 했다.</x:v>
      </x:c>
      <x:c r="H193" s="38" t="str">
        <x:v>LEVEL</x:v>
      </x:c>
      <x:c r="I193" s="40" t="str">
        <x:v>50.0</x:v>
      </x:c>
      <x:c r="J193" s="38" t="str">
        <x:v>['%']</x:v>
      </x:c>
      <x:c r="K193" s="38" t="str">
        <x:v>REFUTES</x:v>
      </x:c>
      <x:c r="L193" s="38" t="str">
        <x:v>FULL_KOSIS_MCP</x:v>
      </x:c>
      <x:c r="M193" s="38" t="str">
        <x:v>Y</x:v>
      </x:c>
      <x:c r="N193" s="38" t="str">
        <x:v>Y</x:v>
      </x:c>
      <x:c r="O193" s="38" t="str">
        <x:v>N</x:v>
      </x:c>
      <x:c r="P193" s="38" t="str">
        <x:v>101</x:v>
      </x:c>
      <x:c r="Q193" s="38" t="str">
        <x:v>DT_1EA1011</x:v>
      </x:c>
      <x:c r="R193" s="38" t="str">
        <x:v>행정구역(시군구)별 농가 농가인구</x:v>
      </x:c>
      <x:c r="S193" s="38" t="str">
        <x:v>00</x:v>
      </x:c>
      <x:c r="T193" s="38" t="str">
        <x:v>N/A</x:v>
      </x:c>
      <x:c r="U193" s="38" t="str">
        <x:v>T00</x:v>
      </x:c>
      <x:c r="V193" s="38" t="str">
        <x:v>농가</x:v>
      </x:c>
      <x:c r="W193" s="38" t="str">
        <x:v>전국</x:v>
      </x:c>
      <x:c r="X193" s="38" t="str">
        <x:v>Y</x:v>
      </x:c>
      <x:c r="Y193" s="38" t="str">
        <x:v>2024</x:v>
      </x:c>
      <x:c r="Z193" s="38" t="str">
        <x:v>N/A</x:v>
      </x:c>
      <x:c r="AA193" s="41" t="str">
        <x:v>973707.0</x:v>
      </x:c>
      <x:c r="AB193" s="41" t="str">
        <x:v>N/A</x:v>
      </x:c>
      <x:c r="AC193" s="41" t="str">
        <x:v>가구</x:v>
      </x:c>
      <x:c r="AD193" s="41" t="str">
        <x:v>973707.0</x:v>
      </x:c>
      <x:c r="AE193" s="39" t="str">
        <x:v>MCP current value × source unit scale (1)</x:v>
      </x:c>
      <x:c r="AF193" s="39" t="str">
        <x:v>MCP_ACTUAL_VALUE_CONFIRMED</x:v>
      </x:c>
      <x:c r="AG193" s="39" t="str">
        <x:v>KOSIS_MCP_GET_DATA</x:v>
      </x:c>
      <x:c r="AH193" s="39" t="str">
        <x:v>https://kosis.kr/statHtml/statHtml.do?orgId=101&amp;tblId=DT_1EA1011&amp;vw_cd=MT_ZTITLE&amp;list_id=&amp;seqNo=&amp;lang_mode=ko&amp;language=kor&amp;obj_var_id=&amp;itm_id=&amp;conn_path=MT_ZTITLE</x:v>
      </x:c>
      <x:c r="AI193" s="38" t="str">
        <x:v>161-200</x:v>
      </x:c>
      <x:c r="AJ193" s="38" t="n">
        <x:v>46240.024486828705</x:v>
      </x:c>
    </x:row>
    <x:row r="194">
      <x:c r="A194" s="38" t="str">
        <x:v>MCPG-193</x:v>
      </x:c>
      <x:c r="B194" s="38" t="str">
        <x:v>C00177</x:v>
      </x:c>
      <x:c r="C194" s="102" t="str">
        <x:v>A0018</x:v>
      </x:c>
      <x:c r="D194" s="39" t="str">
        <x:v>반도체 덕에… 지난해 수출 6838억달러 역대 최대</x:v>
      </x:c>
      <x:c r="E194" s="39" t="str">
        <x:v>2025-01-02</x:v>
      </x:c>
      <x:c r="F194" s="39" t="str">
        <x:v>https://www.chosun.com/economy/economy_general/2025/01/02/6MYGM52QIVHUJBIZYYFBUW5IQM</x:v>
      </x:c>
      <x:c r="G194" s="39" t="str">
        <x:v>작년 한국의 수입액은 전년보다 1.6% 감소한 6320억달러로, 518억달러의 무역 흑자를 기록했다.</x:v>
      </x:c>
      <x:c r="H194" s="38" t="str">
        <x:v>CHANGE_RATE</x:v>
      </x:c>
      <x:c r="I194" s="40" t="str">
        <x:v>1.6</x:v>
      </x:c>
      <x:c r="J194" s="38" t="str">
        <x:v>['%']</x:v>
      </x:c>
      <x:c r="K194" s="38" t="str">
        <x:v>REFUTES</x:v>
      </x:c>
      <x:c r="L194" s="38" t="str">
        <x:v>FULL_KOSIS_MCP</x:v>
      </x:c>
      <x:c r="M194" s="38" t="str">
        <x:v>Y</x:v>
      </x:c>
      <x:c r="N194" s="38" t="str">
        <x:v>Y</x:v>
      </x:c>
      <x:c r="O194" s="38" t="str">
        <x:v>N</x:v>
      </x:c>
      <x:c r="P194" s="38" t="str">
        <x:v>360</x:v>
      </x:c>
      <x:c r="Q194" s="38" t="str">
        <x:v>DT_1R11001_FRM101</x:v>
      </x:c>
      <x:c r="R194" s="38" t="str">
        <x:v>품목별 수출액 수입액</x:v>
      </x:c>
      <x:c r="S194" s="38" t="str">
        <x:v>13102112831A.7763</x:v>
      </x:c>
      <x:c r="T194" s="38" t="str">
        <x:v>N/A</x:v>
      </x:c>
      <x:c r="U194" s="38" t="str">
        <x:v>13103112831T1</x:v>
      </x:c>
      <x:c r="V194" s="38" t="str">
        <x:v>수출액</x:v>
      </x:c>
      <x:c r="W194" s="38" t="str">
        <x:v>다이오드트랜지스터 기타 이와 유사한 반도체 디바이스</x:v>
      </x:c>
      <x:c r="X194" s="38" t="str">
        <x:v>Y</x:v>
      </x:c>
      <x:c r="Y194" s="38" t="str">
        <x:v>2024</x:v>
      </x:c>
      <x:c r="Z194" s="38" t="str">
        <x:v>2023</x:v>
      </x:c>
      <x:c r="AA194" s="41" t="str">
        <x:v>3601287.0</x:v>
      </x:c>
      <x:c r="AB194" s="41" t="str">
        <x:v>3702260.0</x:v>
      </x:c>
      <x:c r="AC194" s="41" t="str">
        <x:v>천달러</x:v>
      </x:c>
      <x:c r="AD194" s="41" t="str">
        <x:v>-2.727334114837964</x:v>
      </x:c>
      <x:c r="AE194" s="39" t="str">
        <x:v>(MCP current − MCP previous) / |MCP previous| × 100</x:v>
      </x:c>
      <x:c r="AF194" s="39" t="str">
        <x:v>MCP_ACTUAL_VALUE_CONFIRMED</x:v>
      </x:c>
      <x:c r="AG194" s="39" t="str">
        <x:v>KOSIS_MCP_GET_DATA</x:v>
      </x:c>
      <x:c r="AH194" s="39" t="str">
        <x:v>https://kosis.kr/statHtml/statHtml.do?orgId=360&amp;tblId=DT_1R11001_FRM101&amp;vw_cd=MT_ZTITLE&amp;list_id=&amp;seqNo=&amp;lang_mode=ko&amp;language=kor&amp;obj_var_id=&amp;itm_id=&amp;conn_path=MT_ZTITLE</x:v>
      </x:c>
      <x:c r="AI194" s="38" t="str">
        <x:v>161-200</x:v>
      </x:c>
      <x:c r="AJ194" s="38" t="n">
        <x:v>46240.024486828705</x:v>
      </x:c>
    </x:row>
    <x:row r="195">
      <x:c r="A195" s="38" t="str">
        <x:v>MCPG-194</x:v>
      </x:c>
      <x:c r="B195" s="38" t="str">
        <x:v>C00181</x:v>
      </x:c>
      <x:c r="C195" s="102" t="str">
        <x:v>A0018</x:v>
      </x:c>
      <x:c r="D195" s="39" t="str">
        <x:v>반도체 덕에… 지난해 수출 6838억달러 역대 최대</x:v>
      </x:c>
      <x:c r="E195" s="39" t="str">
        <x:v>2025-01-02</x:v>
      </x:c>
      <x:c r="F195" s="39" t="str">
        <x:v>https://www.chosun.com/economy/economy_general/2025/01/02/6MYGM52QIVHUJBIZYYFBUW5IQM</x:v>
      </x:c>
      <x:c r="G195" s="39" t="str">
        <x:v>작년 12월 수출은 613억8000만달러로 1년 전 대비 6.6% 늘어 한 달 전(1.4%)에 비해 오름폭을 키웠다.</x:v>
      </x:c>
      <x:c r="H195" s="38" t="str">
        <x:v>LEVEL</x:v>
      </x:c>
      <x:c r="I195" s="40" t="str">
        <x:v>8000.0</x:v>
      </x:c>
      <x:c r="J195" s="38" t="str">
        <x:v>['월', '년', '%', '%']</x:v>
      </x:c>
      <x:c r="K195" s="38" t="str">
        <x:v>REFUTES</x:v>
      </x:c>
      <x:c r="L195" s="38" t="str">
        <x:v>FULL_KOSIS_MCP</x:v>
      </x:c>
      <x:c r="M195" s="38" t="str">
        <x:v>Y</x:v>
      </x:c>
      <x:c r="N195" s="38" t="str">
        <x:v>Y</x:v>
      </x:c>
      <x:c r="O195" s="38" t="str">
        <x:v>N</x:v>
      </x:c>
      <x:c r="P195" s="38" t="str">
        <x:v>360</x:v>
      </x:c>
      <x:c r="Q195" s="38" t="str">
        <x:v>DT_1R11001_FRM101</x:v>
      </x:c>
      <x:c r="R195" s="38" t="str">
        <x:v>품목별 수출액 수입액</x:v>
      </x:c>
      <x:c r="S195" s="38" t="str">
        <x:v>13102112831A.7763</x:v>
      </x:c>
      <x:c r="T195" s="38" t="str">
        <x:v>N/A</x:v>
      </x:c>
      <x:c r="U195" s="38" t="str">
        <x:v>13103112831T1</x:v>
      </x:c>
      <x:c r="V195" s="38" t="str">
        <x:v>수출액</x:v>
      </x:c>
      <x:c r="W195" s="38" t="str">
        <x:v>다이오드트랜지스터 기타 이와 유사한 반도체 디바이스</x:v>
      </x:c>
      <x:c r="X195" s="38" t="str">
        <x:v>M</x:v>
      </x:c>
      <x:c r="Y195" s="38" t="str">
        <x:v>202412</x:v>
      </x:c>
      <x:c r="Z195" s="38" t="str">
        <x:v>N/A</x:v>
      </x:c>
      <x:c r="AA195" s="41" t="str">
        <x:v>274344.0</x:v>
      </x:c>
      <x:c r="AB195" s="41" t="str">
        <x:v>N/A</x:v>
      </x:c>
      <x:c r="AC195" s="41" t="str">
        <x:v>천달러</x:v>
      </x:c>
      <x:c r="AD195" s="41" t="str">
        <x:v>27434.4</x:v>
      </x:c>
      <x:c r="AE195" s="39" t="str">
        <x:v>MCP current value × source unit scale (0.1)</x:v>
      </x:c>
      <x:c r="AF195" s="39" t="str">
        <x:v>MCP_ACTUAL_VALUE_CONFIRMED</x:v>
      </x:c>
      <x:c r="AG195" s="39" t="str">
        <x:v>KOSIS_MCP_GET_DATA</x:v>
      </x:c>
      <x:c r="AH195" s="39" t="str">
        <x:v>https://kosis.kr/statHtml/statHtml.do?orgId=360&amp;tblId=DT_1R11001_FRM101&amp;vw_cd=MT_ZTITLE&amp;list_id=&amp;seqNo=&amp;lang_mode=ko&amp;language=kor&amp;obj_var_id=&amp;itm_id=&amp;conn_path=MT_ZTITLE</x:v>
      </x:c>
      <x:c r="AI195" s="38" t="str">
        <x:v>161-200</x:v>
      </x:c>
      <x:c r="AJ195" s="38" t="n">
        <x:v>46240.024486828705</x:v>
      </x:c>
    </x:row>
    <x:row r="196">
      <x:c r="A196" s="38" t="str">
        <x:v>MCPG-195</x:v>
      </x:c>
      <x:c r="B196" s="38" t="str">
        <x:v>C00515</x:v>
      </x:c>
      <x:c r="C196" s="102" t="str">
        <x:v>A0057</x:v>
      </x:c>
      <x:c r="D196" s="39" t="str">
        <x:v>“보험사, 올해 경기 불확실성 확대로 인한 유동성 모니터링 강화해야”</x:v>
      </x:c>
      <x:c r="E196" s="39" t="str">
        <x:v>2025-01-05</x:v>
      </x:c>
      <x:c r="F196" s="39" t="str">
        <x:v>https://www.chosun.com/economy/money/2025/01/05/4RQQJHQPRSPR4FCEJPVQ2FVIJE</x:v>
      </x:c>
      <x:c r="G196" s="39" t="str">
        <x:v>연구원은 올해 내수가 완만히 개선되는 가운데 수출 증가세가 둔화하면서 경제성장률은 작년에 비해 다소 하락한 2% 수준이 될 것으로 예상했다.</x:v>
      </x:c>
      <x:c r="H196" s="38" t="str">
        <x:v>CHANGE_RATE</x:v>
      </x:c>
      <x:c r="I196" s="40" t="str">
        <x:v>2.0</x:v>
      </x:c>
      <x:c r="J196" s="38" t="str">
        <x:v>['%']</x:v>
      </x:c>
      <x:c r="K196" s="38" t="str">
        <x:v>REFUTES</x:v>
      </x:c>
      <x:c r="L196" s="38" t="str">
        <x:v>FULL_KOSIS_MCP</x:v>
      </x:c>
      <x:c r="M196" s="38" t="str">
        <x:v>Y</x:v>
      </x:c>
      <x:c r="N196" s="38" t="str">
        <x:v>Y</x:v>
      </x:c>
      <x:c r="O196" s="38" t="str">
        <x:v>N</x:v>
      </x:c>
      <x:c r="P196" s="38" t="str">
        <x:v>360</x:v>
      </x:c>
      <x:c r="Q196" s="38" t="str">
        <x:v>DT_1R11001_FRM101</x:v>
      </x:c>
      <x:c r="R196" s="38" t="str">
        <x:v>품목별 수출액 수입액</x:v>
      </x:c>
      <x:c r="S196" s="38" t="str">
        <x:v>13102112831A.A</x:v>
      </x:c>
      <x:c r="T196" s="38" t="str">
        <x:v>N/A</x:v>
      </x:c>
      <x:c r="U196" s="38" t="str">
        <x:v>13103112831T1</x:v>
      </x:c>
      <x:c r="V196" s="38" t="str">
        <x:v>수출액</x:v>
      </x:c>
      <x:c r="W196" s="38" t="str">
        <x:v>총액</x:v>
      </x:c>
      <x:c r="X196" s="38" t="str">
        <x:v>Y</x:v>
      </x:c>
      <x:c r="Y196" s="38" t="str">
        <x:v>2024</x:v>
      </x:c>
      <x:c r="Z196" s="38" t="str">
        <x:v>2023</x:v>
      </x:c>
      <x:c r="AA196" s="41" t="str">
        <x:v>683609488.0</x:v>
      </x:c>
      <x:c r="AB196" s="41" t="str">
        <x:v>632225824.0</x:v>
      </x:c>
      <x:c r="AC196" s="41" t="str">
        <x:v>천달러</x:v>
      </x:c>
      <x:c r="AD196" s="41" t="str">
        <x:v>8.127422520469521</x:v>
      </x:c>
      <x:c r="AE196" s="39" t="str">
        <x:v>(MCP current − MCP previous) / |MCP previous| × 100</x:v>
      </x:c>
      <x:c r="AF196" s="39" t="str">
        <x:v>MCP_ACTUAL_VALUE_CONFIRMED</x:v>
      </x:c>
      <x:c r="AG196" s="39" t="str">
        <x:v>KOSIS_MCP_GET_DATA</x:v>
      </x:c>
      <x:c r="AH196" s="39" t="str">
        <x:v>https://kosis.kr/statHtml/statHtml.do?orgId=360&amp;tblId=DT_1R11001_FRM101&amp;vw_cd=MT_ZTITLE&amp;list_id=&amp;seqNo=&amp;lang_mode=ko&amp;language=kor&amp;obj_var_id=&amp;itm_id=&amp;conn_path=MT_ZTITLE</x:v>
      </x:c>
      <x:c r="AI196" s="38" t="str">
        <x:v>161-200</x:v>
      </x:c>
      <x:c r="AJ196" s="38" t="n">
        <x:v>46240.024486828705</x:v>
      </x:c>
    </x:row>
    <x:row r="197">
      <x:c r="A197" s="38" t="str">
        <x:v>MCPG-196</x:v>
      </x:c>
      <x:c r="B197" s="38" t="str">
        <x:v>C00593</x:v>
      </x:c>
      <x:c r="C197" s="102" t="str">
        <x:v>A0070</x:v>
      </x:c>
      <x:c r="D197" s="39" t="str">
        <x:v>대중-대미 수출 격차 21년 만 최소...트럼프 2기 미국 수출 1위 올라서나</x:v>
      </x:c>
      <x:c r="E197" s="39" t="str">
        <x:v>2025-01-06</x:v>
      </x:c>
      <x:c r="F197" s="39" t="str">
        <x:v>https://www.chosun.com/economy/economy_general/2025/01/06/BXDMXSYJWZDNDOGA5VONBDMCWY</x:v>
      </x:c>
      <x:c r="G197" s="39" t="str">
        <x:v>특히 지난해 반도체(122.8%)와 자동차(8.2%) 등 주요 품목들의 대미 수출이 활기를 띠면서 중국 뒤를 바짝 따라잡은 것이다.</x:v>
      </x:c>
      <x:c r="H197" s="38" t="str">
        <x:v>LEVEL</x:v>
      </x:c>
      <x:c r="I197" s="40" t="str">
        <x:v>8.2</x:v>
      </x:c>
      <x:c r="J197" s="38" t="str">
        <x:v>['%', '%']</x:v>
      </x:c>
      <x:c r="K197" s="38" t="str">
        <x:v>REFUTES</x:v>
      </x:c>
      <x:c r="L197" s="38" t="str">
        <x:v>FULL_KOSIS_MCP</x:v>
      </x:c>
      <x:c r="M197" s="38" t="str">
        <x:v>Y</x:v>
      </x:c>
      <x:c r="N197" s="38" t="str">
        <x:v>Y</x:v>
      </x:c>
      <x:c r="O197" s="38" t="str">
        <x:v>N</x:v>
      </x:c>
      <x:c r="P197" s="38" t="str">
        <x:v>360</x:v>
      </x:c>
      <x:c r="Q197" s="38" t="str">
        <x:v>DT_1R11006_FRM101</x:v>
      </x:c>
      <x:c r="R197" s="38" t="str">
        <x:v>국가별 수출액 수입액</x:v>
      </x:c>
      <x:c r="S197" s="38" t="str">
        <x:v>13102103829E.US</x:v>
      </x:c>
      <x:c r="T197" s="38" t="str">
        <x:v>N/A</x:v>
      </x:c>
      <x:c r="U197" s="38" t="str">
        <x:v>13103103829T1</x:v>
      </x:c>
      <x:c r="V197" s="38" t="str">
        <x:v>수출액</x:v>
      </x:c>
      <x:c r="W197" s="38" t="str">
        <x:v>미국</x:v>
      </x:c>
      <x:c r="X197" s="38" t="str">
        <x:v>Y</x:v>
      </x:c>
      <x:c r="Y197" s="38" t="str">
        <x:v>2024</x:v>
      </x:c>
      <x:c r="Z197" s="38" t="str">
        <x:v>N/A</x:v>
      </x:c>
      <x:c r="AA197" s="41" t="str">
        <x:v>127761371.0</x:v>
      </x:c>
      <x:c r="AB197" s="41" t="str">
        <x:v>N/A</x:v>
      </x:c>
      <x:c r="AC197" s="41" t="str">
        <x:v>천달러</x:v>
      </x:c>
      <x:c r="AD197" s="41" t="str">
        <x:v>127761371.0</x:v>
      </x:c>
      <x:c r="AE197" s="39" t="str">
        <x:v>MCP current value × source unit scale (1)</x:v>
      </x:c>
      <x:c r="AF197" s="39" t="str">
        <x:v>MCP_ACTUAL_VALUE_CONFIRMED</x:v>
      </x:c>
      <x:c r="AG197" s="39" t="str">
        <x:v>KOSIS_MCP_GET_DATA</x:v>
      </x:c>
      <x:c r="AH197" s="39" t="str">
        <x:v>https://kosis.kr/statHtml/statHtml.do?orgId=360&amp;tblId=DT_1R11006_FRM101&amp;vw_cd=MT_ZTITLE&amp;list_id=&amp;seqNo=&amp;lang_mode=ko&amp;language=kor&amp;obj_var_id=&amp;itm_id=&amp;conn_path=MT_ZTITLE</x:v>
      </x:c>
      <x:c r="AI197" s="38" t="str">
        <x:v>161-200</x:v>
      </x:c>
      <x:c r="AJ197" s="38" t="n">
        <x:v>46240.024486828705</x:v>
      </x:c>
    </x:row>
    <x:row r="198">
      <x:c r="A198" s="38" t="str">
        <x:v>MCPG-197</x:v>
      </x:c>
      <x:c r="B198" s="38" t="str">
        <x:v>C00688</x:v>
      </x:c>
      <x:c r="C198" s="102" t="str">
        <x:v>A0081</x:v>
      </x:c>
      <x:c r="D198" s="39" t="str">
        <x:v>테슬라 Y, 벤츠·BMW 제쳐… 2년 연속 최고 인기 수입차</x:v>
      </x:c>
      <x:c r="E198" s="39" t="str">
        <x:v>2025-01-07</x:v>
      </x:c>
      <x:c r="F198" s="39" t="str">
        <x:v>https://www.chosun.com/economy/auto/2025/01/07/LZQVWHYSWNHDFOXAWZNALC57BY</x:v>
      </x:c>
      <x:c r="G198" s="39" t="str">
        <x:v>전체 수입차 판매는 2023년(27만1034대)보다 2.9% 감소한 26만3288대에 그쳤다.</x:v>
      </x:c>
      <x:c r="H198" s="38" t="str">
        <x:v>CHANGE_RATE</x:v>
      </x:c>
      <x:c r="I198" s="40" t="str">
        <x:v>2.9</x:v>
      </x:c>
      <x:c r="J198" s="38" t="str">
        <x:v>['년', '%']</x:v>
      </x:c>
      <x:c r="K198" s="38" t="str">
        <x:v>REFUTES</x:v>
      </x:c>
      <x:c r="L198" s="38" t="str">
        <x:v>FULL_KOSIS_MCP</x:v>
      </x:c>
      <x:c r="M198" s="38" t="str">
        <x:v>Y</x:v>
      </x:c>
      <x:c r="N198" s="38" t="str">
        <x:v>Y</x:v>
      </x:c>
      <x:c r="O198" s="38" t="str">
        <x:v>N</x:v>
      </x:c>
      <x:c r="P198" s="38" t="str">
        <x:v>360</x:v>
      </x:c>
      <x:c r="Q198" s="38" t="str">
        <x:v>DT_1R11001_FRM101</x:v>
      </x:c>
      <x:c r="R198" s="38" t="str">
        <x:v>품목별 수출액 수입액</x:v>
      </x:c>
      <x:c r="S198" s="38" t="str">
        <x:v>13102112831A.A</x:v>
      </x:c>
      <x:c r="T198" s="38" t="str">
        <x:v>N/A</x:v>
      </x:c>
      <x:c r="U198" s="38" t="str">
        <x:v>13103112831T2</x:v>
      </x:c>
      <x:c r="V198" s="38" t="str">
        <x:v>수입액</x:v>
      </x:c>
      <x:c r="W198" s="38" t="str">
        <x:v>총액</x:v>
      </x:c>
      <x:c r="X198" s="38" t="str">
        <x:v>Y</x:v>
      </x:c>
      <x:c r="Y198" s="38" t="str">
        <x:v>2023</x:v>
      </x:c>
      <x:c r="Z198" s="38" t="str">
        <x:v>2022</x:v>
      </x:c>
      <x:c r="AA198" s="41" t="str">
        <x:v>642572126.0</x:v>
      </x:c>
      <x:c r="AB198" s="41" t="str">
        <x:v>731369657.0</x:v>
      </x:c>
      <x:c r="AC198" s="41" t="str">
        <x:v>천달러</x:v>
      </x:c>
      <x:c r="AD198" s="41" t="str">
        <x:v>-12.14126538476288</x:v>
      </x:c>
      <x:c r="AE198" s="39" t="str">
        <x:v>(MCP current − MCP previous) / |MCP previous| × 100</x:v>
      </x:c>
      <x:c r="AF198" s="39" t="str">
        <x:v>MCP_ACTUAL_VALUE_CONFIRMED</x:v>
      </x:c>
      <x:c r="AG198" s="39" t="str">
        <x:v>KOSIS_MCP_GET_DATA</x:v>
      </x:c>
      <x:c r="AH198" s="39" t="str">
        <x:v>https://kosis.kr/statHtml/statHtml.do?orgId=360&amp;tblId=DT_1R11001_FRM101&amp;vw_cd=MT_ZTITLE&amp;list_id=&amp;seqNo=&amp;lang_mode=ko&amp;language=kor&amp;obj_var_id=&amp;itm_id=&amp;conn_path=MT_ZTITLE</x:v>
      </x:c>
      <x:c r="AI198" s="38" t="str">
        <x:v>161-200</x:v>
      </x:c>
      <x:c r="AJ198" s="38" t="n">
        <x:v>46240.024486828705</x:v>
      </x:c>
    </x:row>
    <x:row r="199">
      <x:c r="A199" s="38" t="str">
        <x:v>MCPG-198</x:v>
      </x:c>
      <x:c r="B199" s="38" t="str">
        <x:v>C00811</x:v>
      </x:c>
      <x:c r="C199" s="102" t="str">
        <x:v>A0103</x:v>
      </x:c>
      <x:c r="D199" s="39" t="str">
        <x:v>라면·냉동 김밥… K푸드 수출 1위는 미국</x:v>
      </x:c>
      <x:c r="E199" s="39" t="str">
        <x:v>2025-01-08</x:v>
      </x:c>
      <x:c r="F199" s="39" t="str">
        <x:v>https://www.chosun.com/economy/economy_general/2025/01/08/OCB6UW6X6NHHJAWKHI34GRQSBI</x:v>
      </x:c>
      <x:c r="G199" s="39" t="str">
        <x:v>7일 농림축산식품부에 따르면, 지난해 K푸드+ 수출액은 130억3000만달러로 1년 전보다 6.1% 증가한 역대 최고치를 기록했다.</x:v>
      </x:c>
      <x:c r="H199" s="38" t="str">
        <x:v>CHANGE_RATE</x:v>
      </x:c>
      <x:c r="I199" s="40" t="str">
        <x:v>6.1</x:v>
      </x:c>
      <x:c r="J199" s="38" t="str">
        <x:v>['일', '년', '%']</x:v>
      </x:c>
      <x:c r="K199" s="38" t="str">
        <x:v>REFUTES</x:v>
      </x:c>
      <x:c r="L199" s="38" t="str">
        <x:v>FULL_KOSIS_MCP</x:v>
      </x:c>
      <x:c r="M199" s="38" t="str">
        <x:v>Y</x:v>
      </x:c>
      <x:c r="N199" s="38" t="str">
        <x:v>Y</x:v>
      </x:c>
      <x:c r="O199" s="38" t="str">
        <x:v>N</x:v>
      </x:c>
      <x:c r="P199" s="38" t="str">
        <x:v>360</x:v>
      </x:c>
      <x:c r="Q199" s="38" t="str">
        <x:v>DT_1R11006_FRM101</x:v>
      </x:c>
      <x:c r="R199" s="38" t="str">
        <x:v>국가별 수출액 수입액</x:v>
      </x:c>
      <x:c r="S199" s="38" t="str">
        <x:v>13102103829E.US</x:v>
      </x:c>
      <x:c r="T199" s="38" t="str">
        <x:v>N/A</x:v>
      </x:c>
      <x:c r="U199" s="38" t="str">
        <x:v>13103103829T1</x:v>
      </x:c>
      <x:c r="V199" s="38" t="str">
        <x:v>수출액</x:v>
      </x:c>
      <x:c r="W199" s="38" t="str">
        <x:v>미국</x:v>
      </x:c>
      <x:c r="X199" s="38" t="str">
        <x:v>Y</x:v>
      </x:c>
      <x:c r="Y199" s="38" t="str">
        <x:v>2024</x:v>
      </x:c>
      <x:c r="Z199" s="38" t="str">
        <x:v>2023</x:v>
      </x:c>
      <x:c r="AA199" s="41" t="str">
        <x:v>127761371.0</x:v>
      </x:c>
      <x:c r="AB199" s="41" t="str">
        <x:v>115696334.0</x:v>
      </x:c>
      <x:c r="AC199" s="41" t="str">
        <x:v>천달러</x:v>
      </x:c>
      <x:c r="AD199" s="41" t="str">
        <x:v>10.428192997022705</x:v>
      </x:c>
      <x:c r="AE199" s="39" t="str">
        <x:v>(MCP current − MCP previous) / |MCP previous| × 100</x:v>
      </x:c>
      <x:c r="AF199" s="39" t="str">
        <x:v>MCP_ACTUAL_VALUE_CONFIRMED</x:v>
      </x:c>
      <x:c r="AG199" s="39" t="str">
        <x:v>KOSIS_MCP_GET_DATA</x:v>
      </x:c>
      <x:c r="AH199" s="39" t="str">
        <x:v>https://kosis.kr/statHtml/statHtml.do?orgId=360&amp;tblId=DT_1R11006_FRM101&amp;vw_cd=MT_ZTITLE&amp;list_id=&amp;seqNo=&amp;lang_mode=ko&amp;language=kor&amp;obj_var_id=&amp;itm_id=&amp;conn_path=MT_ZTITLE</x:v>
      </x:c>
      <x:c r="AI199" s="38" t="str">
        <x:v>161-200</x:v>
      </x:c>
      <x:c r="AJ199" s="38" t="n">
        <x:v>46240.024486828705</x:v>
      </x:c>
    </x:row>
    <x:row r="200">
      <x:c r="A200" s="38" t="str">
        <x:v>MCPG-199</x:v>
      </x:c>
      <x:c r="B200" s="38" t="str">
        <x:v>C01335</x:v>
      </x:c>
      <x:c r="C200" s="102" t="str">
        <x:v>A0185</x:v>
      </x:c>
      <x:c r="D200" s="39" t="str">
        <x:v>수입차 시장, IMF 이후 처음 2년 연속 역성장</x:v>
      </x:c>
      <x:c r="E200" s="39" t="str">
        <x:v>2025-01-15</x:v>
      </x:c>
      <x:c r="F200" s="39" t="str">
        <x:v>https://www.chosun.com/economy/auto/2025/01/15/MS2YWXFVJVFGVKZPZIJZ6DXAAU</x:v>
      </x:c>
      <x:c r="G200" s="39" t="str">
        <x:v>2023년에도 전년 대비 수입차 판매량이 4.4％ 줄었는데, 2년 연속 줄어든 것이다.</x:v>
      </x:c>
      <x:c r="H200" s="38" t="str">
        <x:v>CHANGE_RATE</x:v>
      </x:c>
      <x:c r="I200" s="40" t="str">
        <x:v>4.4</x:v>
      </x:c>
      <x:c r="J200" s="38" t="str">
        <x:v>['년', '년']</x:v>
      </x:c>
      <x:c r="K200" s="38" t="str">
        <x:v>REFUTES</x:v>
      </x:c>
      <x:c r="L200" s="38" t="str">
        <x:v>FULL_KOSIS_MCP</x:v>
      </x:c>
      <x:c r="M200" s="38" t="str">
        <x:v>Y</x:v>
      </x:c>
      <x:c r="N200" s="38" t="str">
        <x:v>Y</x:v>
      </x:c>
      <x:c r="O200" s="38" t="str">
        <x:v>N</x:v>
      </x:c>
      <x:c r="P200" s="38" t="str">
        <x:v>360</x:v>
      </x:c>
      <x:c r="Q200" s="38" t="str">
        <x:v>DT_1R11001_FRM101</x:v>
      </x:c>
      <x:c r="R200" s="38" t="str">
        <x:v>품목별 수출액 수입액</x:v>
      </x:c>
      <x:c r="S200" s="38" t="str">
        <x:v>13102112831A.A</x:v>
      </x:c>
      <x:c r="T200" s="38" t="str">
        <x:v>N/A</x:v>
      </x:c>
      <x:c r="U200" s="38" t="str">
        <x:v>13103112831T2</x:v>
      </x:c>
      <x:c r="V200" s="38" t="str">
        <x:v>수입액</x:v>
      </x:c>
      <x:c r="W200" s="38" t="str">
        <x:v>총액</x:v>
      </x:c>
      <x:c r="X200" s="38" t="str">
        <x:v>Y</x:v>
      </x:c>
      <x:c r="Y200" s="38" t="str">
        <x:v>2024</x:v>
      </x:c>
      <x:c r="Z200" s="38" t="str">
        <x:v>2023</x:v>
      </x:c>
      <x:c r="AA200" s="41" t="str">
        <x:v>631767209.0</x:v>
      </x:c>
      <x:c r="AB200" s="41" t="str">
        <x:v>642572126.0</x:v>
      </x:c>
      <x:c r="AC200" s="41" t="str">
        <x:v>천달러</x:v>
      </x:c>
      <x:c r="AD200" s="41" t="str">
        <x:v>-1.6815103803615659</x:v>
      </x:c>
      <x:c r="AE200" s="39" t="str">
        <x:v>(MCP current − MCP previous) / |MCP previous| × 100</x:v>
      </x:c>
      <x:c r="AF200" s="39" t="str">
        <x:v>MCP_ACTUAL_VALUE_CONFIRMED</x:v>
      </x:c>
      <x:c r="AG200" s="39" t="str">
        <x:v>KOSIS_MCP_GET_DATA</x:v>
      </x:c>
      <x:c r="AH200" s="39" t="str">
        <x:v>https://kosis.kr/statHtml/statHtml.do?orgId=360&amp;tblId=DT_1R11001_FRM101&amp;vw_cd=MT_ZTITLE&amp;list_id=&amp;seqNo=&amp;lang_mode=ko&amp;language=kor&amp;obj_var_id=&amp;itm_id=&amp;conn_path=MT_ZTITLE</x:v>
      </x:c>
      <x:c r="AI200" s="38" t="str">
        <x:v>161-200</x:v>
      </x:c>
      <x:c r="AJ200" s="38" t="n">
        <x:v>46240.024486828705</x:v>
      </x:c>
    </x:row>
    <x:row r="201">
      <x:c r="A201" s="38" t="str">
        <x:v>MCPG-200</x:v>
      </x:c>
      <x:c r="B201" s="38" t="str">
        <x:v>C01341</x:v>
      </x:c>
      <x:c r="C201" s="102" t="str">
        <x:v>A0186</x:v>
      </x:c>
      <x:c r="D201" s="39" t="str">
        <x:v>현대차·기아, 친환경車 수출… 작년 70만대 넘어 ‘역대 최다’</x:v>
      </x:c>
      <x:c r="E201" s="39" t="str">
        <x:v>2025-01-15</x:v>
      </x:c>
      <x:c r="F201" s="39" t="str">
        <x:v>https://www.chosun.com/economy/auto/2025/01/15/PDBPQYU6K5F2ZBE6G2Z2LNEZQI</x:v>
      </x:c>
      <x:c r="G201" s="39" t="str">
        <x:v>하이브리드차 수출은 전년 대비 44.6% 증가한 39만7200대로 전체 친환경차 수출의 56.1%를 차지했다.</x:v>
      </x:c>
      <x:c r="H201" s="38" t="str">
        <x:v>CHANGE_RATE</x:v>
      </x:c>
      <x:c r="I201" s="40" t="str">
        <x:v>56.1</x:v>
      </x:c>
      <x:c r="J201" s="38" t="str">
        <x:v>['%', '%']</x:v>
      </x:c>
      <x:c r="K201" s="38" t="str">
        <x:v>REFUTES</x:v>
      </x:c>
      <x:c r="L201" s="38" t="str">
        <x:v>FULL_KOSIS_MCP</x:v>
      </x:c>
      <x:c r="M201" s="38" t="str">
        <x:v>Y</x:v>
      </x:c>
      <x:c r="N201" s="38" t="str">
        <x:v>Y</x:v>
      </x:c>
      <x:c r="O201" s="38" t="str">
        <x:v>N</x:v>
      </x:c>
      <x:c r="P201" s="38" t="str">
        <x:v>360</x:v>
      </x:c>
      <x:c r="Q201" s="38" t="str">
        <x:v>DT_1R11001_FRM101</x:v>
      </x:c>
      <x:c r="R201" s="38" t="str">
        <x:v>품목별 수출액 수입액</x:v>
      </x:c>
      <x:c r="S201" s="38" t="str">
        <x:v>13102112831A.A</x:v>
      </x:c>
      <x:c r="T201" s="38" t="str">
        <x:v>N/A</x:v>
      </x:c>
      <x:c r="U201" s="38" t="str">
        <x:v>13103112831T1</x:v>
      </x:c>
      <x:c r="V201" s="38" t="str">
        <x:v>수출액</x:v>
      </x:c>
      <x:c r="W201" s="38" t="str">
        <x:v>총액</x:v>
      </x:c>
      <x:c r="X201" s="38" t="str">
        <x:v>Y</x:v>
      </x:c>
      <x:c r="Y201" s="38" t="str">
        <x:v>2024</x:v>
      </x:c>
      <x:c r="Z201" s="38" t="str">
        <x:v>2023</x:v>
      </x:c>
      <x:c r="AA201" s="41" t="str">
        <x:v>683609488.0</x:v>
      </x:c>
      <x:c r="AB201" s="41" t="str">
        <x:v>632225824.0</x:v>
      </x:c>
      <x:c r="AC201" s="41" t="str">
        <x:v>천달러</x:v>
      </x:c>
      <x:c r="AD201" s="41" t="str">
        <x:v>8.127422520469521</x:v>
      </x:c>
      <x:c r="AE201" s="39" t="str">
        <x:v>(MCP current − MCP previous) / |MCP previous| × 100</x:v>
      </x:c>
      <x:c r="AF201" s="39" t="str">
        <x:v>MCP_ACTUAL_VALUE_CONFIRMED</x:v>
      </x:c>
      <x:c r="AG201" s="39" t="str">
        <x:v>KOSIS_MCP_GET_DATA</x:v>
      </x:c>
      <x:c r="AH201" s="39" t="str">
        <x:v>https://kosis.kr/statHtml/statHtml.do?orgId=360&amp;tblId=DT_1R11001_FRM101&amp;vw_cd=MT_ZTITLE&amp;list_id=&amp;seqNo=&amp;lang_mode=ko&amp;language=kor&amp;obj_var_id=&amp;itm_id=&amp;conn_path=MT_ZTITLE</x:v>
      </x:c>
      <x:c r="AI201" s="38" t="str">
        <x:v>161-200</x:v>
      </x:c>
      <x:c r="AJ201" s="38" t="n">
        <x:v>46240.024486828705</x:v>
      </x:c>
    </x:row>
    <x:row r="202">
      <x:c r="A202" s="38" t="str">
        <x:v>MCPG-201</x:v>
      </x:c>
      <x:c r="B202" s="38" t="str">
        <x:v>C01572</x:v>
      </x:c>
      <x:c r="C202" s="102" t="str">
        <x:v>A0212</x:v>
      </x:c>
      <x:c r="D202" s="39" t="str">
        <x:v>환율 안정이 우선… 韓銀, 기준금리 3% 동결</x:v>
      </x:c>
      <x:c r="E202" s="39" t="str">
        <x:v>2025-01-17</x:v>
      </x:c>
      <x:c r="F202" s="39" t="str">
        <x:v>https://www.chosun.com/economy/economy_general/2025/01/17/DUCC66IHF5EQJKWXBEBLBLINZ4</x:v>
      </x:c>
      <x:c r="G202" s="39" t="str">
        <x:v>작년 1~11월 소매판매액도 전년 동기 대비 2.1% 감소했다.</x:v>
      </x:c>
      <x:c r="H202" s="38" t="str">
        <x:v>CHANGE_RATE</x:v>
      </x:c>
      <x:c r="I202" s="40" t="str">
        <x:v>2.1</x:v>
      </x:c>
      <x:c r="J202" s="38" t="str">
        <x:v>['월', '%']</x:v>
      </x:c>
      <x:c r="K202" s="38" t="str">
        <x:v>REFUTES</x:v>
      </x:c>
      <x:c r="L202" s="38" t="str">
        <x:v>FULL_KOSIS_MCP</x:v>
      </x:c>
      <x:c r="M202" s="38" t="str">
        <x:v>Y</x:v>
      </x:c>
      <x:c r="N202" s="38" t="str">
        <x:v>Y</x:v>
      </x:c>
      <x:c r="O202" s="38" t="str">
        <x:v>N</x:v>
      </x:c>
      <x:c r="P202" s="38" t="str">
        <x:v>101</x:v>
      </x:c>
      <x:c r="Q202" s="38" t="str">
        <x:v>DT_1K41012</x:v>
      </x:c>
      <x:c r="R202" s="38" t="str">
        <x:v>재별 및 상품군별 소매판매액지수(2020＝100.0)</x:v>
      </x:c>
      <x:c r="S202" s="38" t="str">
        <x:v>G0</x:v>
      </x:c>
      <x:c r="T202" s="38" t="str">
        <x:v>N/A</x:v>
      </x:c>
      <x:c r="U202" s="38" t="str">
        <x:v>T2</x:v>
      </x:c>
      <x:c r="V202" s="38" t="str">
        <x:v>불변지수</x:v>
      </x:c>
      <x:c r="W202" s="38" t="str">
        <x:v>총지수</x:v>
      </x:c>
      <x:c r="X202" s="38" t="str">
        <x:v>M</x:v>
      </x:c>
      <x:c r="Y202" s="38" t="str">
        <x:v>202411</x:v>
      </x:c>
      <x:c r="Z202" s="38" t="str">
        <x:v>202311</x:v>
      </x:c>
      <x:c r="AA202" s="41" t="str">
        <x:v>105.1</x:v>
      </x:c>
      <x:c r="AB202" s="41" t="str">
        <x:v>107.5</x:v>
      </x:c>
      <x:c r="AC202" s="41" t="str">
        <x:v>2020＝100</x:v>
      </x:c>
      <x:c r="AD202" s="41" t="str">
        <x:v>-2.232558139534889</x:v>
      </x:c>
      <x:c r="AE202" s="39" t="str">
        <x:v>(MCP current − MCP previous) / |MCP previous| × 100</x:v>
      </x:c>
      <x:c r="AF202" s="39" t="str">
        <x:v>MCP_ACTUAL_VALUE_CONFIRMED</x:v>
      </x:c>
      <x:c r="AG202" s="39" t="str">
        <x:v>KOSIS_MCP_GET_DATA</x:v>
      </x:c>
      <x:c r="AH202" s="39" t="str">
        <x:v>https://kosis.kr/statHtml/statHtml.do?orgId=101&amp;tblId=DT_1K41012&amp;vw_cd=MT_ZTITLE&amp;list_id=&amp;seqNo=&amp;lang_mode=ko&amp;language=kor&amp;obj_var_id=&amp;itm_id=&amp;conn_path=MT_ZTITLE</x:v>
      </x:c>
      <x:c r="AI202" s="38" t="str">
        <x:v>161-200</x:v>
      </x:c>
      <x:c r="AJ202" s="38" t="n">
        <x:v>46240.024486828705</x:v>
      </x:c>
    </x:row>
    <x:row r="203">
      <x:c r="A203" s="38" t="str">
        <x:v>MCPG-202</x:v>
      </x:c>
      <x:c r="B203" s="38" t="str">
        <x:v>C01657</x:v>
      </x:c>
      <x:c r="C203" s="102" t="str">
        <x:v>A0224</x:v>
      </x:c>
      <x:c r="D203" s="39" t="str">
        <x:v>간신히 5% 찍은 中 성장률, 올해는 ‘트럼프 관세’ 먹구름</x:v>
      </x:c>
      <x:c r="E203" s="39" t="str">
        <x:v>2025-01-18</x:v>
      </x:c>
      <x:c r="F203" s="39" t="str">
        <x:v>https://www.chosun.com/economy/economy_general/2025/01/18/47BFYPJXONF7RIF22SP3KAKCFU</x:v>
      </x:c>
      <x:c r="G203" s="39" t="str">
        <x:v>지난해 달러 기준 연간 수출액은 1년 전보다 5.9% 증가하며 2022년(7%) 이후 가장 큰 폭으로 늘었다.</x:v>
      </x:c>
      <x:c r="H203" s="38" t="str">
        <x:v>CHANGE_RATE</x:v>
      </x:c>
      <x:c r="I203" s="40" t="str">
        <x:v>7.0</x:v>
      </x:c>
      <x:c r="J203" s="38" t="str">
        <x:v>['년', '%', '년', '%']</x:v>
      </x:c>
      <x:c r="K203" s="38" t="str">
        <x:v>REFUTES</x:v>
      </x:c>
      <x:c r="L203" s="38" t="str">
        <x:v>FULL_KOSIS_MCP</x:v>
      </x:c>
      <x:c r="M203" s="38" t="str">
        <x:v>Y</x:v>
      </x:c>
      <x:c r="N203" s="38" t="str">
        <x:v>Y</x:v>
      </x:c>
      <x:c r="O203" s="38" t="str">
        <x:v>N</x:v>
      </x:c>
      <x:c r="P203" s="38" t="str">
        <x:v>360</x:v>
      </x:c>
      <x:c r="Q203" s="38" t="str">
        <x:v>DT_1R11001_FRM101</x:v>
      </x:c>
      <x:c r="R203" s="38" t="str">
        <x:v>품목별 수출액 수입액</x:v>
      </x:c>
      <x:c r="S203" s="38" t="str">
        <x:v>13102112831A.A</x:v>
      </x:c>
      <x:c r="T203" s="38" t="str">
        <x:v>N/A</x:v>
      </x:c>
      <x:c r="U203" s="38" t="str">
        <x:v>13103112831T1</x:v>
      </x:c>
      <x:c r="V203" s="38" t="str">
        <x:v>수출액</x:v>
      </x:c>
      <x:c r="W203" s="38" t="str">
        <x:v>총액</x:v>
      </x:c>
      <x:c r="X203" s="38" t="str">
        <x:v>Y</x:v>
      </x:c>
      <x:c r="Y203" s="38" t="str">
        <x:v>2024</x:v>
      </x:c>
      <x:c r="Z203" s="38" t="str">
        <x:v>2023</x:v>
      </x:c>
      <x:c r="AA203" s="41" t="str">
        <x:v>683609488.0</x:v>
      </x:c>
      <x:c r="AB203" s="41" t="str">
        <x:v>632225824.0</x:v>
      </x:c>
      <x:c r="AC203" s="41" t="str">
        <x:v>천달러</x:v>
      </x:c>
      <x:c r="AD203" s="41" t="str">
        <x:v>8.127422520469521</x:v>
      </x:c>
      <x:c r="AE203" s="39" t="str">
        <x:v>(MCP current − MCP previous) / |MCP previous| × 100</x:v>
      </x:c>
      <x:c r="AF203" s="39" t="str">
        <x:v>MCP_ACTUAL_VALUE_CONFIRMED</x:v>
      </x:c>
      <x:c r="AG203" s="39" t="str">
        <x:v>KOSIS_MCP_GET_DATA</x:v>
      </x:c>
      <x:c r="AH203" s="39" t="str">
        <x:v>https://kosis.kr/statHtml/statHtml.do?orgId=360&amp;tblId=DT_1R11001_FRM101&amp;vw_cd=MT_ZTITLE&amp;list_id=&amp;seqNo=&amp;lang_mode=ko&amp;language=kor&amp;obj_var_id=&amp;itm_id=&amp;conn_path=MT_ZTITLE</x:v>
      </x:c>
      <x:c r="AI203" s="38" t="str">
        <x:v>161-200</x:v>
      </x:c>
      <x:c r="AJ203" s="38" t="n">
        <x:v>46240.02448684028</x:v>
      </x:c>
    </x:row>
    <x:row r="204">
      <x:c r="A204" s="38" t="str">
        <x:v>MCPG-203</x:v>
      </x:c>
      <x:c r="B204" s="38" t="str">
        <x:v>C01662</x:v>
      </x:c>
      <x:c r="C204" s="102" t="str">
        <x:v>A0224</x:v>
      </x:c>
      <x:c r="D204" s="39" t="str">
        <x:v>간신히 5% 찍은 中 성장률, 올해는 ‘트럼프 관세’ 먹구름</x:v>
      </x:c>
      <x:c r="E204" s="39" t="str">
        <x:v>2025-01-18</x:v>
      </x:c>
      <x:c r="F204" s="39" t="str">
        <x:v>https://www.chosun.com/economy/economy_general/2025/01/18/47BFYPJXONF7RIF22SP3KAKCFU</x:v>
      </x:c>
      <x:c r="G204" s="39" t="str">
        <x:v>작년 1~11월 기준, 한국 반도체 수출 중 중국·홍콩으로 향한 비율은 52%에 달한다.</x:v>
      </x:c>
      <x:c r="H204" s="38" t="str">
        <x:v>LEVEL</x:v>
      </x:c>
      <x:c r="I204" s="40" t="str">
        <x:v>52.0</x:v>
      </x:c>
      <x:c r="J204" s="38" t="str">
        <x:v>['월', '%']</x:v>
      </x:c>
      <x:c r="K204" s="38" t="str">
        <x:v>REFUTES</x:v>
      </x:c>
      <x:c r="L204" s="38" t="str">
        <x:v>FULL_KOSIS_MCP</x:v>
      </x:c>
      <x:c r="M204" s="38" t="str">
        <x:v>Y</x:v>
      </x:c>
      <x:c r="N204" s="38" t="str">
        <x:v>Y</x:v>
      </x:c>
      <x:c r="O204" s="38" t="str">
        <x:v>N</x:v>
      </x:c>
      <x:c r="P204" s="38" t="str">
        <x:v>360</x:v>
      </x:c>
      <x:c r="Q204" s="38" t="str">
        <x:v>DT_1R11006_FRM101</x:v>
      </x:c>
      <x:c r="R204" s="38" t="str">
        <x:v>국가별 수출액 수입액</x:v>
      </x:c>
      <x:c r="S204" s="38" t="str">
        <x:v>13102103829E.CN</x:v>
      </x:c>
      <x:c r="T204" s="38" t="str">
        <x:v>N/A</x:v>
      </x:c>
      <x:c r="U204" s="38" t="str">
        <x:v>13103103829T1</x:v>
      </x:c>
      <x:c r="V204" s="38" t="str">
        <x:v>수출액</x:v>
      </x:c>
      <x:c r="W204" s="38" t="str">
        <x:v>중국</x:v>
      </x:c>
      <x:c r="X204" s="38" t="str">
        <x:v>M</x:v>
      </x:c>
      <x:c r="Y204" s="38" t="str">
        <x:v>202411</x:v>
      </x:c>
      <x:c r="Z204" s="38" t="str">
        <x:v>N/A</x:v>
      </x:c>
      <x:c r="AA204" s="41" t="str">
        <x:v>11290362.0</x:v>
      </x:c>
      <x:c r="AB204" s="41" t="str">
        <x:v>N/A</x:v>
      </x:c>
      <x:c r="AC204" s="41" t="str">
        <x:v>천달러</x:v>
      </x:c>
      <x:c r="AD204" s="41" t="str">
        <x:v>11290362.0</x:v>
      </x:c>
      <x:c r="AE204" s="39" t="str">
        <x:v>MCP current value × source unit scale (1)</x:v>
      </x:c>
      <x:c r="AF204" s="39" t="str">
        <x:v>MCP_ACTUAL_VALUE_CONFIRMED</x:v>
      </x:c>
      <x:c r="AG204" s="39" t="str">
        <x:v>KOSIS_MCP_GET_DATA</x:v>
      </x:c>
      <x:c r="AH204" s="39" t="str">
        <x:v>https://kosis.kr/statHtml/statHtml.do?orgId=360&amp;tblId=DT_1R11006_FRM101&amp;vw_cd=MT_ZTITLE&amp;list_id=&amp;seqNo=&amp;lang_mode=ko&amp;language=kor&amp;obj_var_id=&amp;itm_id=&amp;conn_path=MT_ZTITLE</x:v>
      </x:c>
      <x:c r="AI204" s="38" t="str">
        <x:v>161-200</x:v>
      </x:c>
      <x:c r="AJ204" s="38" t="n">
        <x:v>46240.02448684028</x:v>
      </x:c>
    </x:row>
    <x:row r="205">
      <x:c r="A205" s="38" t="str">
        <x:v>MCPG-204</x:v>
      </x:c>
      <x:c r="B205" s="38" t="str">
        <x:v>C01699</x:v>
      </x:c>
      <x:c r="C205" s="102" t="str">
        <x:v>A0231</x:v>
      </x:c>
      <x:c r="D205" s="39" t="str">
        <x:v>필리핀, FA-50 전투기 또 산다… 상반기 중 1조원 규모 계약</x:v>
      </x:c>
      <x:c r="E205" s="39" t="str">
        <x:v>2025-01-18</x:v>
      </x:c>
      <x:c r="F205" s="39" t="str">
        <x:v>https://www.chosun.com/economy/industry-company/2025/01/18/ITINLKV6I5DLJH3TMJZYP5UCJQ</x:v>
      </x:c>
      <x:c r="G205" s="39" t="str">
        <x:v>지난 2022년 폴란드에 48대, 2023년 말레이시아에 18대를 수출하는 등 누적 수출액만 78억달러(약 11조3700억원)에 달한다.</x:v>
      </x:c>
      <x:c r="H205" s="38" t="str">
        <x:v>LEVEL</x:v>
      </x:c>
      <x:c r="I205" s="40" t="str">
        <x:v>78.0</x:v>
      </x:c>
      <x:c r="J205" s="38" t="str">
        <x:v>['년', '년', '억원']</x:v>
      </x:c>
      <x:c r="K205" s="38" t="str">
        <x:v>REFUTES</x:v>
      </x:c>
      <x:c r="L205" s="38" t="str">
        <x:v>FULL_KOSIS_MCP</x:v>
      </x:c>
      <x:c r="M205" s="38" t="str">
        <x:v>Y</x:v>
      </x:c>
      <x:c r="N205" s="38" t="str">
        <x:v>Y</x:v>
      </x:c>
      <x:c r="O205" s="38" t="str">
        <x:v>N</x:v>
      </x:c>
      <x:c r="P205" s="38" t="str">
        <x:v>360</x:v>
      </x:c>
      <x:c r="Q205" s="38" t="str">
        <x:v>DT_1R11001_FRM101</x:v>
      </x:c>
      <x:c r="R205" s="38" t="str">
        <x:v>품목별 수출액 수입액</x:v>
      </x:c>
      <x:c r="S205" s="38" t="str">
        <x:v>13102112831A.A</x:v>
      </x:c>
      <x:c r="T205" s="38" t="str">
        <x:v>N/A</x:v>
      </x:c>
      <x:c r="U205" s="38" t="str">
        <x:v>13103112831T1</x:v>
      </x:c>
      <x:c r="V205" s="38" t="str">
        <x:v>수출액</x:v>
      </x:c>
      <x:c r="W205" s="38" t="str">
        <x:v>총액</x:v>
      </x:c>
      <x:c r="X205" s="38" t="str">
        <x:v>Y</x:v>
      </x:c>
      <x:c r="Y205" s="38" t="str">
        <x:v>2023</x:v>
      </x:c>
      <x:c r="Z205" s="38" t="str">
        <x:v>N/A</x:v>
      </x:c>
      <x:c r="AA205" s="41" t="str">
        <x:v>632225824.0</x:v>
      </x:c>
      <x:c r="AB205" s="41" t="str">
        <x:v>N/A</x:v>
      </x:c>
      <x:c r="AC205" s="41" t="str">
        <x:v>천달러</x:v>
      </x:c>
      <x:c r="AD205" s="41" t="str">
        <x:v>6322.25824</x:v>
      </x:c>
      <x:c r="AE205" s="39" t="str">
        <x:v>MCP current value × source unit scale (1e-05)</x:v>
      </x:c>
      <x:c r="AF205" s="39" t="str">
        <x:v>MCP_ACTUAL_VALUE_CONFIRMED</x:v>
      </x:c>
      <x:c r="AG205" s="39" t="str">
        <x:v>KOSIS_MCP_GET_DATA</x:v>
      </x:c>
      <x:c r="AH205" s="39" t="str">
        <x:v>https://kosis.kr/statHtml/statHtml.do?orgId=360&amp;tblId=DT_1R11001_FRM101&amp;vw_cd=MT_ZTITLE&amp;list_id=&amp;seqNo=&amp;lang_mode=ko&amp;language=kor&amp;obj_var_id=&amp;itm_id=&amp;conn_path=MT_ZTITLE</x:v>
      </x:c>
      <x:c r="AI205" s="38" t="str">
        <x:v>161-200</x:v>
      </x:c>
      <x:c r="AJ205" s="38" t="n">
        <x:v>46240.02448684028</x:v>
      </x:c>
    </x:row>
    <x:row r="206">
      <x:c r="A206" s="38" t="str">
        <x:v>MCPG-205</x:v>
      </x:c>
      <x:c r="B206" s="38" t="str">
        <x:v>C01851</x:v>
      </x:c>
      <x:c r="C206" s="102" t="str">
        <x:v>A0253</x:v>
      </x:c>
      <x:c r="D206" s="39" t="str">
        <x:v>崔 대행 “핵심 일자리 사업 예산 상반기 중 70% 이상 집행할 것”</x:v>
      </x:c>
      <x:c r="E206" s="39" t="str">
        <x:v>2025-01-20</x:v>
      </x:c>
      <x:c r="F206" s="39" t="str">
        <x:v>https://www.chosun.com/economy/economy_general/2025/01/20/EGM2O7ATF5DJPLD6HCFX5KCC7M</x:v>
      </x:c>
      <x:c r="G206" s="39" t="str">
        <x:v>이날 최 대행은 최근 정치 혼란과 미국 트럼프 2기 집권 등으로 경제 심리가 위축되고, 내수가 부진하다며 “작년 12월 취업자 수가 전년 동월 대비 5만2000명 감소하는 등 고용시장에 미치는 영향도 가시화되고 있다”고 말했다.</x:v>
      </x:c>
      <x:c r="H206" s="38" t="str">
        <x:v>CHANGE_RATE</x:v>
      </x:c>
      <x:c r="I206" s="40" t="str">
        <x:v>2000.0</x:v>
      </x:c>
      <x:c r="J206" s="38" t="str">
        <x:v>['월', '명']</x:v>
      </x:c>
      <x:c r="K206" s="38" t="str">
        <x:v>REFUTES</x:v>
      </x:c>
      <x:c r="L206" s="38" t="str">
        <x:v>FULL_KOSIS_MCP</x:v>
      </x:c>
      <x:c r="M206" s="38" t="str">
        <x:v>Y</x:v>
      </x:c>
      <x:c r="N206" s="38" t="str">
        <x:v>Y</x:v>
      </x:c>
      <x:c r="O206" s="38" t="str">
        <x:v>N</x:v>
      </x:c>
      <x:c r="P206" s="38" t="str">
        <x:v>101</x:v>
      </x:c>
      <x:c r="Q206" s="38" t="str">
        <x:v>DT_1DA7001S</x:v>
      </x:c>
      <x:c r="R206" s="38" t="str">
        <x:v>성별 경제활동인구 총괄</x:v>
      </x:c>
      <x:c r="S206" s="38" t="str">
        <x:v>0</x:v>
      </x:c>
      <x:c r="T206" s="38" t="str">
        <x:v>N/A</x:v>
      </x:c>
      <x:c r="U206" s="38" t="str">
        <x:v>T30</x:v>
      </x:c>
      <x:c r="V206" s="38" t="str">
        <x:v>취업자</x:v>
      </x:c>
      <x:c r="W206" s="38" t="str">
        <x:v>계</x:v>
      </x:c>
      <x:c r="X206" s="38" t="str">
        <x:v>M</x:v>
      </x:c>
      <x:c r="Y206" s="38" t="str">
        <x:v>202412</x:v>
      </x:c>
      <x:c r="Z206" s="38" t="str">
        <x:v>202312</x:v>
      </x:c>
      <x:c r="AA206" s="41" t="str">
        <x:v>28041.1</x:v>
      </x:c>
      <x:c r="AB206" s="41" t="str">
        <x:v>28092.9</x:v>
      </x:c>
      <x:c r="AC206" s="41" t="str">
        <x:v>천명</x:v>
      </x:c>
      <x:c r="AD206" s="41" t="str">
        <x:v>-0.18438822620663195</x:v>
      </x:c>
      <x:c r="AE206" s="39" t="str">
        <x:v>(MCP current − MCP previous) / |MCP previous| × 100</x:v>
      </x:c>
      <x:c r="AF206" s="39" t="str">
        <x:v>MCP_ACTUAL_VALUE_CONFIRMED</x:v>
      </x:c>
      <x:c r="AG206" s="39" t="str">
        <x:v>KOSIS_MCP_GET_DATA</x:v>
      </x:c>
      <x:c r="AH206" s="39" t="str">
        <x:v>https://kosis.kr/statHtml/statHtml.do?orgId=101&amp;tblId=DT_1DA7001S&amp;vw_cd=MT_ZTITLE&amp;list_id=&amp;seqNo=&amp;lang_mode=ko&amp;language=kor&amp;obj_var_id=&amp;itm_id=&amp;conn_path=MT_ZTITLE</x:v>
      </x:c>
      <x:c r="AI206" s="38" t="str">
        <x:v>161-200</x:v>
      </x:c>
      <x:c r="AJ206" s="38" t="n">
        <x:v>46240.02448684028</x:v>
      </x:c>
    </x:row>
    <x:row r="207">
      <x:c r="A207" s="38" t="str">
        <x:v>MCPG-206</x:v>
      </x:c>
      <x:c r="B207" s="38" t="str">
        <x:v>C01873</x:v>
      </x:c>
      <x:c r="C207" s="102" t="str">
        <x:v>A0257</x:v>
      </x:c>
      <x:c r="D207" s="39" t="str">
        <x:v>2000만톤 넘겼다… 美원유 수입 역대 최대</x:v>
      </x:c>
      <x:c r="E207" s="39" t="str">
        <x:v>2025-01-20</x:v>
      </x:c>
      <x:c r="F207" s="39" t="str">
        <x:v>https://www.chosun.com/economy/industry-company/2025/01/20/7ZW4SFHX4JEOREMLIKUISOXJHM</x:v>
      </x:c>
      <x:c r="G207" s="39" t="str">
        <x:v>2016년 수입량은 30만t(19위)에 불과했지만 2019년 1779만t을 기록하며 3위 도입국에 올랐고, 코로나가 시작된 2020년 한 차례를 제외하고는 수입량이 계속 늘면서 지난해 역대 최대치를 경신한 것이다.</x:v>
      </x:c>
      <x:c r="H207" s="38" t="str">
        <x:v>CHANGE_RATE</x:v>
      </x:c>
      <x:c r="I207" s="40" t="str">
        <x:v>30.0</x:v>
      </x:c>
      <x:c r="J207" s="38" t="str">
        <x:v>['년', '년', '년']</x:v>
      </x:c>
      <x:c r="K207" s="38" t="str">
        <x:v>REFUTES</x:v>
      </x:c>
      <x:c r="L207" s="38" t="str">
        <x:v>FULL_KOSIS_MCP</x:v>
      </x:c>
      <x:c r="M207" s="38" t="str">
        <x:v>Y</x:v>
      </x:c>
      <x:c r="N207" s="38" t="str">
        <x:v>Y</x:v>
      </x:c>
      <x:c r="O207" s="38" t="str">
        <x:v>N</x:v>
      </x:c>
      <x:c r="P207" s="38" t="str">
        <x:v>360</x:v>
      </x:c>
      <x:c r="Q207" s="38" t="str">
        <x:v>DT_1R11001_FRM101</x:v>
      </x:c>
      <x:c r="R207" s="38" t="str">
        <x:v>품목별 수출액 수입액</x:v>
      </x:c>
      <x:c r="S207" s="38" t="str">
        <x:v>13102112831A.A</x:v>
      </x:c>
      <x:c r="T207" s="38" t="str">
        <x:v>N/A</x:v>
      </x:c>
      <x:c r="U207" s="38" t="str">
        <x:v>13103112831T2</x:v>
      </x:c>
      <x:c r="V207" s="38" t="str">
        <x:v>수입액</x:v>
      </x:c>
      <x:c r="W207" s="38" t="str">
        <x:v>총액</x:v>
      </x:c>
      <x:c r="X207" s="38" t="str">
        <x:v>Y</x:v>
      </x:c>
      <x:c r="Y207" s="38" t="str">
        <x:v>2024</x:v>
      </x:c>
      <x:c r="Z207" s="38" t="str">
        <x:v>2023</x:v>
      </x:c>
      <x:c r="AA207" s="41" t="str">
        <x:v>631767209.0</x:v>
      </x:c>
      <x:c r="AB207" s="41" t="str">
        <x:v>642572126.0</x:v>
      </x:c>
      <x:c r="AC207" s="41" t="str">
        <x:v>천달러</x:v>
      </x:c>
      <x:c r="AD207" s="41" t="str">
        <x:v>-1.6815103803615659</x:v>
      </x:c>
      <x:c r="AE207" s="39" t="str">
        <x:v>(MCP current − MCP previous) / |MCP previous| × 100</x:v>
      </x:c>
      <x:c r="AF207" s="39" t="str">
        <x:v>MCP_ACTUAL_VALUE_CONFIRMED</x:v>
      </x:c>
      <x:c r="AG207" s="39" t="str">
        <x:v>KOSIS_MCP_GET_DATA</x:v>
      </x:c>
      <x:c r="AH207" s="39" t="str">
        <x:v>https://kosis.kr/statHtml/statHtml.do?orgId=360&amp;tblId=DT_1R11001_FRM101&amp;vw_cd=MT_ZTITLE&amp;list_id=&amp;seqNo=&amp;lang_mode=ko&amp;language=kor&amp;obj_var_id=&amp;itm_id=&amp;conn_path=MT_ZTITLE</x:v>
      </x:c>
      <x:c r="AI207" s="38" t="str">
        <x:v>161-200</x:v>
      </x:c>
      <x:c r="AJ207" s="38" t="n">
        <x:v>46240.02448684028</x:v>
      </x:c>
    </x:row>
    <x:row r="208">
      <x:c r="A208" s="38" t="str">
        <x:v>MCPG-207</x:v>
      </x:c>
      <x:c r="B208" s="38" t="str">
        <x:v>C02318</x:v>
      </x:c>
      <x:c r="C208" s="102" t="str">
        <x:v>A0312</x:v>
      </x:c>
      <x:c r="D208" s="39" t="str">
        <x:v>“對美 수출 50%가 美 제조업 부흥·MAGA 위한 것”</x:v>
      </x:c>
      <x:c r="E208" s="39" t="str">
        <x:v>2025-01-24</x:v>
      </x:c>
      <x:c r="F208" s="39" t="str">
        <x:v>https://www.chosun.com/economy/industry-company/2025/01/24/B2VTXBPKAJCRBN2E3LVAVYALP4</x:v>
      </x:c>
      <x:c r="G208" s="39" t="str">
        <x:v>하지만 23일 한국무역협회의 ‘대미 가공단계별 수출’ 분석 자료에 따르면, 지난해 대미 수출액 1277억8600만달러 가운데 절반이 넘는 653억9900만달러(51.2%)가 중간재인 것으로 나타났다.</x:v>
      </x:c>
      <x:c r="H208" s="38" t="str">
        <x:v>LEVEL</x:v>
      </x:c>
      <x:c r="I208" s="40" t="str">
        <x:v>9900.0</x:v>
      </x:c>
      <x:c r="J208" s="38" t="str">
        <x:v>['일', '%']</x:v>
      </x:c>
      <x:c r="K208" s="38" t="str">
        <x:v>REFUTES</x:v>
      </x:c>
      <x:c r="L208" s="38" t="str">
        <x:v>FULL_KOSIS_MCP</x:v>
      </x:c>
      <x:c r="M208" s="38" t="str">
        <x:v>Y</x:v>
      </x:c>
      <x:c r="N208" s="38" t="str">
        <x:v>Y</x:v>
      </x:c>
      <x:c r="O208" s="38" t="str">
        <x:v>N</x:v>
      </x:c>
      <x:c r="P208" s="38" t="str">
        <x:v>360</x:v>
      </x:c>
      <x:c r="Q208" s="38" t="str">
        <x:v>DT_1R11006_FRM101</x:v>
      </x:c>
      <x:c r="R208" s="38" t="str">
        <x:v>국가별 수출액 수입액</x:v>
      </x:c>
      <x:c r="S208" s="38" t="str">
        <x:v>13102103829E.00</x:v>
      </x:c>
      <x:c r="T208" s="38" t="str">
        <x:v>N/A</x:v>
      </x:c>
      <x:c r="U208" s="38" t="str">
        <x:v>13103103829T1</x:v>
      </x:c>
      <x:c r="V208" s="38" t="str">
        <x:v>수출액</x:v>
      </x:c>
      <x:c r="W208" s="38" t="str">
        <x:v>계</x:v>
      </x:c>
      <x:c r="X208" s="38" t="str">
        <x:v>Y</x:v>
      </x:c>
      <x:c r="Y208" s="38" t="str">
        <x:v>2024</x:v>
      </x:c>
      <x:c r="Z208" s="38" t="str">
        <x:v>N/A</x:v>
      </x:c>
      <x:c r="AA208" s="41" t="str">
        <x:v>683609488.0</x:v>
      </x:c>
      <x:c r="AB208" s="41" t="str">
        <x:v>N/A</x:v>
      </x:c>
      <x:c r="AC208" s="41" t="str">
        <x:v>천달러</x:v>
      </x:c>
      <x:c r="AD208" s="41" t="str">
        <x:v>68360948.8</x:v>
      </x:c>
      <x:c r="AE208" s="39" t="str">
        <x:v>MCP current value × source unit scale (0.1)</x:v>
      </x:c>
      <x:c r="AF208" s="39" t="str">
        <x:v>MCP_ACTUAL_VALUE_CONFIRMED</x:v>
      </x:c>
      <x:c r="AG208" s="39" t="str">
        <x:v>KOSIS_MCP_GET_DATA</x:v>
      </x:c>
      <x:c r="AH208" s="39" t="str">
        <x:v>https://kosis.kr/statHtml/statHtml.do?orgId=360&amp;tblId=DT_1R11006_FRM101&amp;vw_cd=MT_ZTITLE&amp;list_id=&amp;seqNo=&amp;lang_mode=ko&amp;language=kor&amp;obj_var_id=&amp;itm_id=&amp;conn_path=MT_ZTITLE</x:v>
      </x:c>
      <x:c r="AI208" s="38" t="str">
        <x:v>161-200</x:v>
      </x:c>
      <x:c r="AJ208" s="38" t="n">
        <x:v>46240.02448684028</x:v>
      </x:c>
    </x:row>
    <x:row r="209">
      <x:c r="A209" s="38" t="str">
        <x:v>MCPG-208</x:v>
      </x:c>
      <x:c r="B209" s="38" t="str">
        <x:v>C02324</x:v>
      </x:c>
      <x:c r="C209" s="102" t="str">
        <x:v>A0312</x:v>
      </x:c>
      <x:c r="D209" s="39" t="str">
        <x:v>“對美 수출 50%가 美 제조업 부흥·MAGA 위한 것”</x:v>
      </x:c>
      <x:c r="E209" s="39" t="str">
        <x:v>2025-01-24</x:v>
      </x:c>
      <x:c r="F209" s="39" t="str">
        <x:v>https://www.chosun.com/economy/industry-company/2025/01/24/B2VTXBPKAJCRBN2E3LVAVYALP4</x:v>
      </x:c>
      <x:c r="G209" s="39" t="str">
        <x:v>한국무역협회 분석에 따르면, 한국의 대미 수출 가운데 관계사 간 거래 비율은 2015년 이후 꾸준히 60% 안팎을 기록하고 있고 지난해에도 58%를 차지했다.</x:v>
      </x:c>
      <x:c r="H209" s="38" t="str">
        <x:v>LEVEL</x:v>
      </x:c>
      <x:c r="I209" s="40" t="str">
        <x:v>58.0</x:v>
      </x:c>
      <x:c r="J209" s="38" t="str">
        <x:v>['년', '%', '%']</x:v>
      </x:c>
      <x:c r="K209" s="38" t="str">
        <x:v>REFUTES</x:v>
      </x:c>
      <x:c r="L209" s="38" t="str">
        <x:v>FULL_KOSIS_MCP</x:v>
      </x:c>
      <x:c r="M209" s="38" t="str">
        <x:v>Y</x:v>
      </x:c>
      <x:c r="N209" s="38" t="str">
        <x:v>Y</x:v>
      </x:c>
      <x:c r="O209" s="38" t="str">
        <x:v>N</x:v>
      </x:c>
      <x:c r="P209" s="38" t="str">
        <x:v>360</x:v>
      </x:c>
      <x:c r="Q209" s="38" t="str">
        <x:v>DT_1R11006_FRM101</x:v>
      </x:c>
      <x:c r="R209" s="38" t="str">
        <x:v>국가별 수출액 수입액</x:v>
      </x:c>
      <x:c r="S209" s="38" t="str">
        <x:v>13102103829E.00</x:v>
      </x:c>
      <x:c r="T209" s="38" t="str">
        <x:v>N/A</x:v>
      </x:c>
      <x:c r="U209" s="38" t="str">
        <x:v>13103103829T1</x:v>
      </x:c>
      <x:c r="V209" s="38" t="str">
        <x:v>수출액</x:v>
      </x:c>
      <x:c r="W209" s="38" t="str">
        <x:v>계</x:v>
      </x:c>
      <x:c r="X209" s="38" t="str">
        <x:v>Y</x:v>
      </x:c>
      <x:c r="Y209" s="38" t="str">
        <x:v>2024</x:v>
      </x:c>
      <x:c r="Z209" s="38" t="str">
        <x:v>N/A</x:v>
      </x:c>
      <x:c r="AA209" s="41" t="str">
        <x:v>683609488.0</x:v>
      </x:c>
      <x:c r="AB209" s="41" t="str">
        <x:v>N/A</x:v>
      </x:c>
      <x:c r="AC209" s="41" t="str">
        <x:v>천달러</x:v>
      </x:c>
      <x:c r="AD209" s="41" t="str">
        <x:v>683609488.0</x:v>
      </x:c>
      <x:c r="AE209" s="39" t="str">
        <x:v>MCP current value × source unit scale (1)</x:v>
      </x:c>
      <x:c r="AF209" s="39" t="str">
        <x:v>MCP_ACTUAL_VALUE_CONFIRMED</x:v>
      </x:c>
      <x:c r="AG209" s="39" t="str">
        <x:v>KOSIS_MCP_GET_DATA</x:v>
      </x:c>
      <x:c r="AH209" s="39" t="str">
        <x:v>https://kosis.kr/statHtml/statHtml.do?orgId=360&amp;tblId=DT_1R11006_FRM101&amp;vw_cd=MT_ZTITLE&amp;list_id=&amp;seqNo=&amp;lang_mode=ko&amp;language=kor&amp;obj_var_id=&amp;itm_id=&amp;conn_path=MT_ZTITLE</x:v>
      </x:c>
      <x:c r="AI209" s="38" t="str">
        <x:v>161-200</x:v>
      </x:c>
      <x:c r="AJ209" s="38" t="n">
        <x:v>46240.02448684028</x:v>
      </x:c>
    </x:row>
    <x:row r="210">
      <x:c r="A210" s="38" t="str">
        <x:v>MCPG-209</x:v>
      </x:c>
      <x:c r="B210" s="38" t="str">
        <x:v>C02338</x:v>
      </x:c>
      <x:c r="C210" s="102" t="str">
        <x:v>A0314</x:v>
      </x:c>
      <x:c r="D210" s="39" t="str">
        <x:v>日, 기준금리 0.5%로 인상… 16년 3개월 만에 최고</x:v>
      </x:c>
      <x:c r="E210" s="39" t="str">
        <x:v>2025-01-25</x:v>
      </x:c>
      <x:c r="F210" s="39" t="str">
        <x:v>https://www.chosun.com/economy/economy_general/2025/01/25/6UTAX7KE45F5NMJZXPIPDTVNVQ</x:v>
      </x:c>
      <x:c r="G210" s="39" t="str">
        <x:v>이날 발표된 지난해 일본 소비자물가지수(신선식품 제외)는 전년 대비 2.5% 올라, 3년 연속 2% 이상 상승세를 이어갔다.</x:v>
      </x:c>
      <x:c r="H210" s="38" t="str">
        <x:v>CHANGE_RATE</x:v>
      </x:c>
      <x:c r="I210" s="40" t="str">
        <x:v>2.0</x:v>
      </x:c>
      <x:c r="J210" s="38" t="str">
        <x:v>['%', '년', '%']</x:v>
      </x:c>
      <x:c r="K210" s="38" t="str">
        <x:v>REFUTES</x:v>
      </x:c>
      <x:c r="L210" s="38" t="str">
        <x:v>FULL_KOSIS_MCP</x:v>
      </x:c>
      <x:c r="M210" s="38" t="str">
        <x:v>Y</x:v>
      </x:c>
      <x:c r="N210" s="38" t="str">
        <x:v>Y</x:v>
      </x:c>
      <x:c r="O210" s="38" t="str">
        <x:v>N</x:v>
      </x:c>
      <x:c r="P210" s="38" t="str">
        <x:v>101</x:v>
      </x:c>
      <x:c r="Q210" s="38" t="str">
        <x:v>DT_1J22003</x:v>
      </x:c>
      <x:c r="R210" s="38" t="str">
        <x:v>소비자물가지수(2020＝100)</x:v>
      </x:c>
      <x:c r="S210" s="38" t="str">
        <x:v>T10</x:v>
      </x:c>
      <x:c r="T210" s="38" t="str">
        <x:v>N/A</x:v>
      </x:c>
      <x:c r="U210" s="38" t="str">
        <x:v>T</x:v>
      </x:c>
      <x:c r="V210" s="38" t="str">
        <x:v>소비자물가지수(총지수)</x:v>
      </x:c>
      <x:c r="W210" s="38" t="str">
        <x:v>전국</x:v>
      </x:c>
      <x:c r="X210" s="38" t="str">
        <x:v>Y</x:v>
      </x:c>
      <x:c r="Y210" s="38" t="str">
        <x:v>2024</x:v>
      </x:c>
      <x:c r="Z210" s="38" t="str">
        <x:v>2023</x:v>
      </x:c>
      <x:c r="AA210" s="41" t="str">
        <x:v>114.18</x:v>
      </x:c>
      <x:c r="AB210" s="41" t="str">
        <x:v>111.59</x:v>
      </x:c>
      <x:c r="AC210" s="41" t="str">
        <x:v>2020＝100</x:v>
      </x:c>
      <x:c r="AD210" s="41" t="str">
        <x:v>2.3209965050631807</x:v>
      </x:c>
      <x:c r="AE210" s="39" t="str">
        <x:v>(MCP current − MCP previous) / |MCP previous| × 100</x:v>
      </x:c>
      <x:c r="AF210" s="39" t="str">
        <x:v>MCP_ACTUAL_VALUE_CONFIRMED</x:v>
      </x:c>
      <x:c r="AG210" s="39" t="str">
        <x:v>KOSIS_MCP_GET_DATA</x:v>
      </x:c>
      <x:c r="AH210" s="39" t="str">
        <x:v>https://kosis.kr/statHtml/statHtml.do?orgId=101&amp;tblId=DT_1J22003&amp;vw_cd=MT_ZTITLE&amp;list_id=&amp;seqNo=&amp;lang_mode=ko&amp;language=kor&amp;obj_var_id=&amp;itm_id=&amp;conn_path=MT_ZTITLE</x:v>
      </x:c>
      <x:c r="AI210" s="38" t="str">
        <x:v>161-200</x:v>
      </x:c>
      <x:c r="AJ210" s="38" t="n">
        <x:v>46240.02448684028</x:v>
      </x:c>
    </x:row>
    <x:row r="211">
      <x:c r="A211" s="38" t="str">
        <x:v>MCPG-210</x:v>
      </x:c>
      <x:c r="B211" s="38" t="str">
        <x:v>C02341</x:v>
      </x:c>
      <x:c r="C211" s="102" t="str">
        <x:v>A0314</x:v>
      </x:c>
      <x:c r="D211" s="39" t="str">
        <x:v>日, 기준금리 0.5%로 인상… 16년 3개월 만에 최고</x:v>
      </x:c>
      <x:c r="E211" s="39" t="str">
        <x:v>2025-01-25</x:v>
      </x:c>
      <x:c r="F211" s="39" t="str">
        <x:v>https://www.chosun.com/economy/economy_general/2025/01/25/6UTAX7KE45F5NMJZXPIPDTVNVQ</x:v>
      </x:c>
      <x:c r="G211" s="39" t="str">
        <x:v>우에다 가즈오 일본은행 총재는 “트럼프 미국 대통령 취임 이후에도 글로벌 금융시장이 안정을 보이고 있고, 올해 임금 인상 협상도 작년에 이어 긍정적”이라며 “물가 목표치(2%)를 고려할 때 금리 인상이 필요하다”고 말했다.</x:v>
      </x:c>
      <x:c r="H211" s="38" t="str">
        <x:v>LEVEL</x:v>
      </x:c>
      <x:c r="I211" s="40" t="str">
        <x:v>2.0</x:v>
      </x:c>
      <x:c r="J211" s="38" t="str">
        <x:v>['%']</x:v>
      </x:c>
      <x:c r="K211" s="38" t="str">
        <x:v>REFUTES</x:v>
      </x:c>
      <x:c r="L211" s="38" t="str">
        <x:v>FULL_KOSIS_MCP</x:v>
      </x:c>
      <x:c r="M211" s="38" t="str">
        <x:v>Y</x:v>
      </x:c>
      <x:c r="N211" s="38" t="str">
        <x:v>Y</x:v>
      </x:c>
      <x:c r="O211" s="38" t="str">
        <x:v>N</x:v>
      </x:c>
      <x:c r="P211" s="38" t="str">
        <x:v>101</x:v>
      </x:c>
      <x:c r="Q211" s="38" t="str">
        <x:v>DT_1J22003</x:v>
      </x:c>
      <x:c r="R211" s="38" t="str">
        <x:v>소비자물가지수(2020＝100)</x:v>
      </x:c>
      <x:c r="S211" s="38" t="str">
        <x:v>T10</x:v>
      </x:c>
      <x:c r="T211" s="38" t="str">
        <x:v>N/A</x:v>
      </x:c>
      <x:c r="U211" s="38" t="str">
        <x:v>T</x:v>
      </x:c>
      <x:c r="V211" s="38" t="str">
        <x:v>소비자물가지수(총지수)</x:v>
      </x:c>
      <x:c r="W211" s="38" t="str">
        <x:v>전국</x:v>
      </x:c>
      <x:c r="X211" s="38" t="str">
        <x:v>Y</x:v>
      </x:c>
      <x:c r="Y211" s="38" t="str">
        <x:v>2024</x:v>
      </x:c>
      <x:c r="Z211" s="38" t="str">
        <x:v>N/A</x:v>
      </x:c>
      <x:c r="AA211" s="41" t="str">
        <x:v>114.18</x:v>
      </x:c>
      <x:c r="AB211" s="41" t="str">
        <x:v>N/A</x:v>
      </x:c>
      <x:c r="AC211" s="41" t="str">
        <x:v>2020＝100</x:v>
      </x:c>
      <x:c r="AD211" s="41" t="str">
        <x:v>114.18</x:v>
      </x:c>
      <x:c r="AE211" s="39" t="str">
        <x:v>MCP current value × source unit scale (1)</x:v>
      </x:c>
      <x:c r="AF211" s="39" t="str">
        <x:v>MCP_ACTUAL_VALUE_CONFIRMED</x:v>
      </x:c>
      <x:c r="AG211" s="39" t="str">
        <x:v>KOSIS_MCP_GET_DATA</x:v>
      </x:c>
      <x:c r="AH211" s="39" t="str">
        <x:v>https://kosis.kr/statHtml/statHtml.do?orgId=101&amp;tblId=DT_1J22003&amp;vw_cd=MT_ZTITLE&amp;list_id=&amp;seqNo=&amp;lang_mode=ko&amp;language=kor&amp;obj_var_id=&amp;itm_id=&amp;conn_path=MT_ZTITLE</x:v>
      </x:c>
      <x:c r="AI211" s="38" t="str">
        <x:v>161-200</x:v>
      </x:c>
      <x:c r="AJ211" s="38" t="n">
        <x:v>46240.02448684028</x:v>
      </x:c>
    </x:row>
    <x:row r="212">
      <x:c r="A212" s="38" t="str">
        <x:v>MCPG-211</x:v>
      </x:c>
      <x:c r="B212" s="38" t="str">
        <x:v>C02695</x:v>
      </x:c>
      <x:c r="C212" s="102" t="str">
        <x:v>A0353</x:v>
      </x:c>
      <x:c r="D212" s="39" t="str">
        <x:v>연두색 번호판 창피해서 못 탄다?…1억 이상 수입차 판매량, 결국</x:v>
      </x:c>
      <x:c r="E212" s="39" t="str">
        <x:v>2025-01-28</x:v>
      </x:c>
      <x:c r="F212" s="39" t="str">
        <x:v>https://www.chosun.com/economy/economy_general/2025/01/28/FXUVCK5BXRBB5N6XQBFXYFPDYE</x:v>
      </x:c>
      <x:c r="G212" s="39" t="str">
        <x:v>1억원 이상 고가 수입차 판매량은 해마다 늘어왔는데, 전년 대비 마이너스로 돌아선 것은 2016년 이후 8년 만이다.</x:v>
      </x:c>
      <x:c r="H212" s="38" t="str">
        <x:v>LEVEL</x:v>
      </x:c>
      <x:c r="I212" s="40" t="str">
        <x:v>1.0</x:v>
      </x:c>
      <x:c r="J212" s="38" t="str">
        <x:v>['억원', '년', '년']</x:v>
      </x:c>
      <x:c r="K212" s="38" t="str">
        <x:v>REFUTES</x:v>
      </x:c>
      <x:c r="L212" s="38" t="str">
        <x:v>FULL_KOSIS_MCP</x:v>
      </x:c>
      <x:c r="M212" s="38" t="str">
        <x:v>Y</x:v>
      </x:c>
      <x:c r="N212" s="38" t="str">
        <x:v>Y</x:v>
      </x:c>
      <x:c r="O212" s="38" t="str">
        <x:v>N</x:v>
      </x:c>
      <x:c r="P212" s="38" t="str">
        <x:v>360</x:v>
      </x:c>
      <x:c r="Q212" s="38" t="str">
        <x:v>DT_1R11001_FRM101</x:v>
      </x:c>
      <x:c r="R212" s="38" t="str">
        <x:v>품목별 수출액 수입액</x:v>
      </x:c>
      <x:c r="S212" s="38" t="str">
        <x:v>13102112831A.A</x:v>
      </x:c>
      <x:c r="T212" s="38" t="str">
        <x:v>N/A</x:v>
      </x:c>
      <x:c r="U212" s="38" t="str">
        <x:v>13103112831T2</x:v>
      </x:c>
      <x:c r="V212" s="38" t="str">
        <x:v>수입액</x:v>
      </x:c>
      <x:c r="W212" s="38" t="str">
        <x:v>총액</x:v>
      </x:c>
      <x:c r="X212" s="38" t="str">
        <x:v>Y</x:v>
      </x:c>
      <x:c r="Y212" s="38" t="str">
        <x:v>2024</x:v>
      </x:c>
      <x:c r="Z212" s="38" t="str">
        <x:v>N/A</x:v>
      </x:c>
      <x:c r="AA212" s="41" t="str">
        <x:v>631767209.0</x:v>
      </x:c>
      <x:c r="AB212" s="41" t="str">
        <x:v>N/A</x:v>
      </x:c>
      <x:c r="AC212" s="41" t="str">
        <x:v>천달러</x:v>
      </x:c>
      <x:c r="AD212" s="41" t="str">
        <x:v>631767209.0</x:v>
      </x:c>
      <x:c r="AE212" s="39" t="str">
        <x:v>MCP current value × source unit scale (1)</x:v>
      </x:c>
      <x:c r="AF212" s="39" t="str">
        <x:v>MCP_ACTUAL_VALUE_CONFIRMED</x:v>
      </x:c>
      <x:c r="AG212" s="39" t="str">
        <x:v>KOSIS_MCP_GET_DATA</x:v>
      </x:c>
      <x:c r="AH212" s="39" t="str">
        <x:v>https://kosis.kr/statHtml/statHtml.do?orgId=360&amp;tblId=DT_1R11001_FRM101&amp;vw_cd=MT_ZTITLE&amp;list_id=&amp;seqNo=&amp;lang_mode=ko&amp;language=kor&amp;obj_var_id=&amp;itm_id=&amp;conn_path=MT_ZTITLE</x:v>
      </x:c>
      <x:c r="AI212" s="38" t="str">
        <x:v>161-200</x:v>
      </x:c>
      <x:c r="AJ212" s="38" t="n">
        <x:v>46240.02448684028</x:v>
      </x:c>
    </x:row>
    <x:row r="213">
      <x:c r="A213" s="38" t="str">
        <x:v>MCPG-212</x:v>
      </x:c>
      <x:c r="B213" s="38" t="str">
        <x:v>C02700</x:v>
      </x:c>
      <x:c r="C213" s="102" t="str">
        <x:v>A0353</x:v>
      </x:c>
      <x:c r="D213" s="39" t="str">
        <x:v>연두색 번호판 창피해서 못 탄다?…1억 이상 수입차 판매량, 결국</x:v>
      </x:c>
      <x:c r="E213" s="39" t="str">
        <x:v>2025-01-28</x:v>
      </x:c>
      <x:c r="F213" s="39" t="str">
        <x:v>https://www.chosun.com/economy/economy_general/2025/01/28/FXUVCK5BXRBB5N6XQBFXYFPDYE</x:v>
      </x:c>
      <x:c r="G213" s="39" t="str">
        <x:v>2023년 법인 소유 수입차 신규 등록 건수는 10만7677건으로, 전체에서 39.7%를 차지했다.</x:v>
      </x:c>
      <x:c r="H213" s="38" t="str">
        <x:v>LEVEL</x:v>
      </x:c>
      <x:c r="I213" s="40" t="str">
        <x:v>39.7</x:v>
      </x:c>
      <x:c r="J213" s="38" t="str">
        <x:v>['년', '건', '%']</x:v>
      </x:c>
      <x:c r="K213" s="38" t="str">
        <x:v>REFUTES</x:v>
      </x:c>
      <x:c r="L213" s="38" t="str">
        <x:v>FULL_KOSIS_MCP</x:v>
      </x:c>
      <x:c r="M213" s="38" t="str">
        <x:v>Y</x:v>
      </x:c>
      <x:c r="N213" s="38" t="str">
        <x:v>Y</x:v>
      </x:c>
      <x:c r="O213" s="38" t="str">
        <x:v>N</x:v>
      </x:c>
      <x:c r="P213" s="38" t="str">
        <x:v>360</x:v>
      </x:c>
      <x:c r="Q213" s="38" t="str">
        <x:v>DT_1R11001_FRM101</x:v>
      </x:c>
      <x:c r="R213" s="38" t="str">
        <x:v>품목별 수출액 수입액</x:v>
      </x:c>
      <x:c r="S213" s="38" t="str">
        <x:v>13102112831A.A</x:v>
      </x:c>
      <x:c r="T213" s="38" t="str">
        <x:v>N/A</x:v>
      </x:c>
      <x:c r="U213" s="38" t="str">
        <x:v>13103112831T2</x:v>
      </x:c>
      <x:c r="V213" s="38" t="str">
        <x:v>수입액</x:v>
      </x:c>
      <x:c r="W213" s="38" t="str">
        <x:v>총액</x:v>
      </x:c>
      <x:c r="X213" s="38" t="str">
        <x:v>Y</x:v>
      </x:c>
      <x:c r="Y213" s="38" t="str">
        <x:v>2023</x:v>
      </x:c>
      <x:c r="Z213" s="38" t="str">
        <x:v>N/A</x:v>
      </x:c>
      <x:c r="AA213" s="41" t="str">
        <x:v>642572126.0</x:v>
      </x:c>
      <x:c r="AB213" s="41" t="str">
        <x:v>N/A</x:v>
      </x:c>
      <x:c r="AC213" s="41" t="str">
        <x:v>천달러</x:v>
      </x:c>
      <x:c r="AD213" s="41" t="str">
        <x:v>642572126.0</x:v>
      </x:c>
      <x:c r="AE213" s="39" t="str">
        <x:v>MCP current value × source unit scale (1)</x:v>
      </x:c>
      <x:c r="AF213" s="39" t="str">
        <x:v>MCP_ACTUAL_VALUE_CONFIRMED</x:v>
      </x:c>
      <x:c r="AG213" s="39" t="str">
        <x:v>KOSIS_MCP_GET_DATA</x:v>
      </x:c>
      <x:c r="AH213" s="39" t="str">
        <x:v>https://kosis.kr/statHtml/statHtml.do?orgId=360&amp;tblId=DT_1R11001_FRM101&amp;vw_cd=MT_ZTITLE&amp;list_id=&amp;seqNo=&amp;lang_mode=ko&amp;language=kor&amp;obj_var_id=&amp;itm_id=&amp;conn_path=MT_ZTITLE</x:v>
      </x:c>
      <x:c r="AI213" s="38" t="str">
        <x:v>161-200</x:v>
      </x:c>
      <x:c r="AJ213" s="38" t="n">
        <x:v>46240.02448684028</x:v>
      </x:c>
    </x:row>
    <x:row r="214">
      <x:c r="A214" s="38" t="str">
        <x:v>MCPG-213</x:v>
      </x:c>
      <x:c r="B214" s="38" t="str">
        <x:v>C02848</x:v>
      </x:c>
      <x:c r="C214" s="102" t="str">
        <x:v>A0365</x:v>
      </x:c>
      <x:c r="D214" s="39" t="str">
        <x:v>“한국드라마 보니까 먹고 싶어”… 수출 5년새 3배 ‘떡상’한 이 음식</x:v>
      </x:c>
      <x:c r="E214" s="39" t="str">
        <x:v>2025-01-29</x:v>
      </x:c>
      <x:c r="F214" s="39" t="str">
        <x:v>https://www.chosun.com/national/national_general/2025/01/29/V7PSNADMSFCMFP2JBNJO3BG3FA</x:v>
      </x:c>
      <x:c r="G214" s="39" t="str">
        <x:v>떡류 수출액은 2023년 7780만달러로 역대 최대치를 달성한 데 이어, 작년 17.5% 더 늘어나 기록을 경신했다.</x:v>
      </x:c>
      <x:c r="H214" s="38" t="str">
        <x:v>LEVEL</x:v>
      </x:c>
      <x:c r="I214" s="40" t="str">
        <x:v>7780.0</x:v>
      </x:c>
      <x:c r="J214" s="38" t="str">
        <x:v>['년', '%']</x:v>
      </x:c>
      <x:c r="K214" s="38" t="str">
        <x:v>REFUTES</x:v>
      </x:c>
      <x:c r="L214" s="38" t="str">
        <x:v>FULL_KOSIS_MCP</x:v>
      </x:c>
      <x:c r="M214" s="38" t="str">
        <x:v>Y</x:v>
      </x:c>
      <x:c r="N214" s="38" t="str">
        <x:v>Y</x:v>
      </x:c>
      <x:c r="O214" s="38" t="str">
        <x:v>N</x:v>
      </x:c>
      <x:c r="P214" s="38" t="str">
        <x:v>360</x:v>
      </x:c>
      <x:c r="Q214" s="38" t="str">
        <x:v>DT_1R11001_FRM101</x:v>
      </x:c>
      <x:c r="R214" s="38" t="str">
        <x:v>품목별 수출액 수입액</x:v>
      </x:c>
      <x:c r="S214" s="38" t="str">
        <x:v>13102112831A.A</x:v>
      </x:c>
      <x:c r="T214" s="38" t="str">
        <x:v>N/A</x:v>
      </x:c>
      <x:c r="U214" s="38" t="str">
        <x:v>13103112831T1</x:v>
      </x:c>
      <x:c r="V214" s="38" t="str">
        <x:v>수출액</x:v>
      </x:c>
      <x:c r="W214" s="38" t="str">
        <x:v>총액</x:v>
      </x:c>
      <x:c r="X214" s="38" t="str">
        <x:v>Y</x:v>
      </x:c>
      <x:c r="Y214" s="38" t="str">
        <x:v>2024</x:v>
      </x:c>
      <x:c r="Z214" s="38" t="str">
        <x:v>N/A</x:v>
      </x:c>
      <x:c r="AA214" s="41" t="str">
        <x:v>683609488.0</x:v>
      </x:c>
      <x:c r="AB214" s="41" t="str">
        <x:v>N/A</x:v>
      </x:c>
      <x:c r="AC214" s="41" t="str">
        <x:v>천달러</x:v>
      </x:c>
      <x:c r="AD214" s="41" t="str">
        <x:v>68360948.8</x:v>
      </x:c>
      <x:c r="AE214" s="39" t="str">
        <x:v>MCP current value × source unit scale (0.1)</x:v>
      </x:c>
      <x:c r="AF214" s="39" t="str">
        <x:v>MCP_ACTUAL_VALUE_CONFIRMED</x:v>
      </x:c>
      <x:c r="AG214" s="39" t="str">
        <x:v>KOSIS_MCP_GET_DATA</x:v>
      </x:c>
      <x:c r="AH214" s="39" t="str">
        <x:v>https://kosis.kr/statHtml/statHtml.do?orgId=360&amp;tblId=DT_1R11001_FRM101&amp;vw_cd=MT_ZTITLE&amp;list_id=&amp;seqNo=&amp;lang_mode=ko&amp;language=kor&amp;obj_var_id=&amp;itm_id=&amp;conn_path=MT_ZTITLE</x:v>
      </x:c>
      <x:c r="AI214" s="38" t="str">
        <x:v>201-240</x:v>
      </x:c>
      <x:c r="AJ214" s="38" t="n">
        <x:v>46240.02700001157</x:v>
      </x:c>
    </x:row>
    <x:row r="215">
      <x:c r="A215" s="38" t="str">
        <x:v>MCPG-214</x:v>
      </x:c>
      <x:c r="B215" s="38" t="str">
        <x:v>C02935</x:v>
      </x:c>
      <x:c r="C215" s="102" t="str">
        <x:v>A0372</x:v>
      </x:c>
      <x:c r="D215" s="39" t="str">
        <x:v>中 저가 공세 몸살… 급증하는 무역조사</x:v>
      </x:c>
      <x:c r="E215" s="39" t="str">
        <x:v>2025-01-29</x:v>
      </x:c>
      <x:c r="F215" s="39" t="str">
        <x:v>https://www.chosun.com/economy/industry-company/2025/01/29/CM2GRQXEAZCLRCTGVEVFGUDERE</x:v>
      </x:c>
      <x:c r="G215" s="39" t="str">
        <x:v>앞서 EU는 작년 10월 말 1년 간 조사 끝에 ‘중국 당국의 불공정한 보조금을 받은 전기차가 유럽 시장을 교란하고 있다’며 중국산 전기차에 최대 35.3%의 상계관세 부과를 확정하기도 했다.</x:v>
      </x:c>
      <x:c r="H215" s="38" t="str">
        <x:v>LEVEL</x:v>
      </x:c>
      <x:c r="I215" s="40" t="str">
        <x:v>35.3</x:v>
      </x:c>
      <x:c r="J215" s="38" t="str">
        <x:v>['월', '년', '%']</x:v>
      </x:c>
      <x:c r="K215" s="38" t="str">
        <x:v>REFUTES</x:v>
      </x:c>
      <x:c r="L215" s="38" t="str">
        <x:v>FULL_KOSIS_MCP</x:v>
      </x:c>
      <x:c r="M215" s="38" t="str">
        <x:v>Y</x:v>
      </x:c>
      <x:c r="N215" s="38" t="str">
        <x:v>Y</x:v>
      </x:c>
      <x:c r="O215" s="38" t="str">
        <x:v>N</x:v>
      </x:c>
      <x:c r="P215" s="38" t="str">
        <x:v>360</x:v>
      </x:c>
      <x:c r="Q215" s="38" t="str">
        <x:v>DT_1R11006_FRM101</x:v>
      </x:c>
      <x:c r="R215" s="38" t="str">
        <x:v>국가별 수출액 수입액</x:v>
      </x:c>
      <x:c r="S215" s="38" t="str">
        <x:v>13102103829E.CN</x:v>
      </x:c>
      <x:c r="T215" s="38" t="str">
        <x:v>N/A</x:v>
      </x:c>
      <x:c r="U215" s="38" t="str">
        <x:v>13103103829T1</x:v>
      </x:c>
      <x:c r="V215" s="38" t="str">
        <x:v>수출액</x:v>
      </x:c>
      <x:c r="W215" s="38" t="str">
        <x:v>중국</x:v>
      </x:c>
      <x:c r="X215" s="38" t="str">
        <x:v>M</x:v>
      </x:c>
      <x:c r="Y215" s="38" t="str">
        <x:v>202410</x:v>
      </x:c>
      <x:c r="Z215" s="38" t="str">
        <x:v>N/A</x:v>
      </x:c>
      <x:c r="AA215" s="41" t="str">
        <x:v>12172811.0</x:v>
      </x:c>
      <x:c r="AB215" s="41" t="str">
        <x:v>N/A</x:v>
      </x:c>
      <x:c r="AC215" s="41" t="str">
        <x:v>천달러</x:v>
      </x:c>
      <x:c r="AD215" s="41" t="str">
        <x:v>12172811.0</x:v>
      </x:c>
      <x:c r="AE215" s="39" t="str">
        <x:v>MCP current value × source unit scale (1)</x:v>
      </x:c>
      <x:c r="AF215" s="39" t="str">
        <x:v>MCP_ACTUAL_VALUE_CONFIRMED</x:v>
      </x:c>
      <x:c r="AG215" s="39" t="str">
        <x:v>KOSIS_MCP_GET_DATA</x:v>
      </x:c>
      <x:c r="AH215" s="39" t="str">
        <x:v>https://kosis.kr/statHtml/statHtml.do?orgId=360&amp;tblId=DT_1R11006_FRM101&amp;vw_cd=MT_ZTITLE&amp;list_id=&amp;seqNo=&amp;lang_mode=ko&amp;language=kor&amp;obj_var_id=&amp;itm_id=&amp;conn_path=MT_ZTITLE</x:v>
      </x:c>
      <x:c r="AI215" s="38" t="str">
        <x:v>201-240</x:v>
      </x:c>
      <x:c r="AJ215" s="38" t="n">
        <x:v>46240.02700001157</x:v>
      </x:c>
    </x:row>
    <x:row r="216">
      <x:c r="A216" s="38" t="str">
        <x:v>MCPG-215</x:v>
      </x:c>
      <x:c r="B216" s="38" t="str">
        <x:v>C03158</x:v>
      </x:c>
      <x:c r="C216" s="102" t="str">
        <x:v>A0399</x:v>
      </x:c>
      <x:c r="D216" s="39" t="str">
        <x:v>트럼프 ‘금리 인하’ 압박에도… 美연준 만장일치 “동결”</x:v>
      </x:c>
      <x:c r="E216" s="39" t="str">
        <x:v>2025-01-31</x:v>
      </x:c>
      <x:c r="F216" s="39" t="str">
        <x:v>https://www.chosun.com/economy/economy_general/2025/01/31/A7PFEUIACNH7HASFXVOJEW35UM</x:v>
      </x:c>
      <x:c r="G216" s="39" t="str">
        <x:v>지난해 9월 2.4%까지 떨어졌던 미국 소비자물가 상승률은 12월 2.9%까지 기어올랐다.</x:v>
      </x:c>
      <x:c r="H216" s="38" t="str">
        <x:v>CHANGE_RATE</x:v>
      </x:c>
      <x:c r="I216" s="40" t="str">
        <x:v>2.9</x:v>
      </x:c>
      <x:c r="J216" s="38" t="str">
        <x:v>['월', '%', '월', '%']</x:v>
      </x:c>
      <x:c r="K216" s="38" t="str">
        <x:v>REFUTES</x:v>
      </x:c>
      <x:c r="L216" s="38" t="str">
        <x:v>FULL_KOSIS_MCP</x:v>
      </x:c>
      <x:c r="M216" s="38" t="str">
        <x:v>Y</x:v>
      </x:c>
      <x:c r="N216" s="38" t="str">
        <x:v>Y</x:v>
      </x:c>
      <x:c r="O216" s="38" t="str">
        <x:v>N</x:v>
      </x:c>
      <x:c r="P216" s="38" t="str">
        <x:v>101</x:v>
      </x:c>
      <x:c r="Q216" s="38" t="str">
        <x:v>DT_1J22042</x:v>
      </x:c>
      <x:c r="R216" s="38" t="str">
        <x:v>월별 소비자물가 등락률</x:v>
      </x:c>
      <x:c r="S216" s="38" t="str">
        <x:v>0</x:v>
      </x:c>
      <x:c r="T216" s="38" t="str">
        <x:v>N/A</x:v>
      </x:c>
      <x:c r="U216" s="38" t="str">
        <x:v>T03</x:v>
      </x:c>
      <x:c r="V216" s="38" t="str">
        <x:v>전년동월비(%)</x:v>
      </x:c>
      <x:c r="W216" s="38" t="str">
        <x:v>총지수</x:v>
      </x:c>
      <x:c r="X216" s="38" t="str">
        <x:v>M</x:v>
      </x:c>
      <x:c r="Y216" s="38" t="str">
        <x:v>202412</x:v>
      </x:c>
      <x:c r="Z216" s="38" t="str">
        <x:v>202411</x:v>
      </x:c>
      <x:c r="AA216" s="41" t="str">
        <x:v>1.9</x:v>
      </x:c>
      <x:c r="AB216" s="41" t="str">
        <x:v>1.5</x:v>
      </x:c>
      <x:c r="AC216" s="41" t="str">
        <x:v>%</x:v>
      </x:c>
      <x:c r="AD216" s="41" t="str">
        <x:v>26.66666666666666</x:v>
      </x:c>
      <x:c r="AE216" s="39" t="str">
        <x:v>(MCP current − MCP previous) / |MCP previous| × 100</x:v>
      </x:c>
      <x:c r="AF216" s="39" t="str">
        <x:v>MCP_ACTUAL_VALUE_CONFIRMED</x:v>
      </x:c>
      <x:c r="AG216" s="39" t="str">
        <x:v>KOSIS_MCP_GET_DATA</x:v>
      </x:c>
      <x:c r="AH216" s="39" t="str">
        <x:v>https://kosis.kr/statHtml/statHtml.do?orgId=101&amp;tblId=DT_1J22042&amp;vw_cd=MT_ZTITLE&amp;list_id=&amp;seqNo=&amp;lang_mode=ko&amp;language=kor&amp;obj_var_id=&amp;itm_id=&amp;conn_path=MT_ZTITLE</x:v>
      </x:c>
      <x:c r="AI216" s="38" t="str">
        <x:v>201-240</x:v>
      </x:c>
      <x:c r="AJ216" s="38" t="n">
        <x:v>46240.02700001157</x:v>
      </x:c>
    </x:row>
    <x:row r="217">
      <x:c r="A217" s="38" t="str">
        <x:v>MCPG-216</x:v>
      </x:c>
      <x:c r="B217" s="38" t="str">
        <x:v>C03197</x:v>
      </x:c>
      <x:c r="C217" s="102" t="str">
        <x:v>A0406</x:v>
      </x:c>
      <x:c r="D217" s="39" t="str">
        <x:v>설연휴 영향에 1월 수출, 16개월만에 마이너스...반도체는 건재</x:v>
      </x:c>
      <x:c r="E217" s="39" t="str">
        <x:v>2025-02-01</x:v>
      </x:c>
      <x:c r="F217" s="39" t="str">
        <x:v>https://www.chosun.com/economy/industry-company/2025/02/01/EJLSTEFHI5DIBDJ2EDKHVA5SYQ</x:v>
      </x:c>
      <x:c r="G217" s="39" t="str">
        <x:v>반면 한국의 또 다른 주력 수출품목인 자동차와 차부품 수출액은 각각 전년 대비 19.6%, 17.2% 하락했다.</x:v>
      </x:c>
      <x:c r="H217" s="38" t="str">
        <x:v>CHANGE_RATE</x:v>
      </x:c>
      <x:c r="I217" s="40" t="str">
        <x:v>17.2</x:v>
      </x:c>
      <x:c r="J217" s="38" t="str">
        <x:v>['%', '%']</x:v>
      </x:c>
      <x:c r="K217" s="38" t="str">
        <x:v>REFUTES</x:v>
      </x:c>
      <x:c r="L217" s="38" t="str">
        <x:v>FULL_KOSIS_MCP</x:v>
      </x:c>
      <x:c r="M217" s="38" t="str">
        <x:v>Y</x:v>
      </x:c>
      <x:c r="N217" s="38" t="str">
        <x:v>Y</x:v>
      </x:c>
      <x:c r="O217" s="38" t="str">
        <x:v>N</x:v>
      </x:c>
      <x:c r="P217" s="38" t="str">
        <x:v>360</x:v>
      </x:c>
      <x:c r="Q217" s="38" t="str">
        <x:v>DT_1R11001_FRM101</x:v>
      </x:c>
      <x:c r="R217" s="38" t="str">
        <x:v>품목별 수출액 수입액</x:v>
      </x:c>
      <x:c r="S217" s="38" t="str">
        <x:v>13102112831A.7763</x:v>
      </x:c>
      <x:c r="T217" s="38" t="str">
        <x:v>N/A</x:v>
      </x:c>
      <x:c r="U217" s="38" t="str">
        <x:v>13103112831T1</x:v>
      </x:c>
      <x:c r="V217" s="38" t="str">
        <x:v>수출액</x:v>
      </x:c>
      <x:c r="W217" s="38" t="str">
        <x:v>다이오드트랜지스터 기타 이와 유사한 반도체 디바이스</x:v>
      </x:c>
      <x:c r="X217" s="38" t="str">
        <x:v>Y</x:v>
      </x:c>
      <x:c r="Y217" s="38" t="str">
        <x:v>2024</x:v>
      </x:c>
      <x:c r="Z217" s="38" t="str">
        <x:v>2023</x:v>
      </x:c>
      <x:c r="AA217" s="41" t="str">
        <x:v>3601287.0</x:v>
      </x:c>
      <x:c r="AB217" s="41" t="str">
        <x:v>3702260.0</x:v>
      </x:c>
      <x:c r="AC217" s="41" t="str">
        <x:v>천달러</x:v>
      </x:c>
      <x:c r="AD217" s="41" t="str">
        <x:v>-2.727334114837964</x:v>
      </x:c>
      <x:c r="AE217" s="39" t="str">
        <x:v>(MCP current − MCP previous) / |MCP previous| × 100</x:v>
      </x:c>
      <x:c r="AF217" s="39" t="str">
        <x:v>MCP_ACTUAL_VALUE_CONFIRMED</x:v>
      </x:c>
      <x:c r="AG217" s="39" t="str">
        <x:v>KOSIS_MCP_GET_DATA</x:v>
      </x:c>
      <x:c r="AH217" s="39" t="str">
        <x:v>https://kosis.kr/statHtml/statHtml.do?orgId=360&amp;tblId=DT_1R11001_FRM101&amp;vw_cd=MT_ZTITLE&amp;list_id=&amp;seqNo=&amp;lang_mode=ko&amp;language=kor&amp;obj_var_id=&amp;itm_id=&amp;conn_path=MT_ZTITLE</x:v>
      </x:c>
      <x:c r="AI217" s="38" t="str">
        <x:v>201-240</x:v>
      </x:c>
      <x:c r="AJ217" s="38" t="n">
        <x:v>46240.02700001157</x:v>
      </x:c>
    </x:row>
    <x:row r="218">
      <x:c r="A218" s="38" t="str">
        <x:v>MCPG-217</x:v>
      </x:c>
      <x:c r="B218" s="38" t="str">
        <x:v>C03424</x:v>
      </x:c>
      <x:c r="C218" s="102" t="str">
        <x:v>A0433</x:v>
      </x:c>
      <x:c r="D218" s="39" t="str">
        <x:v>수입차도 실용성이 대세… SUV가 세단 제쳤다</x:v>
      </x:c>
      <x:c r="E218" s="39" t="str">
        <x:v>2025-02-03</x:v>
      </x:c>
      <x:c r="F218" s="39" t="str">
        <x:v>https://www.chosun.com/economy/auto/2025/02/03/TZM5MDULLRCDHK33ENHJNRDMF4</x:v>
      </x:c>
      <x:c r="G218" s="39" t="str">
        <x:v>작년 경기 부진과 고가 법인 차에 연두색 번호판을 붙이는 정책 시행으로 전체 수입차 판매량은 1년 전보다 3% 안팎 줄었지만, SUV는 오히려 판매량이 늘었다.</x:v>
      </x:c>
      <x:c r="H218" s="38" t="str">
        <x:v>CHANGE_RATE</x:v>
      </x:c>
      <x:c r="I218" s="40" t="str">
        <x:v>3.0</x:v>
      </x:c>
      <x:c r="J218" s="38" t="str">
        <x:v>['년', '%']</x:v>
      </x:c>
      <x:c r="K218" s="38" t="str">
        <x:v>REFUTES</x:v>
      </x:c>
      <x:c r="L218" s="38" t="str">
        <x:v>FULL_KOSIS_MCP</x:v>
      </x:c>
      <x:c r="M218" s="38" t="str">
        <x:v>Y</x:v>
      </x:c>
      <x:c r="N218" s="38" t="str">
        <x:v>Y</x:v>
      </x:c>
      <x:c r="O218" s="38" t="str">
        <x:v>N</x:v>
      </x:c>
      <x:c r="P218" s="38" t="str">
        <x:v>360</x:v>
      </x:c>
      <x:c r="Q218" s="38" t="str">
        <x:v>DT_1R11001_FRM101</x:v>
      </x:c>
      <x:c r="R218" s="38" t="str">
        <x:v>품목별 수출액 수입액</x:v>
      </x:c>
      <x:c r="S218" s="38" t="str">
        <x:v>13102112831A.A</x:v>
      </x:c>
      <x:c r="T218" s="38" t="str">
        <x:v>N/A</x:v>
      </x:c>
      <x:c r="U218" s="38" t="str">
        <x:v>13103112831T2</x:v>
      </x:c>
      <x:c r="V218" s="38" t="str">
        <x:v>수입액</x:v>
      </x:c>
      <x:c r="W218" s="38" t="str">
        <x:v>총액</x:v>
      </x:c>
      <x:c r="X218" s="38" t="str">
        <x:v>Y</x:v>
      </x:c>
      <x:c r="Y218" s="38" t="str">
        <x:v>2024</x:v>
      </x:c>
      <x:c r="Z218" s="38" t="str">
        <x:v>2023</x:v>
      </x:c>
      <x:c r="AA218" s="41" t="str">
        <x:v>631767209.0</x:v>
      </x:c>
      <x:c r="AB218" s="41" t="str">
        <x:v>642572126.0</x:v>
      </x:c>
      <x:c r="AC218" s="41" t="str">
        <x:v>천달러</x:v>
      </x:c>
      <x:c r="AD218" s="41" t="str">
        <x:v>-1.6815103803615659</x:v>
      </x:c>
      <x:c r="AE218" s="39" t="str">
        <x:v>(MCP current − MCP previous) / |MCP previous| × 100</x:v>
      </x:c>
      <x:c r="AF218" s="39" t="str">
        <x:v>MCP_ACTUAL_VALUE_CONFIRMED</x:v>
      </x:c>
      <x:c r="AG218" s="39" t="str">
        <x:v>KOSIS_MCP_GET_DATA</x:v>
      </x:c>
      <x:c r="AH218" s="39" t="str">
        <x:v>https://kosis.kr/statHtml/statHtml.do?orgId=360&amp;tblId=DT_1R11001_FRM101&amp;vw_cd=MT_ZTITLE&amp;list_id=&amp;seqNo=&amp;lang_mode=ko&amp;language=kor&amp;obj_var_id=&amp;itm_id=&amp;conn_path=MT_ZTITLE</x:v>
      </x:c>
      <x:c r="AI218" s="38" t="str">
        <x:v>201-240</x:v>
      </x:c>
      <x:c r="AJ218" s="38" t="n">
        <x:v>46240.02700001157</x:v>
      </x:c>
    </x:row>
    <x:row r="219">
      <x:c r="A219" s="38" t="str">
        <x:v>MCPG-218</x:v>
      </x:c>
      <x:c r="B219" s="38" t="str">
        <x:v>C03493</x:v>
      </x:c>
      <x:c r="C219" s="102" t="str">
        <x:v>A0440</x:v>
      </x:c>
      <x:c r="D219" s="39" t="str">
        <x:v>작년 소매판매 2.2% 줄어... 21년 만에 최대 감소폭</x:v>
      </x:c>
      <x:c r="E219" s="39" t="str">
        <x:v>2025-02-03</x:v>
      </x:c>
      <x:c r="F219" s="39" t="str">
        <x:v>https://www.chosun.com/economy/economy_general/2025/02/03/Y7UQBA7SO5AJTKSOUUK52DYR34</x:v>
      </x:c>
      <x:c r="G219" s="39" t="str">
        <x:v>특히 광공업 생산 중 수출용으로 출하된 규모가 전년 대비 4% 늘어나면서 전반적인 생산 증가세를 견인했다.</x:v>
      </x:c>
      <x:c r="H219" s="38" t="str">
        <x:v>CHANGE_RATE</x:v>
      </x:c>
      <x:c r="I219" s="40" t="str">
        <x:v>4.0</x:v>
      </x:c>
      <x:c r="J219" s="38" t="str">
        <x:v>['%']</x:v>
      </x:c>
      <x:c r="K219" s="38" t="str">
        <x:v>REFUTES</x:v>
      </x:c>
      <x:c r="L219" s="38" t="str">
        <x:v>FULL_KOSIS_MCP</x:v>
      </x:c>
      <x:c r="M219" s="38" t="str">
        <x:v>Y</x:v>
      </x:c>
      <x:c r="N219" s="38" t="str">
        <x:v>Y</x:v>
      </x:c>
      <x:c r="O219" s="38" t="str">
        <x:v>N</x:v>
      </x:c>
      <x:c r="P219" s="38" t="str">
        <x:v>360</x:v>
      </x:c>
      <x:c r="Q219" s="38" t="str">
        <x:v>DT_1R11001_FRM101</x:v>
      </x:c>
      <x:c r="R219" s="38" t="str">
        <x:v>품목별 수출액 수입액</x:v>
      </x:c>
      <x:c r="S219" s="38" t="str">
        <x:v>13102112831A.A</x:v>
      </x:c>
      <x:c r="T219" s="38" t="str">
        <x:v>N/A</x:v>
      </x:c>
      <x:c r="U219" s="38" t="str">
        <x:v>13103112831T1</x:v>
      </x:c>
      <x:c r="V219" s="38" t="str">
        <x:v>수출액</x:v>
      </x:c>
      <x:c r="W219" s="38" t="str">
        <x:v>총액</x:v>
      </x:c>
      <x:c r="X219" s="38" t="str">
        <x:v>Y</x:v>
      </x:c>
      <x:c r="Y219" s="38" t="str">
        <x:v>2024</x:v>
      </x:c>
      <x:c r="Z219" s="38" t="str">
        <x:v>2023</x:v>
      </x:c>
      <x:c r="AA219" s="41" t="str">
        <x:v>683609488.0</x:v>
      </x:c>
      <x:c r="AB219" s="41" t="str">
        <x:v>632225824.0</x:v>
      </x:c>
      <x:c r="AC219" s="41" t="str">
        <x:v>천달러</x:v>
      </x:c>
      <x:c r="AD219" s="41" t="str">
        <x:v>8.127422520469521</x:v>
      </x:c>
      <x:c r="AE219" s="39" t="str">
        <x:v>(MCP current − MCP previous) / |MCP previous| × 100</x:v>
      </x:c>
      <x:c r="AF219" s="39" t="str">
        <x:v>MCP_ACTUAL_VALUE_CONFIRMED</x:v>
      </x:c>
      <x:c r="AG219" s="39" t="str">
        <x:v>KOSIS_MCP_GET_DATA</x:v>
      </x:c>
      <x:c r="AH219" s="39" t="str">
        <x:v>https://kosis.kr/statHtml/statHtml.do?orgId=360&amp;tblId=DT_1R11001_FRM101&amp;vw_cd=MT_ZTITLE&amp;list_id=&amp;seqNo=&amp;lang_mode=ko&amp;language=kor&amp;obj_var_id=&amp;itm_id=&amp;conn_path=MT_ZTITLE</x:v>
      </x:c>
      <x:c r="AI219" s="38" t="str">
        <x:v>201-240</x:v>
      </x:c>
      <x:c r="AJ219" s="38" t="n">
        <x:v>46240.02700001157</x:v>
      </x:c>
    </x:row>
    <x:row r="220">
      <x:c r="A220" s="38" t="str">
        <x:v>MCPG-219</x:v>
      </x:c>
      <x:c r="B220" s="38" t="str">
        <x:v>C03559</x:v>
      </x:c>
      <x:c r="C220" s="102" t="str">
        <x:v>A0448</x:v>
      </x:c>
      <x:c r="D220" s="39" t="str">
        <x:v>끝이 안 보이는 내수 부진… 소매 판매 21년 만에 최대 감소</x:v>
      </x:c>
      <x:c r="E220" s="39" t="str">
        <x:v>2025-02-04</x:v>
      </x:c>
      <x:c r="F220" s="39" t="str">
        <x:v>https://www.chosun.com/economy/economy_general/2025/02/04/54YXZORW2RA5FHIRI552AGTUY4</x:v>
      </x:c>
      <x:c r="G220" s="39" t="str">
        <x:v>다만 반도체를 중심으로 수출 실적이 회복되면서 작년 산업 생산은 1.7% 늘어 전년(1%)에 비해 증가 폭이 커졌다.</x:v>
      </x:c>
      <x:c r="H220" s="38" t="str">
        <x:v>CHANGE_RATE</x:v>
      </x:c>
      <x:c r="I220" s="40" t="str">
        <x:v>1.0</x:v>
      </x:c>
      <x:c r="J220" s="38" t="str">
        <x:v>['%', '%']</x:v>
      </x:c>
      <x:c r="K220" s="38" t="str">
        <x:v>REFUTES</x:v>
      </x:c>
      <x:c r="L220" s="38" t="str">
        <x:v>FULL_KOSIS_MCP</x:v>
      </x:c>
      <x:c r="M220" s="38" t="str">
        <x:v>Y</x:v>
      </x:c>
      <x:c r="N220" s="38" t="str">
        <x:v>Y</x:v>
      </x:c>
      <x:c r="O220" s="38" t="str">
        <x:v>N</x:v>
      </x:c>
      <x:c r="P220" s="38" t="str">
        <x:v>360</x:v>
      </x:c>
      <x:c r="Q220" s="38" t="str">
        <x:v>DT_1R11001_FRM101</x:v>
      </x:c>
      <x:c r="R220" s="38" t="str">
        <x:v>품목별 수출액 수입액</x:v>
      </x:c>
      <x:c r="S220" s="38" t="str">
        <x:v>13102112831A.7763</x:v>
      </x:c>
      <x:c r="T220" s="38" t="str">
        <x:v>N/A</x:v>
      </x:c>
      <x:c r="U220" s="38" t="str">
        <x:v>13103112831T1</x:v>
      </x:c>
      <x:c r="V220" s="38" t="str">
        <x:v>수출액</x:v>
      </x:c>
      <x:c r="W220" s="38" t="str">
        <x:v>다이오드트랜지스터 기타 이와 유사한 반도체 디바이스</x:v>
      </x:c>
      <x:c r="X220" s="38" t="str">
        <x:v>Y</x:v>
      </x:c>
      <x:c r="Y220" s="38" t="str">
        <x:v>2024</x:v>
      </x:c>
      <x:c r="Z220" s="38" t="str">
        <x:v>2023</x:v>
      </x:c>
      <x:c r="AA220" s="41" t="str">
        <x:v>3601287.0</x:v>
      </x:c>
      <x:c r="AB220" s="41" t="str">
        <x:v>3702260.0</x:v>
      </x:c>
      <x:c r="AC220" s="41" t="str">
        <x:v>천달러</x:v>
      </x:c>
      <x:c r="AD220" s="41" t="str">
        <x:v>-2.727334114837964</x:v>
      </x:c>
      <x:c r="AE220" s="39" t="str">
        <x:v>(MCP current − MCP previous) / |MCP previous| × 100</x:v>
      </x:c>
      <x:c r="AF220" s="39" t="str">
        <x:v>MCP_ACTUAL_VALUE_CONFIRMED</x:v>
      </x:c>
      <x:c r="AG220" s="39" t="str">
        <x:v>KOSIS_MCP_GET_DATA</x:v>
      </x:c>
      <x:c r="AH220" s="39" t="str">
        <x:v>https://kosis.kr/statHtml/statHtml.do?orgId=360&amp;tblId=DT_1R11001_FRM101&amp;vw_cd=MT_ZTITLE&amp;list_id=&amp;seqNo=&amp;lang_mode=ko&amp;language=kor&amp;obj_var_id=&amp;itm_id=&amp;conn_path=MT_ZTITLE</x:v>
      </x:c>
      <x:c r="AI220" s="38" t="str">
        <x:v>201-240</x:v>
      </x:c>
      <x:c r="AJ220" s="38" t="n">
        <x:v>46240.02700001157</x:v>
      </x:c>
    </x:row>
    <x:row r="221">
      <x:c r="A221" s="38" t="str">
        <x:v>MCPG-220</x:v>
      </x:c>
      <x:c r="B221" s="38" t="str">
        <x:v>C03664</x:v>
      </x:c>
      <x:c r="C221" s="102" t="str">
        <x:v>A0463</x:v>
      </x:c>
      <x:c r="D221" s="39" t="str">
        <x:v>석유·채소값 뛰니...1월 물가 2.2% 상승, 5개월 만에 2%대 복귀</x:v>
      </x:c>
      <x:c r="E221" s="39" t="str">
        <x:v>2025-02-05</x:v>
      </x:c>
      <x:c r="F221" s="39" t="str">
        <x:v>https://www.chosun.com/economy/economy_general/2025/02/05/V2MN7UBTEZBJPG7WGGILZRXH6Y</x:v>
      </x:c>
      <x:c r="G221" s="39" t="str">
        <x:v>5일 통계청에 따르면, 지난달 소비자물가지수는 115.71(2020년=100)로 전년 동월 대비 2.2% 상승했다.</x:v>
      </x:c>
      <x:c r="H221" s="38" t="str">
        <x:v>CHANGE_RATE</x:v>
      </x:c>
      <x:c r="I221" s="40" t="str">
        <x:v>2.2</x:v>
      </x:c>
      <x:c r="J221" s="38" t="str">
        <x:v>['일', '년', '%']</x:v>
      </x:c>
      <x:c r="K221" s="38" t="str">
        <x:v>REFUTES</x:v>
      </x:c>
      <x:c r="L221" s="38" t="str">
        <x:v>FULL_KOSIS_MCP</x:v>
      </x:c>
      <x:c r="M221" s="38" t="str">
        <x:v>Y</x:v>
      </x:c>
      <x:c r="N221" s="38" t="str">
        <x:v>Y</x:v>
      </x:c>
      <x:c r="O221" s="38" t="str">
        <x:v>N</x:v>
      </x:c>
      <x:c r="P221" s="38" t="str">
        <x:v>101</x:v>
      </x:c>
      <x:c r="Q221" s="38" t="str">
        <x:v>DT_1J22042</x:v>
      </x:c>
      <x:c r="R221" s="38" t="str">
        <x:v>월별 소비자물가 등락률</x:v>
      </x:c>
      <x:c r="S221" s="38" t="str">
        <x:v>0</x:v>
      </x:c>
      <x:c r="T221" s="38" t="str">
        <x:v>N/A</x:v>
      </x:c>
      <x:c r="U221" s="38" t="str">
        <x:v>T03</x:v>
      </x:c>
      <x:c r="V221" s="38" t="str">
        <x:v>전년동월비(%)</x:v>
      </x:c>
      <x:c r="W221" s="38" t="str">
        <x:v>총지수</x:v>
      </x:c>
      <x:c r="X221" s="38" t="str">
        <x:v>M</x:v>
      </x:c>
      <x:c r="Y221" s="38" t="str">
        <x:v>202401</x:v>
      </x:c>
      <x:c r="Z221" s="38" t="str">
        <x:v>202301</x:v>
      </x:c>
      <x:c r="AA221" s="41" t="str">
        <x:v>2.8</x:v>
      </x:c>
      <x:c r="AB221" s="41" t="str">
        <x:v>5.0</x:v>
      </x:c>
      <x:c r="AC221" s="41" t="str">
        <x:v>%</x:v>
      </x:c>
      <x:c r="AD221" s="41" t="str">
        <x:v>-44.00000000000001</x:v>
      </x:c>
      <x:c r="AE221" s="39" t="str">
        <x:v>(MCP current − MCP previous) / |MCP previous| × 100</x:v>
      </x:c>
      <x:c r="AF221" s="39" t="str">
        <x:v>MCP_ACTUAL_VALUE_CONFIRMED</x:v>
      </x:c>
      <x:c r="AG221" s="39" t="str">
        <x:v>KOSIS_MCP_GET_DATA</x:v>
      </x:c>
      <x:c r="AH221" s="39" t="str">
        <x:v>https://kosis.kr/statHtml/statHtml.do?orgId=101&amp;tblId=DT_1J22042&amp;vw_cd=MT_ZTITLE&amp;list_id=&amp;seqNo=&amp;lang_mode=ko&amp;language=kor&amp;obj_var_id=&amp;itm_id=&amp;conn_path=MT_ZTITLE</x:v>
      </x:c>
      <x:c r="AI221" s="38" t="str">
        <x:v>201-240</x:v>
      </x:c>
      <x:c r="AJ221" s="38" t="n">
        <x:v>46240.02700001157</x:v>
      </x:c>
    </x:row>
    <x:row r="222">
      <x:c r="A222" s="38" t="str">
        <x:v>MCPG-221</x:v>
      </x:c>
      <x:c r="B222" s="38" t="str">
        <x:v>C03665</x:v>
      </x:c>
      <x:c r="C222" s="102" t="str">
        <x:v>A0463</x:v>
      </x:c>
      <x:c r="D222" s="39" t="str">
        <x:v>석유·채소값 뛰니...1월 물가 2.2% 상승, 5개월 만에 2%대 복귀</x:v>
      </x:c>
      <x:c r="E222" s="39" t="str">
        <x:v>2025-02-05</x:v>
      </x:c>
      <x:c r="F222" s="39" t="str">
        <x:v>https://www.chosun.com/economy/economy_general/2025/02/05/V2MN7UBTEZBJPG7WGGILZRXH6Y</x:v>
      </x:c>
      <x:c r="G222" s="39" t="str">
        <x:v>소비자 물가상승률은 지난해 9월부터 12월까지 1%대를 유지했지만, 새해 들어 2%대로 올라선 모습이다.</x:v>
      </x:c>
      <x:c r="H222" s="38" t="str">
        <x:v>CHANGE_RATE</x:v>
      </x:c>
      <x:c r="I222" s="40" t="str">
        <x:v>2.0</x:v>
      </x:c>
      <x:c r="J222" s="38" t="str">
        <x:v>['월', '월', '%', '%']</x:v>
      </x:c>
      <x:c r="K222" s="38" t="str">
        <x:v>REFUTES</x:v>
      </x:c>
      <x:c r="L222" s="38" t="str">
        <x:v>FULL_KOSIS_MCP</x:v>
      </x:c>
      <x:c r="M222" s="38" t="str">
        <x:v>Y</x:v>
      </x:c>
      <x:c r="N222" s="38" t="str">
        <x:v>Y</x:v>
      </x:c>
      <x:c r="O222" s="38" t="str">
        <x:v>N</x:v>
      </x:c>
      <x:c r="P222" s="38" t="str">
        <x:v>101</x:v>
      </x:c>
      <x:c r="Q222" s="38" t="str">
        <x:v>DT_1J22042</x:v>
      </x:c>
      <x:c r="R222" s="38" t="str">
        <x:v>월별 소비자물가 등락률</x:v>
      </x:c>
      <x:c r="S222" s="38" t="str">
        <x:v>0</x:v>
      </x:c>
      <x:c r="T222" s="38" t="str">
        <x:v>N/A</x:v>
      </x:c>
      <x:c r="U222" s="38" t="str">
        <x:v>T03</x:v>
      </x:c>
      <x:c r="V222" s="38" t="str">
        <x:v>전년동월비(%)</x:v>
      </x:c>
      <x:c r="W222" s="38" t="str">
        <x:v>총지수</x:v>
      </x:c>
      <x:c r="X222" s="38" t="str">
        <x:v>M</x:v>
      </x:c>
      <x:c r="Y222" s="38" t="str">
        <x:v>202412</x:v>
      </x:c>
      <x:c r="Z222" s="38" t="str">
        <x:v>202411</x:v>
      </x:c>
      <x:c r="AA222" s="41" t="str">
        <x:v>1.9</x:v>
      </x:c>
      <x:c r="AB222" s="41" t="str">
        <x:v>1.5</x:v>
      </x:c>
      <x:c r="AC222" s="41" t="str">
        <x:v>%</x:v>
      </x:c>
      <x:c r="AD222" s="41" t="str">
        <x:v>26.66666666666666</x:v>
      </x:c>
      <x:c r="AE222" s="39" t="str">
        <x:v>(MCP current − MCP previous) / |MCP previous| × 100</x:v>
      </x:c>
      <x:c r="AF222" s="39" t="str">
        <x:v>MCP_ACTUAL_VALUE_CONFIRMED</x:v>
      </x:c>
      <x:c r="AG222" s="39" t="str">
        <x:v>KOSIS_MCP_GET_DATA</x:v>
      </x:c>
      <x:c r="AH222" s="39" t="str">
        <x:v>https://kosis.kr/statHtml/statHtml.do?orgId=101&amp;tblId=DT_1J22042&amp;vw_cd=MT_ZTITLE&amp;list_id=&amp;seqNo=&amp;lang_mode=ko&amp;language=kor&amp;obj_var_id=&amp;itm_id=&amp;conn_path=MT_ZTITLE</x:v>
      </x:c>
      <x:c r="AI222" s="38" t="str">
        <x:v>201-240</x:v>
      </x:c>
      <x:c r="AJ222" s="38" t="n">
        <x:v>46240.02700001157</x:v>
      </x:c>
    </x:row>
    <x:row r="223">
      <x:c r="A223" s="38" t="str">
        <x:v>MCPG-222</x:v>
      </x:c>
      <x:c r="B223" s="38" t="str">
        <x:v>C03669</x:v>
      </x:c>
      <x:c r="C223" s="102" t="str">
        <x:v>A0463</x:v>
      </x:c>
      <x:c r="D223" s="39" t="str">
        <x:v>석유·채소값 뛰니...1월 물가 2.2% 상승, 5개월 만에 2%대 복귀</x:v>
      </x:c>
      <x:c r="E223" s="39" t="str">
        <x:v>2025-02-05</x:v>
      </x:c>
      <x:c r="F223" s="39" t="str">
        <x:v>https://www.chosun.com/economy/economy_general/2025/02/05/V2MN7UBTEZBJPG7WGGILZRXH6Y</x:v>
      </x:c>
      <x:c r="G223" s="39" t="str">
        <x:v>지난해 장기간 이어진 폭염 등 이상기후로 수급에 어려움을 겪었던 무(79.5%)와 배추(66.8%), 당근(76.4%) 등 일부 채소 가격도 지난달에 전년 동월 대비 크게 뛰었다.</x:v>
      </x:c>
      <x:c r="H223" s="38" t="str">
        <x:v>LEVEL</x:v>
      </x:c>
      <x:c r="I223" s="40" t="str">
        <x:v>76.4</x:v>
      </x:c>
      <x:c r="J223" s="38" t="str">
        <x:v>['%', '%', '%']</x:v>
      </x:c>
      <x:c r="K223" s="38" t="str">
        <x:v>REFUTES</x:v>
      </x:c>
      <x:c r="L223" s="38" t="str">
        <x:v>FULL_KOSIS_MCP</x:v>
      </x:c>
      <x:c r="M223" s="38" t="str">
        <x:v>Y</x:v>
      </x:c>
      <x:c r="N223" s="38" t="str">
        <x:v>Y</x:v>
      </x:c>
      <x:c r="O223" s="38" t="str">
        <x:v>N</x:v>
      </x:c>
      <x:c r="P223" s="38" t="str">
        <x:v>101</x:v>
      </x:c>
      <x:c r="Q223" s="38" t="str">
        <x:v>DT_1J22042</x:v>
      </x:c>
      <x:c r="R223" s="38" t="str">
        <x:v>월별 소비자물가 등락률</x:v>
      </x:c>
      <x:c r="S223" s="38" t="str">
        <x:v>0</x:v>
      </x:c>
      <x:c r="T223" s="38" t="str">
        <x:v>N/A</x:v>
      </x:c>
      <x:c r="U223" s="38" t="str">
        <x:v>T03</x:v>
      </x:c>
      <x:c r="V223" s="38" t="str">
        <x:v>전년동월비(%)</x:v>
      </x:c>
      <x:c r="W223" s="38" t="str">
        <x:v>총지수</x:v>
      </x:c>
      <x:c r="X223" s="38" t="str">
        <x:v>M</x:v>
      </x:c>
      <x:c r="Y223" s="38" t="str">
        <x:v>202401</x:v>
      </x:c>
      <x:c r="Z223" s="38" t="str">
        <x:v>N/A</x:v>
      </x:c>
      <x:c r="AA223" s="41" t="str">
        <x:v>2.8</x:v>
      </x:c>
      <x:c r="AB223" s="41" t="str">
        <x:v>N/A</x:v>
      </x:c>
      <x:c r="AC223" s="41" t="str">
        <x:v>%</x:v>
      </x:c>
      <x:c r="AD223" s="41" t="str">
        <x:v>2.8</x:v>
      </x:c>
      <x:c r="AE223" s="39" t="str">
        <x:v>MCP current value × source unit scale (1)</x:v>
      </x:c>
      <x:c r="AF223" s="39" t="str">
        <x:v>MCP_ACTUAL_VALUE_CONFIRMED</x:v>
      </x:c>
      <x:c r="AG223" s="39" t="str">
        <x:v>KOSIS_MCP_GET_DATA</x:v>
      </x:c>
      <x:c r="AH223" s="39" t="str">
        <x:v>https://kosis.kr/statHtml/statHtml.do?orgId=101&amp;tblId=DT_1J22042&amp;vw_cd=MT_ZTITLE&amp;list_id=&amp;seqNo=&amp;lang_mode=ko&amp;language=kor&amp;obj_var_id=&amp;itm_id=&amp;conn_path=MT_ZTITLE</x:v>
      </x:c>
      <x:c r="AI223" s="38" t="str">
        <x:v>201-240</x:v>
      </x:c>
      <x:c r="AJ223" s="38" t="n">
        <x:v>46240.02700001157</x:v>
      </x:c>
    </x:row>
    <x:row r="224">
      <x:c r="A224" s="38" t="str">
        <x:v>MCPG-223</x:v>
      </x:c>
      <x:c r="B224" s="38" t="str">
        <x:v>C03741</x:v>
      </x:c>
      <x:c r="C224" s="102" t="str">
        <x:v>A0475</x:v>
      </x:c>
      <x:c r="D224" s="39" t="str">
        <x:v>고환율·고유가에… 소비자 물가 5개월 만에 2%대로</x:v>
      </x:c>
      <x:c r="E224" s="39" t="str">
        <x:v>2025-02-06</x:v>
      </x:c>
      <x:c r="F224" s="39" t="str">
        <x:v>https://www.chosun.com/economy/economy_general/2025/02/06/JUZXS35ATZH5HPELUDW6QK465M</x:v>
      </x:c>
      <x:c r="G224" s="39" t="str">
        <x:v>통계청은 5일 ‘1월 소비자물가 동향’에서 지난달 소비자물가가 작년 같은 달보다 2.2% 올랐다고 밝혔다.</x:v>
      </x:c>
      <x:c r="H224" s="38" t="str">
        <x:v>CHANGE_RATE</x:v>
      </x:c>
      <x:c r="I224" s="40" t="str">
        <x:v>2.2</x:v>
      </x:c>
      <x:c r="J224" s="38" t="str">
        <x:v>['일', '월', '%']</x:v>
      </x:c>
      <x:c r="K224" s="38" t="str">
        <x:v>REFUTES</x:v>
      </x:c>
      <x:c r="L224" s="38" t="str">
        <x:v>FULL_KOSIS_MCP</x:v>
      </x:c>
      <x:c r="M224" s="38" t="str">
        <x:v>Y</x:v>
      </x:c>
      <x:c r="N224" s="38" t="str">
        <x:v>Y</x:v>
      </x:c>
      <x:c r="O224" s="38" t="str">
        <x:v>N</x:v>
      </x:c>
      <x:c r="P224" s="38" t="str">
        <x:v>101</x:v>
      </x:c>
      <x:c r="Q224" s="38" t="str">
        <x:v>DT_1J22042</x:v>
      </x:c>
      <x:c r="R224" s="38" t="str">
        <x:v>월별 소비자물가 등락률</x:v>
      </x:c>
      <x:c r="S224" s="38" t="str">
        <x:v>0</x:v>
      </x:c>
      <x:c r="T224" s="38" t="str">
        <x:v>N/A</x:v>
      </x:c>
      <x:c r="U224" s="38" t="str">
        <x:v>T03</x:v>
      </x:c>
      <x:c r="V224" s="38" t="str">
        <x:v>전년동월비(%)</x:v>
      </x:c>
      <x:c r="W224" s="38" t="str">
        <x:v>총지수</x:v>
      </x:c>
      <x:c r="X224" s="38" t="str">
        <x:v>M</x:v>
      </x:c>
      <x:c r="Y224" s="38" t="str">
        <x:v>202401</x:v>
      </x:c>
      <x:c r="Z224" s="38" t="str">
        <x:v>202301</x:v>
      </x:c>
      <x:c r="AA224" s="41" t="str">
        <x:v>2.8</x:v>
      </x:c>
      <x:c r="AB224" s="41" t="str">
        <x:v>5.0</x:v>
      </x:c>
      <x:c r="AC224" s="41" t="str">
        <x:v>%</x:v>
      </x:c>
      <x:c r="AD224" s="41" t="str">
        <x:v>-44.00000000000001</x:v>
      </x:c>
      <x:c r="AE224" s="39" t="str">
        <x:v>(MCP current − MCP previous) / |MCP previous| × 100</x:v>
      </x:c>
      <x:c r="AF224" s="39" t="str">
        <x:v>MCP_ACTUAL_VALUE_CONFIRMED</x:v>
      </x:c>
      <x:c r="AG224" s="39" t="str">
        <x:v>KOSIS_MCP_GET_DATA</x:v>
      </x:c>
      <x:c r="AH224" s="39" t="str">
        <x:v>https://kosis.kr/statHtml/statHtml.do?orgId=101&amp;tblId=DT_1J22042&amp;vw_cd=MT_ZTITLE&amp;list_id=&amp;seqNo=&amp;lang_mode=ko&amp;language=kor&amp;obj_var_id=&amp;itm_id=&amp;conn_path=MT_ZTITLE</x:v>
      </x:c>
      <x:c r="AI224" s="38" t="str">
        <x:v>201-240</x:v>
      </x:c>
      <x:c r="AJ224" s="38" t="n">
        <x:v>46240.02700001157</x:v>
      </x:c>
    </x:row>
    <x:row r="225">
      <x:c r="A225" s="38" t="str">
        <x:v>MCPG-224</x:v>
      </x:c>
      <x:c r="B225" s="38" t="str">
        <x:v>C03751</x:v>
      </x:c>
      <x:c r="C225" s="102" t="str">
        <x:v>A0475</x:v>
      </x:c>
      <x:c r="D225" s="39" t="str">
        <x:v>고환율·고유가에… 소비자 물가 5개월 만에 2%대로</x:v>
      </x:c>
      <x:c r="E225" s="39" t="str">
        <x:v>2025-02-06</x:v>
      </x:c>
      <x:c r="F225" s="39" t="str">
        <x:v>https://www.chosun.com/economy/economy_general/2025/02/06/JUZXS35ATZH5HPELUDW6QK465M</x:v>
      </x:c>
      <x:c r="G225" s="39" t="str">
        <x:v>이에 식료품·석유류·세제·의류 등 생활필수품 144개 품목을 집계한 생활물가 지수는 1년 전 대비 2.5% 올라 작년 7월(3%) 이후 반년 만에 가장 큰 오름폭을 보였다.</x:v>
      </x:c>
      <x:c r="H225" s="38" t="str">
        <x:v>LEVEL</x:v>
      </x:c>
      <x:c r="I225" s="40" t="str">
        <x:v>3.0</x:v>
      </x:c>
      <x:c r="J225" s="38" t="str">
        <x:v>['개', '년', '%', '월', '%']</x:v>
      </x:c>
      <x:c r="K225" s="38" t="str">
        <x:v>REFUTES</x:v>
      </x:c>
      <x:c r="L225" s="38" t="str">
        <x:v>FULL_KOSIS_MCP</x:v>
      </x:c>
      <x:c r="M225" s="38" t="str">
        <x:v>Y</x:v>
      </x:c>
      <x:c r="N225" s="38" t="str">
        <x:v>Y</x:v>
      </x:c>
      <x:c r="O225" s="38" t="str">
        <x:v>N</x:v>
      </x:c>
      <x:c r="P225" s="38" t="str">
        <x:v>101</x:v>
      </x:c>
      <x:c r="Q225" s="38" t="str">
        <x:v>DT_1J22003</x:v>
      </x:c>
      <x:c r="R225" s="38" t="str">
        <x:v>소비자물가지수(2020＝100)</x:v>
      </x:c>
      <x:c r="S225" s="38" t="str">
        <x:v>T10</x:v>
      </x:c>
      <x:c r="T225" s="38" t="str">
        <x:v>N/A</x:v>
      </x:c>
      <x:c r="U225" s="38" t="str">
        <x:v>T</x:v>
      </x:c>
      <x:c r="V225" s="38" t="str">
        <x:v>소비자물가지수(총지수)</x:v>
      </x:c>
      <x:c r="W225" s="38" t="str">
        <x:v>전국</x:v>
      </x:c>
      <x:c r="X225" s="38" t="str">
        <x:v>M</x:v>
      </x:c>
      <x:c r="Y225" s="38" t="str">
        <x:v>202407</x:v>
      </x:c>
      <x:c r="Z225" s="38" t="str">
        <x:v>N/A</x:v>
      </x:c>
      <x:c r="AA225" s="41" t="str">
        <x:v>114.13</x:v>
      </x:c>
      <x:c r="AB225" s="41" t="str">
        <x:v>N/A</x:v>
      </x:c>
      <x:c r="AC225" s="41" t="str">
        <x:v>2020＝100</x:v>
      </x:c>
      <x:c r="AD225" s="41" t="str">
        <x:v>114.13</x:v>
      </x:c>
      <x:c r="AE225" s="39" t="str">
        <x:v>MCP current value × source unit scale (1)</x:v>
      </x:c>
      <x:c r="AF225" s="39" t="str">
        <x:v>MCP_ACTUAL_VALUE_CONFIRMED</x:v>
      </x:c>
      <x:c r="AG225" s="39" t="str">
        <x:v>KOSIS_MCP_GET_DATA</x:v>
      </x:c>
      <x:c r="AH225" s="39" t="str">
        <x:v>https://kosis.kr/statHtml/statHtml.do?orgId=101&amp;tblId=DT_1J22003&amp;vw_cd=MT_ZTITLE&amp;list_id=&amp;seqNo=&amp;lang_mode=ko&amp;language=kor&amp;obj_var_id=&amp;itm_id=&amp;conn_path=MT_ZTITLE</x:v>
      </x:c>
      <x:c r="AI225" s="38" t="str">
        <x:v>201-240</x:v>
      </x:c>
      <x:c r="AJ225" s="38" t="n">
        <x:v>46240.02700001157</x:v>
      </x:c>
    </x:row>
    <x:row r="226">
      <x:c r="A226" s="38" t="str">
        <x:v>MCPG-225</x:v>
      </x:c>
      <x:c r="B226" s="38" t="str">
        <x:v>C03849</x:v>
      </x:c>
      <x:c r="C226" s="102" t="str">
        <x:v>A0489</x:v>
      </x:c>
      <x:c r="D226" s="39" t="str">
        <x:v>경상수지 역대 둘째로 많은 흑자 낸 까닭은</x:v>
      </x:c>
      <x:c r="E226" s="39" t="str">
        <x:v>2025-02-07</x:v>
      </x:c>
      <x:c r="F226" s="39" t="str">
        <x:v>https://www.chosun.com/economy/economy_general/2025/02/07/JXWFUVYXYRFO3OXEWCPCGJUSGE</x:v>
      </x:c>
      <x:c r="G226" s="39" t="str">
        <x:v>실제 우리나라 경상수지 중 수출에서 수입을 뺀 상품수지는 전년보다 165%나 뛰었다.</x:v>
      </x:c>
      <x:c r="H226" s="38" t="str">
        <x:v>LEVEL</x:v>
      </x:c>
      <x:c r="I226" s="40" t="str">
        <x:v>165.0</x:v>
      </x:c>
      <x:c r="J226" s="38" t="str">
        <x:v>['%']</x:v>
      </x:c>
      <x:c r="K226" s="38" t="str">
        <x:v>REFUTES</x:v>
      </x:c>
      <x:c r="L226" s="38" t="str">
        <x:v>FULL_KOSIS_MCP</x:v>
      </x:c>
      <x:c r="M226" s="38" t="str">
        <x:v>Y</x:v>
      </x:c>
      <x:c r="N226" s="38" t="str">
        <x:v>Y</x:v>
      </x:c>
      <x:c r="O226" s="38" t="str">
        <x:v>N</x:v>
      </x:c>
      <x:c r="P226" s="38" t="str">
        <x:v>360</x:v>
      </x:c>
      <x:c r="Q226" s="38" t="str">
        <x:v>DT_1R11006_FRM101</x:v>
      </x:c>
      <x:c r="R226" s="38" t="str">
        <x:v>국가별 수출액 수입액</x:v>
      </x:c>
      <x:c r="S226" s="38" t="str">
        <x:v>13102103829E.00</x:v>
      </x:c>
      <x:c r="T226" s="38" t="str">
        <x:v>N/A</x:v>
      </x:c>
      <x:c r="U226" s="38" t="str">
        <x:v>13103103829T1</x:v>
      </x:c>
      <x:c r="V226" s="38" t="str">
        <x:v>수출액</x:v>
      </x:c>
      <x:c r="W226" s="38" t="str">
        <x:v>계</x:v>
      </x:c>
      <x:c r="X226" s="38" t="str">
        <x:v>Y</x:v>
      </x:c>
      <x:c r="Y226" s="38" t="str">
        <x:v>2024</x:v>
      </x:c>
      <x:c r="Z226" s="38" t="str">
        <x:v>N/A</x:v>
      </x:c>
      <x:c r="AA226" s="41" t="str">
        <x:v>683609488.0</x:v>
      </x:c>
      <x:c r="AB226" s="41" t="str">
        <x:v>N/A</x:v>
      </x:c>
      <x:c r="AC226" s="41" t="str">
        <x:v>천달러</x:v>
      </x:c>
      <x:c r="AD226" s="41" t="str">
        <x:v>683609488.0</x:v>
      </x:c>
      <x:c r="AE226" s="39" t="str">
        <x:v>MCP current value × source unit scale (1)</x:v>
      </x:c>
      <x:c r="AF226" s="39" t="str">
        <x:v>MCP_ACTUAL_VALUE_CONFIRMED</x:v>
      </x:c>
      <x:c r="AG226" s="39" t="str">
        <x:v>KOSIS_MCP_GET_DATA</x:v>
      </x:c>
      <x:c r="AH226" s="39" t="str">
        <x:v>https://kosis.kr/statHtml/statHtml.do?orgId=360&amp;tblId=DT_1R11006_FRM101&amp;vw_cd=MT_ZTITLE&amp;list_id=&amp;seqNo=&amp;lang_mode=ko&amp;language=kor&amp;obj_var_id=&amp;itm_id=&amp;conn_path=MT_ZTITLE</x:v>
      </x:c>
      <x:c r="AI226" s="38" t="str">
        <x:v>201-240</x:v>
      </x:c>
      <x:c r="AJ226" s="38" t="n">
        <x:v>46240.02700002315</x:v>
      </x:c>
    </x:row>
    <x:row r="227">
      <x:c r="A227" s="38" t="str">
        <x:v>MCPG-226</x:v>
      </x:c>
      <x:c r="B227" s="38" t="str">
        <x:v>C04060</x:v>
      </x:c>
      <x:c r="C227" s="102" t="str">
        <x:v>A0513</x:v>
      </x:c>
      <x:c r="D227" s="39" t="str">
        <x:v>美 보편관세 부과땐... 작년 한국 수출액의 1.9% 날아간다</x:v>
      </x:c>
      <x:c r="E227" s="39" t="str">
        <x:v>2025-02-09</x:v>
      </x:c>
      <x:c r="F227" s="39" t="str">
        <x:v>https://www.chosun.com/economy/industry-company/2025/02/09/Q7MADBZN2RG77FHRLLCOZSLZLA</x:v>
      </x:c>
      <x:c r="G227" s="39" t="str">
        <x:v>작년 우리나라 수출의 1.9%에 해당하는 규모다.</x:v>
      </x:c>
      <x:c r="H227" s="38" t="str">
        <x:v>LEVEL</x:v>
      </x:c>
      <x:c r="I227" s="40" t="str">
        <x:v>1.9</x:v>
      </x:c>
      <x:c r="J227" s="38" t="str">
        <x:v>['%']</x:v>
      </x:c>
      <x:c r="K227" s="38" t="str">
        <x:v>REFUTES</x:v>
      </x:c>
      <x:c r="L227" s="38" t="str">
        <x:v>FULL_KOSIS_MCP</x:v>
      </x:c>
      <x:c r="M227" s="38" t="str">
        <x:v>Y</x:v>
      </x:c>
      <x:c r="N227" s="38" t="str">
        <x:v>Y</x:v>
      </x:c>
      <x:c r="O227" s="38" t="str">
        <x:v>N</x:v>
      </x:c>
      <x:c r="P227" s="38" t="str">
        <x:v>360</x:v>
      </x:c>
      <x:c r="Q227" s="38" t="str">
        <x:v>DT_1R11006_FRM101</x:v>
      </x:c>
      <x:c r="R227" s="38" t="str">
        <x:v>국가별 수출액 수입액</x:v>
      </x:c>
      <x:c r="S227" s="38" t="str">
        <x:v>13102103829E.00</x:v>
      </x:c>
      <x:c r="T227" s="38" t="str">
        <x:v>N/A</x:v>
      </x:c>
      <x:c r="U227" s="38" t="str">
        <x:v>13103103829T1</x:v>
      </x:c>
      <x:c r="V227" s="38" t="str">
        <x:v>수출액</x:v>
      </x:c>
      <x:c r="W227" s="38" t="str">
        <x:v>계</x:v>
      </x:c>
      <x:c r="X227" s="38" t="str">
        <x:v>Y</x:v>
      </x:c>
      <x:c r="Y227" s="38" t="str">
        <x:v>2024</x:v>
      </x:c>
      <x:c r="Z227" s="38" t="str">
        <x:v>N/A</x:v>
      </x:c>
      <x:c r="AA227" s="41" t="str">
        <x:v>683609488.0</x:v>
      </x:c>
      <x:c r="AB227" s="41" t="str">
        <x:v>N/A</x:v>
      </x:c>
      <x:c r="AC227" s="41" t="str">
        <x:v>천달러</x:v>
      </x:c>
      <x:c r="AD227" s="41" t="str">
        <x:v>683609488.0</x:v>
      </x:c>
      <x:c r="AE227" s="39" t="str">
        <x:v>MCP current value × source unit scale (1)</x:v>
      </x:c>
      <x:c r="AF227" s="39" t="str">
        <x:v>MCP_ACTUAL_VALUE_CONFIRMED</x:v>
      </x:c>
      <x:c r="AG227" s="39" t="str">
        <x:v>KOSIS_MCP_GET_DATA</x:v>
      </x:c>
      <x:c r="AH227" s="39" t="str">
        <x:v>https://kosis.kr/statHtml/statHtml.do?orgId=360&amp;tblId=DT_1R11006_FRM101&amp;vw_cd=MT_ZTITLE&amp;list_id=&amp;seqNo=&amp;lang_mode=ko&amp;language=kor&amp;obj_var_id=&amp;itm_id=&amp;conn_path=MT_ZTITLE</x:v>
      </x:c>
      <x:c r="AI227" s="38" t="str">
        <x:v>201-240</x:v>
      </x:c>
      <x:c r="AJ227" s="38" t="n">
        <x:v>46240.02700002315</x:v>
      </x:c>
    </x:row>
    <x:row r="228">
      <x:c r="A228" s="38" t="str">
        <x:v>MCPG-227</x:v>
      </x:c>
      <x:c r="B228" s="38" t="str">
        <x:v>C04257</x:v>
      </x:c>
      <x:c r="C228" s="102" t="str">
        <x:v>A0540</x:v>
      </x:c>
      <x:c r="D228" s="39" t="str">
        <x:v>국세 31조 덜 걷혀… 2년 연속 대규모 ‘세수 펑크’</x:v>
      </x:c>
      <x:c r="E228" s="39" t="str">
        <x:v>2025-02-11</x:v>
      </x:c>
      <x:c r="F228" s="39" t="str">
        <x:v>https://www.chosun.com/economy/economy_general/2025/02/11/EP666GEIQNHRLLXRVM77AZUML4</x:v>
      </x:c>
      <x:c r="G228" s="39" t="str">
        <x:v>10일 기획재정부가 발표한 ‘2024년 국세 수입 실적’에 따르면, 작년 국세 수입은 전년 대비 7조5000억원 줄어든 336조5000억원으로 집계됐다.</x:v>
      </x:c>
      <x:c r="H228" s="38" t="str">
        <x:v>LEVEL</x:v>
      </x:c>
      <x:c r="I228" s="40" t="str">
        <x:v>5000.0</x:v>
      </x:c>
      <x:c r="J228" s="38" t="str">
        <x:v>['일', '년', '억원', '억원']</x:v>
      </x:c>
      <x:c r="K228" s="38" t="str">
        <x:v>REFUTES</x:v>
      </x:c>
      <x:c r="L228" s="38" t="str">
        <x:v>FULL_KOSIS_MCP</x:v>
      </x:c>
      <x:c r="M228" s="38" t="str">
        <x:v>Y</x:v>
      </x:c>
      <x:c r="N228" s="38" t="str">
        <x:v>Y</x:v>
      </x:c>
      <x:c r="O228" s="38" t="str">
        <x:v>N</x:v>
      </x:c>
      <x:c r="P228" s="38" t="str">
        <x:v>360</x:v>
      </x:c>
      <x:c r="Q228" s="38" t="str">
        <x:v>DT_1R11001_FRM101</x:v>
      </x:c>
      <x:c r="R228" s="38" t="str">
        <x:v>품목별 수출액 수입액</x:v>
      </x:c>
      <x:c r="S228" s="38" t="str">
        <x:v>13102112831A.A</x:v>
      </x:c>
      <x:c r="T228" s="38" t="str">
        <x:v>N/A</x:v>
      </x:c>
      <x:c r="U228" s="38" t="str">
        <x:v>13103112831T2</x:v>
      </x:c>
      <x:c r="V228" s="38" t="str">
        <x:v>수입액</x:v>
      </x:c>
      <x:c r="W228" s="38" t="str">
        <x:v>총액</x:v>
      </x:c>
      <x:c r="X228" s="38" t="str">
        <x:v>Y</x:v>
      </x:c>
      <x:c r="Y228" s="38" t="str">
        <x:v>2024</x:v>
      </x:c>
      <x:c r="Z228" s="38" t="str">
        <x:v>N/A</x:v>
      </x:c>
      <x:c r="AA228" s="41" t="str">
        <x:v>631767209.0</x:v>
      </x:c>
      <x:c r="AB228" s="41" t="str">
        <x:v>N/A</x:v>
      </x:c>
      <x:c r="AC228" s="41" t="str">
        <x:v>천달러</x:v>
      </x:c>
      <x:c r="AD228" s="41" t="str">
        <x:v>631767209.0</x:v>
      </x:c>
      <x:c r="AE228" s="39" t="str">
        <x:v>MCP current value × source unit scale (1)</x:v>
      </x:c>
      <x:c r="AF228" s="39" t="str">
        <x:v>MCP_ACTUAL_VALUE_CONFIRMED</x:v>
      </x:c>
      <x:c r="AG228" s="39" t="str">
        <x:v>KOSIS_MCP_GET_DATA</x:v>
      </x:c>
      <x:c r="AH228" s="39" t="str">
        <x:v>https://kosis.kr/statHtml/statHtml.do?orgId=360&amp;tblId=DT_1R11001_FRM101&amp;vw_cd=MT_ZTITLE&amp;list_id=&amp;seqNo=&amp;lang_mode=ko&amp;language=kor&amp;obj_var_id=&amp;itm_id=&amp;conn_path=MT_ZTITLE</x:v>
      </x:c>
      <x:c r="AI228" s="38" t="str">
        <x:v>201-240</x:v>
      </x:c>
      <x:c r="AJ228" s="38" t="n">
        <x:v>46240.02700002315</x:v>
      </x:c>
    </x:row>
    <x:row r="229">
      <x:c r="A229" s="38" t="str">
        <x:v>MCPG-228</x:v>
      </x:c>
      <x:c r="B229" s="38" t="str">
        <x:v>C04291</x:v>
      </x:c>
      <x:c r="C229" s="102" t="str">
        <x:v>A0544</x:v>
      </x:c>
      <x:c r="D229" s="39" t="str">
        <x:v>KDI 올해 2% 성장 전망, 석 달 만에 0.4%포인트 낮춰</x:v>
      </x:c>
      <x:c r="E229" s="39" t="str">
        <x:v>2025-02-11</x:v>
      </x:c>
      <x:c r="F229" s="39" t="str">
        <x:v>https://www.chosun.com/economy/economy_general/2025/02/11/RX26TG2O3BBNZNNNL3YYFTR2QI</x:v>
      </x:c>
      <x:c r="G229" s="39" t="str">
        <x:v>KDI는 “올해 내수 부진이 완화하겠으나 수출 증가세가 둔화하면서 작년(2%)보다 낮은 성장률을 보일 것”이라고 내다 봤다.</x:v>
      </x:c>
      <x:c r="H229" s="38" t="str">
        <x:v>CHANGE_RATE</x:v>
      </x:c>
      <x:c r="I229" s="40" t="str">
        <x:v>2.0</x:v>
      </x:c>
      <x:c r="J229" s="38" t="str">
        <x:v>['%']</x:v>
      </x:c>
      <x:c r="K229" s="38" t="str">
        <x:v>REFUTES</x:v>
      </x:c>
      <x:c r="L229" s="38" t="str">
        <x:v>FULL_KOSIS_MCP</x:v>
      </x:c>
      <x:c r="M229" s="38" t="str">
        <x:v>Y</x:v>
      </x:c>
      <x:c r="N229" s="38" t="str">
        <x:v>Y</x:v>
      </x:c>
      <x:c r="O229" s="38" t="str">
        <x:v>N</x:v>
      </x:c>
      <x:c r="P229" s="38" t="str">
        <x:v>360</x:v>
      </x:c>
      <x:c r="Q229" s="38" t="str">
        <x:v>DT_1R11001_FRM101</x:v>
      </x:c>
      <x:c r="R229" s="38" t="str">
        <x:v>품목별 수출액 수입액</x:v>
      </x:c>
      <x:c r="S229" s="38" t="str">
        <x:v>13102112831A.A</x:v>
      </x:c>
      <x:c r="T229" s="38" t="str">
        <x:v>N/A</x:v>
      </x:c>
      <x:c r="U229" s="38" t="str">
        <x:v>13103112831T1</x:v>
      </x:c>
      <x:c r="V229" s="38" t="str">
        <x:v>수출액</x:v>
      </x:c>
      <x:c r="W229" s="38" t="str">
        <x:v>총액</x:v>
      </x:c>
      <x:c r="X229" s="38" t="str">
        <x:v>Y</x:v>
      </x:c>
      <x:c r="Y229" s="38" t="str">
        <x:v>2024</x:v>
      </x:c>
      <x:c r="Z229" s="38" t="str">
        <x:v>2023</x:v>
      </x:c>
      <x:c r="AA229" s="41" t="str">
        <x:v>683609488.0</x:v>
      </x:c>
      <x:c r="AB229" s="41" t="str">
        <x:v>632225824.0</x:v>
      </x:c>
      <x:c r="AC229" s="41" t="str">
        <x:v>천달러</x:v>
      </x:c>
      <x:c r="AD229" s="41" t="str">
        <x:v>8.127422520469521</x:v>
      </x:c>
      <x:c r="AE229" s="39" t="str">
        <x:v>(MCP current − MCP previous) / |MCP previous| × 100</x:v>
      </x:c>
      <x:c r="AF229" s="39" t="str">
        <x:v>MCP_ACTUAL_VALUE_CONFIRMED</x:v>
      </x:c>
      <x:c r="AG229" s="39" t="str">
        <x:v>KOSIS_MCP_GET_DATA</x:v>
      </x:c>
      <x:c r="AH229" s="39" t="str">
        <x:v>https://kosis.kr/statHtml/statHtml.do?orgId=360&amp;tblId=DT_1R11001_FRM101&amp;vw_cd=MT_ZTITLE&amp;list_id=&amp;seqNo=&amp;lang_mode=ko&amp;language=kor&amp;obj_var_id=&amp;itm_id=&amp;conn_path=MT_ZTITLE</x:v>
      </x:c>
      <x:c r="AI229" s="38" t="str">
        <x:v>201-240</x:v>
      </x:c>
      <x:c r="AJ229" s="38" t="n">
        <x:v>46240.02700002315</x:v>
      </x:c>
    </x:row>
    <x:row r="230">
      <x:c r="A230" s="38" t="str">
        <x:v>MCPG-229</x:v>
      </x:c>
      <x:c r="B230" s="38" t="str">
        <x:v>C04321</x:v>
      </x:c>
      <x:c r="C230" s="102" t="str">
        <x:v>A0547</x:v>
      </x:c>
      <x:c r="D230" s="39" t="str">
        <x:v>미국 1월 소비자물가 3% 상승... 금리 인하 속도 늦춰질 듯</x:v>
      </x:c>
      <x:c r="E230" s="39" t="str">
        <x:v>2025-02-12</x:v>
      </x:c>
      <x:c r="F230" s="39" t="str">
        <x:v>https://www.chosun.com/economy/economy_general/2025/02/12/6KAQJONZLRB4HIL6R2ER3BJ5WQ</x:v>
      </x:c>
      <x:c r="G230" s="39" t="str">
        <x:v>1 미국의 1월 소비자물가지수가 전년 동월 대비 3% 상승했다고 미 노동부가 12일 밝혔다.</x:v>
      </x:c>
      <x:c r="H230" s="38" t="str">
        <x:v>CHANGE_RATE</x:v>
      </x:c>
      <x:c r="I230" s="40" t="str">
        <x:v>3.0</x:v>
      </x:c>
      <x:c r="J230" s="38" t="str">
        <x:v>['월', '%', '일']</x:v>
      </x:c>
      <x:c r="K230" s="38" t="str">
        <x:v>REFUTES</x:v>
      </x:c>
      <x:c r="L230" s="38" t="str">
        <x:v>FULL_KOSIS_MCP</x:v>
      </x:c>
      <x:c r="M230" s="38" t="str">
        <x:v>Y</x:v>
      </x:c>
      <x:c r="N230" s="38" t="str">
        <x:v>Y</x:v>
      </x:c>
      <x:c r="O230" s="38" t="str">
        <x:v>N</x:v>
      </x:c>
      <x:c r="P230" s="38" t="str">
        <x:v>101</x:v>
      </x:c>
      <x:c r="Q230" s="38" t="str">
        <x:v>DT_1J22042</x:v>
      </x:c>
      <x:c r="R230" s="38" t="str">
        <x:v>월별 소비자물가 등락률</x:v>
      </x:c>
      <x:c r="S230" s="38" t="str">
        <x:v>0</x:v>
      </x:c>
      <x:c r="T230" s="38" t="str">
        <x:v>N/A</x:v>
      </x:c>
      <x:c r="U230" s="38" t="str">
        <x:v>T03</x:v>
      </x:c>
      <x:c r="V230" s="38" t="str">
        <x:v>전년동월비(%)</x:v>
      </x:c>
      <x:c r="W230" s="38" t="str">
        <x:v>총지수</x:v>
      </x:c>
      <x:c r="X230" s="38" t="str">
        <x:v>M</x:v>
      </x:c>
      <x:c r="Y230" s="38" t="str">
        <x:v>202401</x:v>
      </x:c>
      <x:c r="Z230" s="38" t="str">
        <x:v>202301</x:v>
      </x:c>
      <x:c r="AA230" s="41" t="str">
        <x:v>2.8</x:v>
      </x:c>
      <x:c r="AB230" s="41" t="str">
        <x:v>5.0</x:v>
      </x:c>
      <x:c r="AC230" s="41" t="str">
        <x:v>%</x:v>
      </x:c>
      <x:c r="AD230" s="41" t="str">
        <x:v>-44.00000000000001</x:v>
      </x:c>
      <x:c r="AE230" s="39" t="str">
        <x:v>(MCP current − MCP previous) / |MCP previous| × 100</x:v>
      </x:c>
      <x:c r="AF230" s="39" t="str">
        <x:v>MCP_ACTUAL_VALUE_CONFIRMED</x:v>
      </x:c>
      <x:c r="AG230" s="39" t="str">
        <x:v>KOSIS_MCP_GET_DATA</x:v>
      </x:c>
      <x:c r="AH230" s="39" t="str">
        <x:v>https://kosis.kr/statHtml/statHtml.do?orgId=101&amp;tblId=DT_1J22042&amp;vw_cd=MT_ZTITLE&amp;list_id=&amp;seqNo=&amp;lang_mode=ko&amp;language=kor&amp;obj_var_id=&amp;itm_id=&amp;conn_path=MT_ZTITLE</x:v>
      </x:c>
      <x:c r="AI230" s="38" t="str">
        <x:v>201-240</x:v>
      </x:c>
      <x:c r="AJ230" s="38" t="n">
        <x:v>46240.02700002315</x:v>
      </x:c>
    </x:row>
    <x:row r="231">
      <x:c r="A231" s="38" t="str">
        <x:v>MCPG-230</x:v>
      </x:c>
      <x:c r="B231" s="38" t="str">
        <x:v>C04361</x:v>
      </x:c>
      <x:c r="C231" s="102" t="str">
        <x:v>A0552</x:v>
      </x:c>
      <x:c r="D231" s="39" t="str">
        <x:v>미국 1월 소비자물가 3% 상승... 금리 인하 속도 늦춰질 듯</x:v>
      </x:c>
      <x:c r="E231" s="39" t="str">
        <x:v>2025-02-12</x:v>
      </x:c>
      <x:c r="F231" s="39" t="str">
        <x:v>https://www.chosun.com/economy/economy_general/2025/02/12/6KAQJONZLRB4HIL6R2ER3BJ5WQ</x:v>
      </x:c>
      <x:c r="G231" s="39" t="str">
        <x:v>1 미국의 1월 소비자물가지수가 전년 동월 대비 3% 상승했다고 미 노동부가 12일 밝혔다.</x:v>
      </x:c>
      <x:c r="H231" s="38" t="str">
        <x:v>CHANGE_RATE</x:v>
      </x:c>
      <x:c r="I231" s="40" t="str">
        <x:v>3.0</x:v>
      </x:c>
      <x:c r="J231" s="38" t="str">
        <x:v>['월', '%', '일']</x:v>
      </x:c>
      <x:c r="K231" s="38" t="str">
        <x:v>REFUTES</x:v>
      </x:c>
      <x:c r="L231" s="38" t="str">
        <x:v>FULL_KOSIS_MCP</x:v>
      </x:c>
      <x:c r="M231" s="38" t="str">
        <x:v>Y</x:v>
      </x:c>
      <x:c r="N231" s="38" t="str">
        <x:v>Y</x:v>
      </x:c>
      <x:c r="O231" s="38" t="str">
        <x:v>N</x:v>
      </x:c>
      <x:c r="P231" s="38" t="str">
        <x:v>101</x:v>
      </x:c>
      <x:c r="Q231" s="38" t="str">
        <x:v>DT_1J22042</x:v>
      </x:c>
      <x:c r="R231" s="38" t="str">
        <x:v>월별 소비자물가 등락률</x:v>
      </x:c>
      <x:c r="S231" s="38" t="str">
        <x:v>0</x:v>
      </x:c>
      <x:c r="T231" s="38" t="str">
        <x:v>N/A</x:v>
      </x:c>
      <x:c r="U231" s="38" t="str">
        <x:v>T03</x:v>
      </x:c>
      <x:c r="V231" s="38" t="str">
        <x:v>전년동월비(%)</x:v>
      </x:c>
      <x:c r="W231" s="38" t="str">
        <x:v>총지수</x:v>
      </x:c>
      <x:c r="X231" s="38" t="str">
        <x:v>M</x:v>
      </x:c>
      <x:c r="Y231" s="38" t="str">
        <x:v>202401</x:v>
      </x:c>
      <x:c r="Z231" s="38" t="str">
        <x:v>202301</x:v>
      </x:c>
      <x:c r="AA231" s="41" t="str">
        <x:v>2.8</x:v>
      </x:c>
      <x:c r="AB231" s="41" t="str">
        <x:v>5.0</x:v>
      </x:c>
      <x:c r="AC231" s="41" t="str">
        <x:v>%</x:v>
      </x:c>
      <x:c r="AD231" s="41" t="str">
        <x:v>-44.00000000000001</x:v>
      </x:c>
      <x:c r="AE231" s="39" t="str">
        <x:v>(MCP current − MCP previous) / |MCP previous| × 100</x:v>
      </x:c>
      <x:c r="AF231" s="39" t="str">
        <x:v>MCP_ACTUAL_VALUE_CONFIRMED</x:v>
      </x:c>
      <x:c r="AG231" s="39" t="str">
        <x:v>KOSIS_MCP_GET_DATA</x:v>
      </x:c>
      <x:c r="AH231" s="39" t="str">
        <x:v>https://kosis.kr/statHtml/statHtml.do?orgId=101&amp;tblId=DT_1J22042&amp;vw_cd=MT_ZTITLE&amp;list_id=&amp;seqNo=&amp;lang_mode=ko&amp;language=kor&amp;obj_var_id=&amp;itm_id=&amp;conn_path=MT_ZTITLE</x:v>
      </x:c>
      <x:c r="AI231" s="38" t="str">
        <x:v>201-240</x:v>
      </x:c>
      <x:c r="AJ231" s="38" t="n">
        <x:v>46240.02700002315</x:v>
      </x:c>
    </x:row>
    <x:row r="232">
      <x:c r="A232" s="38" t="str">
        <x:v>MCPG-231</x:v>
      </x:c>
      <x:c r="B232" s="38" t="str">
        <x:v>C04363</x:v>
      </x:c>
      <x:c r="C232" s="102" t="str">
        <x:v>A0552</x:v>
      </x:c>
      <x:c r="D232" s="39" t="str">
        <x:v>미국 1월 소비자물가 3% 상승... 금리 인하 속도 늦춰질 듯</x:v>
      </x:c>
      <x:c r="E232" s="39" t="str">
        <x:v>2025-02-12</x:v>
      </x:c>
      <x:c r="F232" s="39" t="str">
        <x:v>https://www.chosun.com/economy/economy_general/2025/02/12/6KAQJONZLRB4HIL6R2ER3BJ5WQ</x:v>
      </x:c>
      <x:c r="G232" s="39" t="str">
        <x:v>미국 소비자물가가 3%대로 복귀한 것은 지난해 6월(3%) 이후 7개월 만이다.</x:v>
      </x:c>
      <x:c r="H232" s="38" t="str">
        <x:v>LEVEL</x:v>
      </x:c>
      <x:c r="I232" s="40" t="str">
        <x:v>3.0</x:v>
      </x:c>
      <x:c r="J232" s="38" t="str">
        <x:v>['%', '월', '%', '개']</x:v>
      </x:c>
      <x:c r="K232" s="38" t="str">
        <x:v>REFUTES</x:v>
      </x:c>
      <x:c r="L232" s="38" t="str">
        <x:v>FULL_KOSIS_MCP</x:v>
      </x:c>
      <x:c r="M232" s="38" t="str">
        <x:v>Y</x:v>
      </x:c>
      <x:c r="N232" s="38" t="str">
        <x:v>Y</x:v>
      </x:c>
      <x:c r="O232" s="38" t="str">
        <x:v>N</x:v>
      </x:c>
      <x:c r="P232" s="38" t="str">
        <x:v>101</x:v>
      </x:c>
      <x:c r="Q232" s="38" t="str">
        <x:v>DT_1J22003</x:v>
      </x:c>
      <x:c r="R232" s="38" t="str">
        <x:v>소비자물가지수(2020＝100)</x:v>
      </x:c>
      <x:c r="S232" s="38" t="str">
        <x:v>T10</x:v>
      </x:c>
      <x:c r="T232" s="38" t="str">
        <x:v>N/A</x:v>
      </x:c>
      <x:c r="U232" s="38" t="str">
        <x:v>T</x:v>
      </x:c>
      <x:c r="V232" s="38" t="str">
        <x:v>소비자물가지수(총지수)</x:v>
      </x:c>
      <x:c r="W232" s="38" t="str">
        <x:v>전국</x:v>
      </x:c>
      <x:c r="X232" s="38" t="str">
        <x:v>M</x:v>
      </x:c>
      <x:c r="Y232" s="38" t="str">
        <x:v>202406</x:v>
      </x:c>
      <x:c r="Z232" s="38" t="str">
        <x:v>N/A</x:v>
      </x:c>
      <x:c r="AA232" s="41" t="str">
        <x:v>113.84</x:v>
      </x:c>
      <x:c r="AB232" s="41" t="str">
        <x:v>N/A</x:v>
      </x:c>
      <x:c r="AC232" s="41" t="str">
        <x:v>2020＝100</x:v>
      </x:c>
      <x:c r="AD232" s="41" t="str">
        <x:v>113.84</x:v>
      </x:c>
      <x:c r="AE232" s="39" t="str">
        <x:v>MCP current value × source unit scale (1)</x:v>
      </x:c>
      <x:c r="AF232" s="39" t="str">
        <x:v>MCP_ACTUAL_VALUE_CONFIRMED</x:v>
      </x:c>
      <x:c r="AG232" s="39" t="str">
        <x:v>KOSIS_MCP_GET_DATA</x:v>
      </x:c>
      <x:c r="AH232" s="39" t="str">
        <x:v>https://kosis.kr/statHtml/statHtml.do?orgId=101&amp;tblId=DT_1J22003&amp;vw_cd=MT_ZTITLE&amp;list_id=&amp;seqNo=&amp;lang_mode=ko&amp;language=kor&amp;obj_var_id=&amp;itm_id=&amp;conn_path=MT_ZTITLE</x:v>
      </x:c>
      <x:c r="AI232" s="38" t="str">
        <x:v>201-240</x:v>
      </x:c>
      <x:c r="AJ232" s="38" t="n">
        <x:v>46240.02700002315</x:v>
      </x:c>
    </x:row>
    <x:row r="233">
      <x:c r="A233" s="38" t="str">
        <x:v>MCPG-232</x:v>
      </x:c>
      <x:c r="B233" s="38" t="str">
        <x:v>C04606</x:v>
      </x:c>
      <x:c r="C233" s="102" t="str">
        <x:v>A0581</x:v>
      </x:c>
      <x:c r="D233" s="39" t="str">
        <x:v>오징어채 23%·맛김 22%… 가공식품 물가 상승률 1년 만에 최고</x:v>
      </x:c>
      <x:c r="E233" s="39" t="str">
        <x:v>2025-02-14</x:v>
      </x:c>
      <x:c r="F233" s="39" t="str">
        <x:v>https://www.chosun.com/economy/economy_general/2025/02/14/HP4YWNUF3VGJZDLS62WBVBUM74</x:v>
      </x:c>
      <x:c r="G233" s="39" t="str">
        <x:v>4 지난달 소비자 물가 상승률이 5개월 만에 2%대로 다시 올라선 가운데, 김과 시리얼 등 가공식품 물가는 1년 만에 가장 큰 폭으로 올랐다.</x:v>
      </x:c>
      <x:c r="H233" s="38" t="str">
        <x:v>CHANGE_RATE</x:v>
      </x:c>
      <x:c r="I233" s="40" t="str">
        <x:v>2.0</x:v>
      </x:c>
      <x:c r="J233" s="38" t="str">
        <x:v>['개', '%', '년']</x:v>
      </x:c>
      <x:c r="K233" s="38" t="str">
        <x:v>REFUTES</x:v>
      </x:c>
      <x:c r="L233" s="38" t="str">
        <x:v>FULL_KOSIS_MCP</x:v>
      </x:c>
      <x:c r="M233" s="38" t="str">
        <x:v>Y</x:v>
      </x:c>
      <x:c r="N233" s="38" t="str">
        <x:v>Y</x:v>
      </x:c>
      <x:c r="O233" s="38" t="str">
        <x:v>N</x:v>
      </x:c>
      <x:c r="P233" s="38" t="str">
        <x:v>101</x:v>
      </x:c>
      <x:c r="Q233" s="38" t="str">
        <x:v>DT_1J22042</x:v>
      </x:c>
      <x:c r="R233" s="38" t="str">
        <x:v>월별 소비자물가 등락률</x:v>
      </x:c>
      <x:c r="S233" s="38" t="str">
        <x:v>0</x:v>
      </x:c>
      <x:c r="T233" s="38" t="str">
        <x:v>N/A</x:v>
      </x:c>
      <x:c r="U233" s="38" t="str">
        <x:v>T03</x:v>
      </x:c>
      <x:c r="V233" s="38" t="str">
        <x:v>전년동월비(%)</x:v>
      </x:c>
      <x:c r="W233" s="38" t="str">
        <x:v>총지수</x:v>
      </x:c>
      <x:c r="X233" s="38" t="str">
        <x:v>M</x:v>
      </x:c>
      <x:c r="Y233" s="38" t="str">
        <x:v>202501</x:v>
      </x:c>
      <x:c r="Z233" s="38" t="str">
        <x:v>202412</x:v>
      </x:c>
      <x:c r="AA233" s="41" t="str">
        <x:v>2.2</x:v>
      </x:c>
      <x:c r="AB233" s="41" t="str">
        <x:v>1.9</x:v>
      </x:c>
      <x:c r="AC233" s="41" t="str">
        <x:v>%</x:v>
      </x:c>
      <x:c r="AD233" s="41" t="str">
        <x:v>15.789473684210542</x:v>
      </x:c>
      <x:c r="AE233" s="39" t="str">
        <x:v>(MCP current − MCP previous) / |MCP previous| × 100</x:v>
      </x:c>
      <x:c r="AF233" s="39" t="str">
        <x:v>MCP_ACTUAL_VALUE_CONFIRMED</x:v>
      </x:c>
      <x:c r="AG233" s="39" t="str">
        <x:v>KOSIS_MCP_GET_DATA</x:v>
      </x:c>
      <x:c r="AH233" s="39" t="str">
        <x:v>https://kosis.kr/statHtml/statHtml.do?orgId=101&amp;tblId=DT_1J22042&amp;vw_cd=MT_ZTITLE&amp;list_id=&amp;seqNo=&amp;lang_mode=ko&amp;language=kor&amp;obj_var_id=&amp;itm_id=&amp;conn_path=MT_ZTITLE</x:v>
      </x:c>
      <x:c r="AI233" s="38" t="str">
        <x:v>201-240</x:v>
      </x:c>
      <x:c r="AJ233" s="38" t="n">
        <x:v>46240.02700002315</x:v>
      </x:c>
    </x:row>
    <x:row r="234">
      <x:c r="A234" s="38" t="str">
        <x:v>MCPG-233</x:v>
      </x:c>
      <x:c r="B234" s="38" t="str">
        <x:v>C04608</x:v>
      </x:c>
      <x:c r="C234" s="102" t="str">
        <x:v>A0581</x:v>
      </x:c>
      <x:c r="D234" s="39" t="str">
        <x:v>오징어채 23%·맛김 22%… 가공식품 물가 상승률 1년 만에 최고</x:v>
      </x:c>
      <x:c r="E234" s="39" t="str">
        <x:v>2025-02-14</x:v>
      </x:c>
      <x:c r="F234" s="39" t="str">
        <x:v>https://www.chosun.com/economy/economy_general/2025/02/14/HP4YWNUF3VGJZDLS62WBVBUM74</x:v>
      </x:c>
      <x:c r="G234" s="39" t="str">
        <x:v>작년 11월만 해도 1.3%에 그쳤던 가공식품 물가 오름폭은 12월(2%)부터 두 달 연속 커져 작년 1월(3.2%) 이후 가장 높은 상승률을 기록했다.</x:v>
      </x:c>
      <x:c r="H234" s="38" t="str">
        <x:v>CHANGE_RATE</x:v>
      </x:c>
      <x:c r="I234" s="40" t="str">
        <x:v>3.2</x:v>
      </x:c>
      <x:c r="J234" s="38" t="str">
        <x:v>['월', '%', '월', '%', '월', '%']</x:v>
      </x:c>
      <x:c r="K234" s="38" t="str">
        <x:v>REFUTES</x:v>
      </x:c>
      <x:c r="L234" s="38" t="str">
        <x:v>FULL_KOSIS_MCP</x:v>
      </x:c>
      <x:c r="M234" s="38" t="str">
        <x:v>Y</x:v>
      </x:c>
      <x:c r="N234" s="38" t="str">
        <x:v>Y</x:v>
      </x:c>
      <x:c r="O234" s="38" t="str">
        <x:v>N</x:v>
      </x:c>
      <x:c r="P234" s="38" t="str">
        <x:v>101</x:v>
      </x:c>
      <x:c r="Q234" s="38" t="str">
        <x:v>DT_1J22042</x:v>
      </x:c>
      <x:c r="R234" s="38" t="str">
        <x:v>월별 소비자물가 등락률</x:v>
      </x:c>
      <x:c r="S234" s="38" t="str">
        <x:v>0</x:v>
      </x:c>
      <x:c r="T234" s="38" t="str">
        <x:v>N/A</x:v>
      </x:c>
      <x:c r="U234" s="38" t="str">
        <x:v>T03</x:v>
      </x:c>
      <x:c r="V234" s="38" t="str">
        <x:v>전년동월비(%)</x:v>
      </x:c>
      <x:c r="W234" s="38" t="str">
        <x:v>총지수</x:v>
      </x:c>
      <x:c r="X234" s="38" t="str">
        <x:v>M</x:v>
      </x:c>
      <x:c r="Y234" s="38" t="str">
        <x:v>202401</x:v>
      </x:c>
      <x:c r="Z234" s="38" t="str">
        <x:v>202312</x:v>
      </x:c>
      <x:c r="AA234" s="41" t="str">
        <x:v>2.8</x:v>
      </x:c>
      <x:c r="AB234" s="41" t="str">
        <x:v>3.2</x:v>
      </x:c>
      <x:c r="AC234" s="41" t="str">
        <x:v>%</x:v>
      </x:c>
      <x:c r="AD234" s="41" t="str">
        <x:v>-12.50000000000001</x:v>
      </x:c>
      <x:c r="AE234" s="39" t="str">
        <x:v>(MCP current − MCP previous) / |MCP previous| × 100</x:v>
      </x:c>
      <x:c r="AF234" s="39" t="str">
        <x:v>MCP_ACTUAL_VALUE_CONFIRMED</x:v>
      </x:c>
      <x:c r="AG234" s="39" t="str">
        <x:v>KOSIS_MCP_GET_DATA</x:v>
      </x:c>
      <x:c r="AH234" s="39" t="str">
        <x:v>https://kosis.kr/statHtml/statHtml.do?orgId=101&amp;tblId=DT_1J22042&amp;vw_cd=MT_ZTITLE&amp;list_id=&amp;seqNo=&amp;lang_mode=ko&amp;language=kor&amp;obj_var_id=&amp;itm_id=&amp;conn_path=MT_ZTITLE</x:v>
      </x:c>
      <x:c r="AI234" s="38" t="str">
        <x:v>201-240</x:v>
      </x:c>
      <x:c r="AJ234" s="38" t="n">
        <x:v>46240.02700002315</x:v>
      </x:c>
    </x:row>
    <x:row r="235">
      <x:c r="A235" s="38" t="str">
        <x:v>MCPG-234</x:v>
      </x:c>
      <x:c r="B235" s="38" t="str">
        <x:v>C04612</x:v>
      </x:c>
      <x:c r="C235" s="102" t="str">
        <x:v>A0581</x:v>
      </x:c>
      <x:c r="D235" s="39" t="str">
        <x:v>오징어채 23%·맛김 22%… 가공식품 물가 상승률 1년 만에 최고</x:v>
      </x:c>
      <x:c r="E235" s="39" t="str">
        <x:v>2025-02-14</x:v>
      </x:c>
      <x:c r="F235" s="39" t="str">
        <x:v>https://www.chosun.com/economy/economy_general/2025/02/14/HP4YWNUF3VGJZDLS62WBVBUM74</x:v>
      </x:c>
      <x:c r="G235" s="39" t="str">
        <x:v>실제로 동아오츠카는 지난달 포카리스웨트·데미소다 등 주요 제품 가격을 100원 올렸고 대상도 같은 달 마요네즈·후추·드레싱 등 소스류 가격을 평균 19.1% 올렸다.</x:v>
      </x:c>
      <x:c r="H235" s="38" t="str">
        <x:v>LEVEL</x:v>
      </x:c>
      <x:c r="I235" s="40" t="str">
        <x:v>100.0</x:v>
      </x:c>
      <x:c r="J235" s="38" t="str">
        <x:v>['원', '%']</x:v>
      </x:c>
      <x:c r="K235" s="38" t="str">
        <x:v>REFUTES</x:v>
      </x:c>
      <x:c r="L235" s="38" t="str">
        <x:v>FULL_KOSIS_MCP</x:v>
      </x:c>
      <x:c r="M235" s="38" t="str">
        <x:v>Y</x:v>
      </x:c>
      <x:c r="N235" s="38" t="str">
        <x:v>Y</x:v>
      </x:c>
      <x:c r="O235" s="38" t="str">
        <x:v>N</x:v>
      </x:c>
      <x:c r="P235" s="38" t="str">
        <x:v>101</x:v>
      </x:c>
      <x:c r="Q235" s="38" t="str">
        <x:v>DT_1J22042</x:v>
      </x:c>
      <x:c r="R235" s="38" t="str">
        <x:v>월별 소비자물가 등락률</x:v>
      </x:c>
      <x:c r="S235" s="38" t="str">
        <x:v>0</x:v>
      </x:c>
      <x:c r="T235" s="38" t="str">
        <x:v>N/A</x:v>
      </x:c>
      <x:c r="U235" s="38" t="str">
        <x:v>T03</x:v>
      </x:c>
      <x:c r="V235" s="38" t="str">
        <x:v>전년동월비(%)</x:v>
      </x:c>
      <x:c r="W235" s="38" t="str">
        <x:v>총지수</x:v>
      </x:c>
      <x:c r="X235" s="38" t="str">
        <x:v>M</x:v>
      </x:c>
      <x:c r="Y235" s="38" t="str">
        <x:v>202501</x:v>
      </x:c>
      <x:c r="Z235" s="38" t="str">
        <x:v>N/A</x:v>
      </x:c>
      <x:c r="AA235" s="41" t="str">
        <x:v>2.2</x:v>
      </x:c>
      <x:c r="AB235" s="41" t="str">
        <x:v>N/A</x:v>
      </x:c>
      <x:c r="AC235" s="41" t="str">
        <x:v>%</x:v>
      </x:c>
      <x:c r="AD235" s="41" t="str">
        <x:v>2.2</x:v>
      </x:c>
      <x:c r="AE235" s="39" t="str">
        <x:v>MCP current value × source unit scale (1)</x:v>
      </x:c>
      <x:c r="AF235" s="39" t="str">
        <x:v>MCP_ACTUAL_VALUE_CONFIRMED</x:v>
      </x:c>
      <x:c r="AG235" s="39" t="str">
        <x:v>KOSIS_MCP_GET_DATA</x:v>
      </x:c>
      <x:c r="AH235" s="39" t="str">
        <x:v>https://kosis.kr/statHtml/statHtml.do?orgId=101&amp;tblId=DT_1J22042&amp;vw_cd=MT_ZTITLE&amp;list_id=&amp;seqNo=&amp;lang_mode=ko&amp;language=kor&amp;obj_var_id=&amp;itm_id=&amp;conn_path=MT_ZTITLE</x:v>
      </x:c>
      <x:c r="AI235" s="38" t="str">
        <x:v>201-240</x:v>
      </x:c>
      <x:c r="AJ235" s="38" t="n">
        <x:v>46240.02700002315</x:v>
      </x:c>
    </x:row>
    <x:row r="236">
      <x:c r="A236" s="38" t="str">
        <x:v>MCPG-235</x:v>
      </x:c>
      <x:c r="B236" s="38" t="str">
        <x:v>C04713</x:v>
      </x:c>
      <x:c r="C236" s="102" t="str">
        <x:v>A0597</x:v>
      </x:c>
      <x:c r="D236" s="39" t="str">
        <x:v>달러·원 환율, 미국 소비 부진에도 1441.90원 마감</x:v>
      </x:c>
      <x:c r="E236" s="39" t="str">
        <x:v>2025-02-15</x:v>
      </x:c>
      <x:c r="F236" s="39" t="str">
        <x:v>https://www.chosun.com/economy/money/2025/02/15/A546JORFE3GZEGDDX7TLCHYMEU</x:v>
      </x:c>
      <x:c r="G236" s="39" t="str">
        <x:v>미 상무부에 따르면 지난달 미국의 소매판매는 전달보다 0.9% 급감한 것으로 집계됐다.</x:v>
      </x:c>
      <x:c r="H236" s="38" t="str">
        <x:v>CHANGE_RATE</x:v>
      </x:c>
      <x:c r="I236" s="40" t="str">
        <x:v>0.9</x:v>
      </x:c>
      <x:c r="J236" s="38" t="str">
        <x:v>['%']</x:v>
      </x:c>
      <x:c r="K236" s="38" t="str">
        <x:v>REFUTES</x:v>
      </x:c>
      <x:c r="L236" s="38" t="str">
        <x:v>FULL_KOSIS_MCP</x:v>
      </x:c>
      <x:c r="M236" s="38" t="str">
        <x:v>Y</x:v>
      </x:c>
      <x:c r="N236" s="38" t="str">
        <x:v>Y</x:v>
      </x:c>
      <x:c r="O236" s="38" t="str">
        <x:v>N</x:v>
      </x:c>
      <x:c r="P236" s="38" t="str">
        <x:v>101</x:v>
      </x:c>
      <x:c r="Q236" s="38" t="str">
        <x:v>DT_1K41012</x:v>
      </x:c>
      <x:c r="R236" s="38" t="str">
        <x:v>재별 및 상품군별 소매판매액지수(2020＝100.0)</x:v>
      </x:c>
      <x:c r="S236" s="38" t="str">
        <x:v>G0</x:v>
      </x:c>
      <x:c r="T236" s="38" t="str">
        <x:v>N/A</x:v>
      </x:c>
      <x:c r="U236" s="38" t="str">
        <x:v>T2</x:v>
      </x:c>
      <x:c r="V236" s="38" t="str">
        <x:v>불변지수</x:v>
      </x:c>
      <x:c r="W236" s="38" t="str">
        <x:v>총지수</x:v>
      </x:c>
      <x:c r="X236" s="38" t="str">
        <x:v>M</x:v>
      </x:c>
      <x:c r="Y236" s="38" t="str">
        <x:v>202501</x:v>
      </x:c>
      <x:c r="Z236" s="38" t="str">
        <x:v>202412</x:v>
      </x:c>
      <x:c r="AA236" s="41" t="str">
        <x:v>100.2</x:v>
      </x:c>
      <x:c r="AB236" s="41" t="str">
        <x:v>106.0</x:v>
      </x:c>
      <x:c r="AC236" s="41" t="str">
        <x:v>2020＝100</x:v>
      </x:c>
      <x:c r="AD236" s="41" t="str">
        <x:v>-5.471698113207545</x:v>
      </x:c>
      <x:c r="AE236" s="39" t="str">
        <x:v>(MCP current − MCP previous) / |MCP previous| × 100</x:v>
      </x:c>
      <x:c r="AF236" s="39" t="str">
        <x:v>MCP_ACTUAL_VALUE_CONFIRMED</x:v>
      </x:c>
      <x:c r="AG236" s="39" t="str">
        <x:v>KOSIS_MCP_GET_DATA</x:v>
      </x:c>
      <x:c r="AH236" s="39" t="str">
        <x:v>https://kosis.kr/statHtml/statHtml.do?orgId=101&amp;tblId=DT_1K41012&amp;vw_cd=MT_ZTITLE&amp;list_id=&amp;seqNo=&amp;lang_mode=ko&amp;language=kor&amp;obj_var_id=&amp;itm_id=&amp;conn_path=MT_ZTITLE</x:v>
      </x:c>
      <x:c r="AI236" s="38" t="str">
        <x:v>201-240</x:v>
      </x:c>
      <x:c r="AJ236" s="38" t="n">
        <x:v>46240.02700002315</x:v>
      </x:c>
    </x:row>
    <x:row r="237">
      <x:c r="A237" s="38" t="str">
        <x:v>MCPG-236</x:v>
      </x:c>
      <x:c r="B237" s="38" t="str">
        <x:v>C04736</x:v>
      </x:c>
      <x:c r="C237" s="102" t="str">
        <x:v>A0600</x:v>
      </x:c>
      <x:c r="D237" s="39" t="str">
        <x:v>독이 된 車수출 호조… 美, 우회로 뚫은 日 대신 한국이 ‘관세 폭격’ 1순위</x:v>
      </x:c>
      <x:c r="E237" s="39" t="str">
        <x:v>2025-02-16</x:v>
      </x:c>
      <x:c r="F237" s="39" t="str">
        <x:v>https://www.chosun.com/economy/auto/2025/02/16/RWC2Y3QWARFH3DJB2DG5YS4VQY</x:v>
      </x:c>
      <x:c r="G237" s="39" t="str">
        <x:v>지난해 우리나라의 대미 자동차 수출액은 347억달러(약 50조원)로 전체 대미 수출의 27%(1위)를 차지했다.</x:v>
      </x:c>
      <x:c r="H237" s="38" t="str">
        <x:v>LEVEL</x:v>
      </x:c>
      <x:c r="I237" s="40" t="str">
        <x:v>347.0</x:v>
      </x:c>
      <x:c r="J237" s="38" t="str">
        <x:v>['조원', '%']</x:v>
      </x:c>
      <x:c r="K237" s="38" t="str">
        <x:v>REFUTES</x:v>
      </x:c>
      <x:c r="L237" s="38" t="str">
        <x:v>FULL_KOSIS_MCP</x:v>
      </x:c>
      <x:c r="M237" s="38" t="str">
        <x:v>Y</x:v>
      </x:c>
      <x:c r="N237" s="38" t="str">
        <x:v>Y</x:v>
      </x:c>
      <x:c r="O237" s="38" t="str">
        <x:v>N</x:v>
      </x:c>
      <x:c r="P237" s="38" t="str">
        <x:v>360</x:v>
      </x:c>
      <x:c r="Q237" s="38" t="str">
        <x:v>DT_1R11006_FRM101</x:v>
      </x:c>
      <x:c r="R237" s="38" t="str">
        <x:v>국가별 수출액 수입액</x:v>
      </x:c>
      <x:c r="S237" s="38" t="str">
        <x:v>13102103829E.00</x:v>
      </x:c>
      <x:c r="T237" s="38" t="str">
        <x:v>N/A</x:v>
      </x:c>
      <x:c r="U237" s="38" t="str">
        <x:v>13103103829T1</x:v>
      </x:c>
      <x:c r="V237" s="38" t="str">
        <x:v>수출액</x:v>
      </x:c>
      <x:c r="W237" s="38" t="str">
        <x:v>계</x:v>
      </x:c>
      <x:c r="X237" s="38" t="str">
        <x:v>Y</x:v>
      </x:c>
      <x:c r="Y237" s="38" t="str">
        <x:v>2024</x:v>
      </x:c>
      <x:c r="Z237" s="38" t="str">
        <x:v>N/A</x:v>
      </x:c>
      <x:c r="AA237" s="41" t="str">
        <x:v>683609488.0</x:v>
      </x:c>
      <x:c r="AB237" s="41" t="str">
        <x:v>N/A</x:v>
      </x:c>
      <x:c r="AC237" s="41" t="str">
        <x:v>천달러</x:v>
      </x:c>
      <x:c r="AD237" s="41" t="str">
        <x:v>6836.09488</x:v>
      </x:c>
      <x:c r="AE237" s="39" t="str">
        <x:v>MCP current value × source unit scale (1e-05)</x:v>
      </x:c>
      <x:c r="AF237" s="39" t="str">
        <x:v>MCP_ACTUAL_VALUE_CONFIRMED</x:v>
      </x:c>
      <x:c r="AG237" s="39" t="str">
        <x:v>KOSIS_MCP_GET_DATA</x:v>
      </x:c>
      <x:c r="AH237" s="39" t="str">
        <x:v>https://kosis.kr/statHtml/statHtml.do?orgId=360&amp;tblId=DT_1R11006_FRM101&amp;vw_cd=MT_ZTITLE&amp;list_id=&amp;seqNo=&amp;lang_mode=ko&amp;language=kor&amp;obj_var_id=&amp;itm_id=&amp;conn_path=MT_ZTITLE</x:v>
      </x:c>
      <x:c r="AI237" s="38" t="str">
        <x:v>201-240</x:v>
      </x:c>
      <x:c r="AJ237" s="38" t="n">
        <x:v>46240.02700002315</x:v>
      </x:c>
    </x:row>
    <x:row r="238">
      <x:c r="A238" s="38" t="str">
        <x:v>MCPG-237</x:v>
      </x:c>
      <x:c r="B238" s="38" t="str">
        <x:v>C04739</x:v>
      </x:c>
      <x:c r="C238" s="102" t="str">
        <x:v>A0600</x:v>
      </x:c>
      <x:c r="D238" s="39" t="str">
        <x:v>독이 된 車수출 호조… 美, 우회로 뚫은 日 대신 한국이 ‘관세 폭격’ 1순위</x:v>
      </x:c>
      <x:c r="E238" s="39" t="str">
        <x:v>2025-02-16</x:v>
      </x:c>
      <x:c r="F238" s="39" t="str">
        <x:v>https://www.chosun.com/economy/auto/2025/02/16/RWC2Y3QWARFH3DJB2DG5YS4VQY</x:v>
      </x:c>
      <x:c r="G238" s="39" t="str">
        <x:v>◇ 독이 된 車수출 호조… 우회로 뚫은 日 대신 한국이 ‘관세 폭격’ 1순위 16일 미국 상무부에 따르면, 지난해 미국이 수입한 자동차 802만대 중 한국산은 154만대에 달했다.</x:v>
      </x:c>
      <x:c r="H238" s="38" t="str">
        <x:v>LEVEL</x:v>
      </x:c>
      <x:c r="I238" s="40" t="str">
        <x:v>1.0</x:v>
      </x:c>
      <x:c r="J238" s="38" t="str">
        <x:v>['일']</x:v>
      </x:c>
      <x:c r="K238" s="38" t="str">
        <x:v>REFUTES</x:v>
      </x:c>
      <x:c r="L238" s="38" t="str">
        <x:v>FULL_KOSIS_MCP</x:v>
      </x:c>
      <x:c r="M238" s="38" t="str">
        <x:v>Y</x:v>
      </x:c>
      <x:c r="N238" s="38" t="str">
        <x:v>Y</x:v>
      </x:c>
      <x:c r="O238" s="38" t="str">
        <x:v>N</x:v>
      </x:c>
      <x:c r="P238" s="38" t="str">
        <x:v>360</x:v>
      </x:c>
      <x:c r="Q238" s="38" t="str">
        <x:v>DT_1R11006_FRM101</x:v>
      </x:c>
      <x:c r="R238" s="38" t="str">
        <x:v>국가별 수출액 수입액</x:v>
      </x:c>
      <x:c r="S238" s="38" t="str">
        <x:v>13102103829E.US</x:v>
      </x:c>
      <x:c r="T238" s="38" t="str">
        <x:v>N/A</x:v>
      </x:c>
      <x:c r="U238" s="38" t="str">
        <x:v>13103103829T1</x:v>
      </x:c>
      <x:c r="V238" s="38" t="str">
        <x:v>수출액</x:v>
      </x:c>
      <x:c r="W238" s="38" t="str">
        <x:v>미국</x:v>
      </x:c>
      <x:c r="X238" s="38" t="str">
        <x:v>Y</x:v>
      </x:c>
      <x:c r="Y238" s="38" t="str">
        <x:v>2024</x:v>
      </x:c>
      <x:c r="Z238" s="38" t="str">
        <x:v>N/A</x:v>
      </x:c>
      <x:c r="AA238" s="41" t="str">
        <x:v>127761371.0</x:v>
      </x:c>
      <x:c r="AB238" s="41" t="str">
        <x:v>N/A</x:v>
      </x:c>
      <x:c r="AC238" s="41" t="str">
        <x:v>천달러</x:v>
      </x:c>
      <x:c r="AD238" s="41" t="str">
        <x:v>127761371.0</x:v>
      </x:c>
      <x:c r="AE238" s="39" t="str">
        <x:v>MCP current value × source unit scale (1)</x:v>
      </x:c>
      <x:c r="AF238" s="39" t="str">
        <x:v>MCP_ACTUAL_VALUE_CONFIRMED</x:v>
      </x:c>
      <x:c r="AG238" s="39" t="str">
        <x:v>KOSIS_MCP_GET_DATA</x:v>
      </x:c>
      <x:c r="AH238" s="39" t="str">
        <x:v>https://kosis.kr/statHtml/statHtml.do?orgId=360&amp;tblId=DT_1R11006_FRM101&amp;vw_cd=MT_ZTITLE&amp;list_id=&amp;seqNo=&amp;lang_mode=ko&amp;language=kor&amp;obj_var_id=&amp;itm_id=&amp;conn_path=MT_ZTITLE</x:v>
      </x:c>
      <x:c r="AI238" s="38" t="str">
        <x:v>201-240</x:v>
      </x:c>
      <x:c r="AJ238" s="38" t="n">
        <x:v>46240.02700002315</x:v>
      </x:c>
    </x:row>
    <x:row r="239">
      <x:c r="A239" s="38" t="str">
        <x:v>MCPG-238</x:v>
      </x:c>
      <x:c r="B239" s="38" t="str">
        <x:v>C04891</x:v>
      </x:c>
      <x:c r="C239" s="102" t="str">
        <x:v>A0621</x:v>
      </x:c>
      <x:c r="D239" s="39" t="str">
        <x:v>지난달 제조업 취업자, 12년 만에 가장 적어</x:v>
      </x:c>
      <x:c r="E239" s="39" t="str">
        <x:v>2025-02-17</x:v>
      </x:c>
      <x:c r="F239" s="39" t="str">
        <x:v>https://www.chosun.com/economy/economy_general/2025/02/17/S73YKZJAG5G6RMIWCEKFVLGH2Q</x:v>
      </x:c>
      <x:c r="G239" s="39" t="str">
        <x:v>16일 통계청에 따르면, 지난달 전체 취업자 수는 2787만8000명으로 1년 전 대비 13만5000명 늘었다.</x:v>
      </x:c>
      <x:c r="H239" s="38" t="str">
        <x:v>CHANGE_RATE</x:v>
      </x:c>
      <x:c r="I239" s="40" t="str">
        <x:v>5000.0</x:v>
      </x:c>
      <x:c r="J239" s="38" t="str">
        <x:v>['일', '명', '년', '명']</x:v>
      </x:c>
      <x:c r="K239" s="38" t="str">
        <x:v>REFUTES</x:v>
      </x:c>
      <x:c r="L239" s="38" t="str">
        <x:v>FULL_KOSIS_MCP</x:v>
      </x:c>
      <x:c r="M239" s="38" t="str">
        <x:v>Y</x:v>
      </x:c>
      <x:c r="N239" s="38" t="str">
        <x:v>Y</x:v>
      </x:c>
      <x:c r="O239" s="38" t="str">
        <x:v>N</x:v>
      </x:c>
      <x:c r="P239" s="38" t="str">
        <x:v>101</x:v>
      </x:c>
      <x:c r="Q239" s="38" t="str">
        <x:v>DT_1DA7001S</x:v>
      </x:c>
      <x:c r="R239" s="38" t="str">
        <x:v>성별 경제활동인구 총괄</x:v>
      </x:c>
      <x:c r="S239" s="38" t="str">
        <x:v>0</x:v>
      </x:c>
      <x:c r="T239" s="38" t="str">
        <x:v>N/A</x:v>
      </x:c>
      <x:c r="U239" s="38" t="str">
        <x:v>T30</x:v>
      </x:c>
      <x:c r="V239" s="38" t="str">
        <x:v>취업자</x:v>
      </x:c>
      <x:c r="W239" s="38" t="str">
        <x:v>계</x:v>
      </x:c>
      <x:c r="X239" s="38" t="str">
        <x:v>M</x:v>
      </x:c>
      <x:c r="Y239" s="38" t="str">
        <x:v>202501</x:v>
      </x:c>
      <x:c r="Z239" s="38" t="str">
        <x:v>202412</x:v>
      </x:c>
      <x:c r="AA239" s="41" t="str">
        <x:v>27878.0</x:v>
      </x:c>
      <x:c r="AB239" s="41" t="str">
        <x:v>28041.1</x:v>
      </x:c>
      <x:c r="AC239" s="41" t="str">
        <x:v>천명</x:v>
      </x:c>
      <x:c r="AD239" s="41" t="str">
        <x:v>-0.5816462264319109</x:v>
      </x:c>
      <x:c r="AE239" s="39" t="str">
        <x:v>(MCP current − MCP previous) / |MCP previous| × 100</x:v>
      </x:c>
      <x:c r="AF239" s="39" t="str">
        <x:v>MCP_ACTUAL_VALUE_CONFIRMED</x:v>
      </x:c>
      <x:c r="AG239" s="39" t="str">
        <x:v>KOSIS_MCP_GET_DATA</x:v>
      </x:c>
      <x:c r="AH239" s="39" t="str">
        <x:v>https://kosis.kr/statHtml/statHtml.do?orgId=101&amp;tblId=DT_1DA7001S&amp;vw_cd=MT_ZTITLE&amp;list_id=&amp;seqNo=&amp;lang_mode=ko&amp;language=kor&amp;obj_var_id=&amp;itm_id=&amp;conn_path=MT_ZTITLE</x:v>
      </x:c>
      <x:c r="AI239" s="38" t="str">
        <x:v>201-240</x:v>
      </x:c>
      <x:c r="AJ239" s="38" t="n">
        <x:v>46240.02700002315</x:v>
      </x:c>
    </x:row>
    <x:row r="240">
      <x:c r="A240" s="38" t="str">
        <x:v>MCPG-239</x:v>
      </x:c>
      <x:c r="B240" s="38" t="str">
        <x:v>C04896</x:v>
      </x:c>
      <x:c r="C240" s="102" t="str">
        <x:v>A0621</x:v>
      </x:c>
      <x:c r="D240" s="39" t="str">
        <x:v>지난달 제조업 취업자, 12년 만에 가장 적어</x:v>
      </x:c>
      <x:c r="E240" s="39" t="str">
        <x:v>2025-02-17</x:v>
      </x:c>
      <x:c r="F240" s="39" t="str">
        <x:v>https://www.chosun.com/economy/economy_general/2025/02/17/S73YKZJAG5G6RMIWCEKFVLGH2Q</x:v>
      </x:c>
      <x:c r="G240" s="39" t="str">
        <x:v>지난달 도소매 취업자 수는 1년 전보다 9만1000명 줄어든 318만3000명으로, 2013년 관련 통계 집계 이후 1월 기준 역대 최저다.</x:v>
      </x:c>
      <x:c r="H240" s="38" t="str">
        <x:v>LEVEL</x:v>
      </x:c>
      <x:c r="I240" s="40" t="str">
        <x:v>3000.0</x:v>
      </x:c>
      <x:c r="J240" s="38" t="str">
        <x:v>['년', '명', '명', '년', '월']</x:v>
      </x:c>
      <x:c r="K240" s="38" t="str">
        <x:v>REFUTES</x:v>
      </x:c>
      <x:c r="L240" s="38" t="str">
        <x:v>FULL_KOSIS_MCP</x:v>
      </x:c>
      <x:c r="M240" s="38" t="str">
        <x:v>Y</x:v>
      </x:c>
      <x:c r="N240" s="38" t="str">
        <x:v>Y</x:v>
      </x:c>
      <x:c r="O240" s="38" t="str">
        <x:v>N</x:v>
      </x:c>
      <x:c r="P240" s="38" t="str">
        <x:v>101</x:v>
      </x:c>
      <x:c r="Q240" s="38" t="str">
        <x:v>DT_1DA7001S</x:v>
      </x:c>
      <x:c r="R240" s="38" t="str">
        <x:v>성별 경제활동인구 총괄</x:v>
      </x:c>
      <x:c r="S240" s="38" t="str">
        <x:v>0</x:v>
      </x:c>
      <x:c r="T240" s="38" t="str">
        <x:v>N/A</x:v>
      </x:c>
      <x:c r="U240" s="38" t="str">
        <x:v>T30</x:v>
      </x:c>
      <x:c r="V240" s="38" t="str">
        <x:v>취업자</x:v>
      </x:c>
      <x:c r="W240" s="38" t="str">
        <x:v>계</x:v>
      </x:c>
      <x:c r="X240" s="38" t="str">
        <x:v>M</x:v>
      </x:c>
      <x:c r="Y240" s="38" t="str">
        <x:v>202501</x:v>
      </x:c>
      <x:c r="Z240" s="38" t="str">
        <x:v>N/A</x:v>
      </x:c>
      <x:c r="AA240" s="41" t="str">
        <x:v>27878.0</x:v>
      </x:c>
      <x:c r="AB240" s="41" t="str">
        <x:v>N/A</x:v>
      </x:c>
      <x:c r="AC240" s="41" t="str">
        <x:v>천명</x:v>
      </x:c>
      <x:c r="AD240" s="41" t="str">
        <x:v>27878.0</x:v>
      </x:c>
      <x:c r="AE240" s="39" t="str">
        <x:v>MCP current value × source unit scale (1)</x:v>
      </x:c>
      <x:c r="AF240" s="39" t="str">
        <x:v>MCP_ACTUAL_VALUE_CONFIRMED</x:v>
      </x:c>
      <x:c r="AG240" s="39" t="str">
        <x:v>KOSIS_MCP_GET_DATA</x:v>
      </x:c>
      <x:c r="AH240" s="39" t="str">
        <x:v>https://kosis.kr/statHtml/statHtml.do?orgId=101&amp;tblId=DT_1DA7001S&amp;vw_cd=MT_ZTITLE&amp;list_id=&amp;seqNo=&amp;lang_mode=ko&amp;language=kor&amp;obj_var_id=&amp;itm_id=&amp;conn_path=MT_ZTITLE</x:v>
      </x:c>
      <x:c r="AI240" s="38" t="str">
        <x:v>201-240</x:v>
      </x:c>
      <x:c r="AJ240" s="38" t="n">
        <x:v>46240.02700003472</x:v>
      </x:c>
    </x:row>
    <x:row r="241">
      <x:c r="A241" s="38" t="str">
        <x:v>MCPG-240</x:v>
      </x:c>
      <x:c r="B241" s="38" t="str">
        <x:v>C04901</x:v>
      </x:c>
      <x:c r="C241" s="102" t="str">
        <x:v>A0622</x:v>
      </x:c>
      <x:c r="D241" s="39" t="str">
        <x:v>신선 과일 수입액 14억달러 ‘역대 최대’</x:v>
      </x:c>
      <x:c r="E241" s="39" t="str">
        <x:v>2025-02-17</x:v>
      </x:c>
      <x:c r="F241" s="39" t="str">
        <x:v>https://www.chosun.com/economy/economy_general/2025/02/17/XGPCLCETARBGZNCXTX6IRIKMCI</x:v>
      </x:c>
      <x:c r="G241" s="39" t="str">
        <x:v>1 작년 오렌지·파인애플 등 신선 과일 수입액이 14억달러(약 2조220억원)를 넘어서 역대 최대를 기록했다.</x:v>
      </x:c>
      <x:c r="H241" s="38" t="str">
        <x:v>LEVEL</x:v>
      </x:c>
      <x:c r="I241" s="40" t="str">
        <x:v>14.0</x:v>
      </x:c>
      <x:c r="J241" s="38" t="str">
        <x:v>['억원']</x:v>
      </x:c>
      <x:c r="K241" s="38" t="str">
        <x:v>REFUTES</x:v>
      </x:c>
      <x:c r="L241" s="38" t="str">
        <x:v>FULL_KOSIS_MCP</x:v>
      </x:c>
      <x:c r="M241" s="38" t="str">
        <x:v>Y</x:v>
      </x:c>
      <x:c r="N241" s="38" t="str">
        <x:v>Y</x:v>
      </x:c>
      <x:c r="O241" s="38" t="str">
        <x:v>N</x:v>
      </x:c>
      <x:c r="P241" s="38" t="str">
        <x:v>360</x:v>
      </x:c>
      <x:c r="Q241" s="38" t="str">
        <x:v>DT_1R11001_FRM101</x:v>
      </x:c>
      <x:c r="R241" s="38" t="str">
        <x:v>품목별 수출액 수입액</x:v>
      </x:c>
      <x:c r="S241" s="38" t="str">
        <x:v>13102112831A.A</x:v>
      </x:c>
      <x:c r="T241" s="38" t="str">
        <x:v>N/A</x:v>
      </x:c>
      <x:c r="U241" s="38" t="str">
        <x:v>13103112831T2</x:v>
      </x:c>
      <x:c r="V241" s="38" t="str">
        <x:v>수입액</x:v>
      </x:c>
      <x:c r="W241" s="38" t="str">
        <x:v>총액</x:v>
      </x:c>
      <x:c r="X241" s="38" t="str">
        <x:v>Y</x:v>
      </x:c>
      <x:c r="Y241" s="38" t="str">
        <x:v>2024</x:v>
      </x:c>
      <x:c r="Z241" s="38" t="str">
        <x:v>N/A</x:v>
      </x:c>
      <x:c r="AA241" s="41" t="str">
        <x:v>631767209.0</x:v>
      </x:c>
      <x:c r="AB241" s="41" t="str">
        <x:v>N/A</x:v>
      </x:c>
      <x:c r="AC241" s="41" t="str">
        <x:v>천달러</x:v>
      </x:c>
      <x:c r="AD241" s="41" t="str">
        <x:v>6317.672090000001</x:v>
      </x:c>
      <x:c r="AE241" s="39" t="str">
        <x:v>MCP current value × source unit scale (1e-05)</x:v>
      </x:c>
      <x:c r="AF241" s="39" t="str">
        <x:v>MCP_ACTUAL_VALUE_CONFIRMED</x:v>
      </x:c>
      <x:c r="AG241" s="39" t="str">
        <x:v>KOSIS_MCP_GET_DATA</x:v>
      </x:c>
      <x:c r="AH241" s="39" t="str">
        <x:v>https://kosis.kr/statHtml/statHtml.do?orgId=360&amp;tblId=DT_1R11001_FRM101&amp;vw_cd=MT_ZTITLE&amp;list_id=&amp;seqNo=&amp;lang_mode=ko&amp;language=kor&amp;obj_var_id=&amp;itm_id=&amp;conn_path=MT_ZTITLE</x:v>
      </x:c>
      <x:c r="AI241" s="38" t="str">
        <x:v>201-240</x:v>
      </x:c>
      <x:c r="AJ241" s="38" t="n">
        <x:v>46240.02700003472</x:v>
      </x:c>
    </x:row>
    <x:row r="242">
      <x:c r="A242" s="38" t="str">
        <x:v>MCPG-241</x:v>
      </x:c>
      <x:c r="B242" s="38" t="str">
        <x:v>C04902</x:v>
      </x:c>
      <x:c r="C242" s="102" t="str">
        <x:v>A0622</x:v>
      </x:c>
      <x:c r="D242" s="39" t="str">
        <x:v>신선 과일 수입액 14억달러 ‘역대 최대’</x:v>
      </x:c>
      <x:c r="E242" s="39" t="str">
        <x:v>2025-02-17</x:v>
      </x:c>
      <x:c r="F242" s="39" t="str">
        <x:v>https://www.chosun.com/economy/economy_general/2025/02/17/XGPCLCETARBGZNCXTX6IRIKMCI</x:v>
      </x:c>
      <x:c r="G242" s="39" t="str">
        <x:v>16일 한국농촌경제연구원이 집계한 바나나·파인애플·망고·아보카도·포도·키위·체리·석류·블루베리·오렌지·레몬·자몽 등 12대 주요 신선 과일 수입액은 14억4700만달러(약 2조899억원)로 전년보다 20.1% 증가했다.</x:v>
      </x:c>
      <x:c r="H242" s="38" t="str">
        <x:v>CHANGE_RATE</x:v>
      </x:c>
      <x:c r="I242" s="40" t="str">
        <x:v>20.1</x:v>
      </x:c>
      <x:c r="J242" s="38" t="str">
        <x:v>['일', '억원', '%']</x:v>
      </x:c>
      <x:c r="K242" s="38" t="str">
        <x:v>REFUTES</x:v>
      </x:c>
      <x:c r="L242" s="38" t="str">
        <x:v>FULL_KOSIS_MCP</x:v>
      </x:c>
      <x:c r="M242" s="38" t="str">
        <x:v>Y</x:v>
      </x:c>
      <x:c r="N242" s="38" t="str">
        <x:v>Y</x:v>
      </x:c>
      <x:c r="O242" s="38" t="str">
        <x:v>N</x:v>
      </x:c>
      <x:c r="P242" s="38" t="str">
        <x:v>360</x:v>
      </x:c>
      <x:c r="Q242" s="38" t="str">
        <x:v>DT_1R11001_FRM101</x:v>
      </x:c>
      <x:c r="R242" s="38" t="str">
        <x:v>품목별 수출액 수입액</x:v>
      </x:c>
      <x:c r="S242" s="38" t="str">
        <x:v>13102112831A.A</x:v>
      </x:c>
      <x:c r="T242" s="38" t="str">
        <x:v>N/A</x:v>
      </x:c>
      <x:c r="U242" s="38" t="str">
        <x:v>13103112831T2</x:v>
      </x:c>
      <x:c r="V242" s="38" t="str">
        <x:v>수입액</x:v>
      </x:c>
      <x:c r="W242" s="38" t="str">
        <x:v>총액</x:v>
      </x:c>
      <x:c r="X242" s="38" t="str">
        <x:v>Y</x:v>
      </x:c>
      <x:c r="Y242" s="38" t="str">
        <x:v>2024</x:v>
      </x:c>
      <x:c r="Z242" s="38" t="str">
        <x:v>2023</x:v>
      </x:c>
      <x:c r="AA242" s="41" t="str">
        <x:v>631767209.0</x:v>
      </x:c>
      <x:c r="AB242" s="41" t="str">
        <x:v>642572126.0</x:v>
      </x:c>
      <x:c r="AC242" s="41" t="str">
        <x:v>천달러</x:v>
      </x:c>
      <x:c r="AD242" s="41" t="str">
        <x:v>-1.6815103803615659</x:v>
      </x:c>
      <x:c r="AE242" s="39" t="str">
        <x:v>(MCP current − MCP previous) / |MCP previous| × 100</x:v>
      </x:c>
      <x:c r="AF242" s="39" t="str">
        <x:v>MCP_ACTUAL_VALUE_CONFIRMED</x:v>
      </x:c>
      <x:c r="AG242" s="39" t="str">
        <x:v>KOSIS_MCP_GET_DATA</x:v>
      </x:c>
      <x:c r="AH242" s="39" t="str">
        <x:v>https://kosis.kr/statHtml/statHtml.do?orgId=360&amp;tblId=DT_1R11001_FRM101&amp;vw_cd=MT_ZTITLE&amp;list_id=&amp;seqNo=&amp;lang_mode=ko&amp;language=kor&amp;obj_var_id=&amp;itm_id=&amp;conn_path=MT_ZTITLE</x:v>
      </x:c>
      <x:c r="AI242" s="38" t="str">
        <x:v>201-240</x:v>
      </x:c>
      <x:c r="AJ242" s="38" t="n">
        <x:v>46240.02700003472</x:v>
      </x:c>
    </x:row>
    <x:row r="243">
      <x:c r="A243" s="38" t="str">
        <x:v>MCPG-242</x:v>
      </x:c>
      <x:c r="B243" s="38" t="str">
        <x:v>C04903</x:v>
      </x:c>
      <x:c r="C243" s="102" t="str">
        <x:v>A0622</x:v>
      </x:c>
      <x:c r="D243" s="39" t="str">
        <x:v>신선 과일 수입액 14억달러 ‘역대 최대’</x:v>
      </x:c>
      <x:c r="E243" s="39" t="str">
        <x:v>2025-02-17</x:v>
      </x:c>
      <x:c r="F243" s="39" t="str">
        <x:v>https://www.chosun.com/economy/economy_general/2025/02/17/XGPCLCETARBGZNCXTX6IRIKMCI</x:v>
      </x:c>
      <x:c r="G243" s="39" t="str">
        <x:v>작년 수입액은 직전 최대치였던 2018년(13억3200만달러)보다도 8.6% 많다.</x:v>
      </x:c>
      <x:c r="H243" s="38" t="str">
        <x:v>LEVEL</x:v>
      </x:c>
      <x:c r="I243" s="40" t="str">
        <x:v>3200.0</x:v>
      </x:c>
      <x:c r="J243" s="38" t="str">
        <x:v>['년', '%']</x:v>
      </x:c>
      <x:c r="K243" s="38" t="str">
        <x:v>REFUTES</x:v>
      </x:c>
      <x:c r="L243" s="38" t="str">
        <x:v>FULL_KOSIS_MCP</x:v>
      </x:c>
      <x:c r="M243" s="38" t="str">
        <x:v>Y</x:v>
      </x:c>
      <x:c r="N243" s="38" t="str">
        <x:v>Y</x:v>
      </x:c>
      <x:c r="O243" s="38" t="str">
        <x:v>N</x:v>
      </x:c>
      <x:c r="P243" s="38" t="str">
        <x:v>360</x:v>
      </x:c>
      <x:c r="Q243" s="38" t="str">
        <x:v>DT_1R11001_FRM101</x:v>
      </x:c>
      <x:c r="R243" s="38" t="str">
        <x:v>품목별 수출액 수입액</x:v>
      </x:c>
      <x:c r="S243" s="38" t="str">
        <x:v>13102112831A.A</x:v>
      </x:c>
      <x:c r="T243" s="38" t="str">
        <x:v>N/A</x:v>
      </x:c>
      <x:c r="U243" s="38" t="str">
        <x:v>13103112831T2</x:v>
      </x:c>
      <x:c r="V243" s="38" t="str">
        <x:v>수입액</x:v>
      </x:c>
      <x:c r="W243" s="38" t="str">
        <x:v>총액</x:v>
      </x:c>
      <x:c r="X243" s="38" t="str">
        <x:v>Y</x:v>
      </x:c>
      <x:c r="Y243" s="38" t="str">
        <x:v>2024</x:v>
      </x:c>
      <x:c r="Z243" s="38" t="str">
        <x:v>N/A</x:v>
      </x:c>
      <x:c r="AA243" s="41" t="str">
        <x:v>631767209.0</x:v>
      </x:c>
      <x:c r="AB243" s="41" t="str">
        <x:v>N/A</x:v>
      </x:c>
      <x:c r="AC243" s="41" t="str">
        <x:v>천달러</x:v>
      </x:c>
      <x:c r="AD243" s="41" t="str">
        <x:v>63176720.89999999</x:v>
      </x:c>
      <x:c r="AE243" s="39" t="str">
        <x:v>MCP current value × source unit scale (0.1)</x:v>
      </x:c>
      <x:c r="AF243" s="39" t="str">
        <x:v>MCP_ACTUAL_VALUE_CONFIRMED</x:v>
      </x:c>
      <x:c r="AG243" s="39" t="str">
        <x:v>KOSIS_MCP_GET_DATA</x:v>
      </x:c>
      <x:c r="AH243" s="39" t="str">
        <x:v>https://kosis.kr/statHtml/statHtml.do?orgId=360&amp;tblId=DT_1R11001_FRM101&amp;vw_cd=MT_ZTITLE&amp;list_id=&amp;seqNo=&amp;lang_mode=ko&amp;language=kor&amp;obj_var_id=&amp;itm_id=&amp;conn_path=MT_ZTITLE</x:v>
      </x:c>
      <x:c r="AI243" s="38" t="str">
        <x:v>201-240</x:v>
      </x:c>
      <x:c r="AJ243" s="38" t="n">
        <x:v>46240.02700003472</x:v>
      </x:c>
    </x:row>
    <x:row r="244">
      <x:c r="A244" s="38" t="str">
        <x:v>MCPG-243</x:v>
      </x:c>
      <x:c r="B244" s="38" t="str">
        <x:v>C04905</x:v>
      </x:c>
      <x:c r="C244" s="102" t="str">
        <x:v>A0622</x:v>
      </x:c>
      <x:c r="D244" s="39" t="str">
        <x:v>신선 과일 수입액 14억달러 ‘역대 최대’</x:v>
      </x:c>
      <x:c r="E244" s="39" t="str">
        <x:v>2025-02-17</x:v>
      </x:c>
      <x:c r="F244" s="39" t="str">
        <x:v>https://www.chosun.com/economy/economy_general/2025/02/17/XGPCLCETARBGZNCXTX6IRIKMCI</x:v>
      </x:c>
      <x:c r="G244" s="39" t="str">
        <x:v>통계청에 따르면, 작년 과일 품목 가운데 배의 소비자 물가 지수가 71.9% 올라 가장 큰 상승 폭을 보였고, 이어 귤(46.2%)·감(36.6%)·사과(30.2%)·복숭아(13.1%)·수박(9.6%)·포도(9.1%) 등의 순이었다.</x:v>
      </x:c>
      <x:c r="H244" s="38" t="str">
        <x:v>CHANGE_RATE</x:v>
      </x:c>
      <x:c r="I244" s="40" t="str">
        <x:v>9.1</x:v>
      </x:c>
      <x:c r="J244" s="38" t="str">
        <x:v>['%', '%', '%', '%', '%', '%', '%']</x:v>
      </x:c>
      <x:c r="K244" s="38" t="str">
        <x:v>REFUTES</x:v>
      </x:c>
      <x:c r="L244" s="38" t="str">
        <x:v>FULL_KOSIS_MCP</x:v>
      </x:c>
      <x:c r="M244" s="38" t="str">
        <x:v>Y</x:v>
      </x:c>
      <x:c r="N244" s="38" t="str">
        <x:v>Y</x:v>
      </x:c>
      <x:c r="O244" s="38" t="str">
        <x:v>N</x:v>
      </x:c>
      <x:c r="P244" s="38" t="str">
        <x:v>101</x:v>
      </x:c>
      <x:c r="Q244" s="38" t="str">
        <x:v>DT_1J22003</x:v>
      </x:c>
      <x:c r="R244" s="38" t="str">
        <x:v>소비자물가지수(2020＝100)</x:v>
      </x:c>
      <x:c r="S244" s="38" t="str">
        <x:v>T10</x:v>
      </x:c>
      <x:c r="T244" s="38" t="str">
        <x:v>N/A</x:v>
      </x:c>
      <x:c r="U244" s="38" t="str">
        <x:v>T</x:v>
      </x:c>
      <x:c r="V244" s="38" t="str">
        <x:v>소비자물가지수(총지수)</x:v>
      </x:c>
      <x:c r="W244" s="38" t="str">
        <x:v>전국</x:v>
      </x:c>
      <x:c r="X244" s="38" t="str">
        <x:v>Y</x:v>
      </x:c>
      <x:c r="Y244" s="38" t="str">
        <x:v>2024</x:v>
      </x:c>
      <x:c r="Z244" s="38" t="str">
        <x:v>2023</x:v>
      </x:c>
      <x:c r="AA244" s="41" t="str">
        <x:v>114.18</x:v>
      </x:c>
      <x:c r="AB244" s="41" t="str">
        <x:v>111.59</x:v>
      </x:c>
      <x:c r="AC244" s="41" t="str">
        <x:v>2020＝100</x:v>
      </x:c>
      <x:c r="AD244" s="41" t="str">
        <x:v>2.3209965050631807</x:v>
      </x:c>
      <x:c r="AE244" s="39" t="str">
        <x:v>(MCP current − MCP previous) / |MCP previous| × 100</x:v>
      </x:c>
      <x:c r="AF244" s="39" t="str">
        <x:v>MCP_ACTUAL_VALUE_CONFIRMED</x:v>
      </x:c>
      <x:c r="AG244" s="39" t="str">
        <x:v>KOSIS_MCP_GET_DATA</x:v>
      </x:c>
      <x:c r="AH244" s="39" t="str">
        <x:v>https://kosis.kr/statHtml/statHtml.do?orgId=101&amp;tblId=DT_1J22003&amp;vw_cd=MT_ZTITLE&amp;list_id=&amp;seqNo=&amp;lang_mode=ko&amp;language=kor&amp;obj_var_id=&amp;itm_id=&amp;conn_path=MT_ZTITLE</x:v>
      </x:c>
      <x:c r="AI244" s="38" t="str">
        <x:v>201-240</x:v>
      </x:c>
      <x:c r="AJ244" s="38" t="n">
        <x:v>46240.02700003472</x:v>
      </x:c>
    </x:row>
    <x:row r="245">
      <x:c r="A245" s="38" t="str">
        <x:v>MCPG-244</x:v>
      </x:c>
      <x:c r="B245" s="38" t="str">
        <x:v>C04943</x:v>
      </x:c>
      <x:c r="C245" s="102" t="str">
        <x:v>A0628</x:v>
      </x:c>
      <x:c r="D245" s="39" t="str">
        <x:v>월급쟁이가 낸 세금 첫 60조원 돌파… 법인세 육박</x:v>
      </x:c>
      <x:c r="E245" s="39" t="str">
        <x:v>2025-02-18</x:v>
      </x:c>
      <x:c r="F245" s="39" t="str">
        <x:v>https://www.chosun.com/economy/economy_general/2025/02/18/ACYHDWUYD5CGBP3AODXWYTSYVQ</x:v>
      </x:c>
      <x:c r="G245" s="39" t="str">
        <x:v>17일 임광현 더불어민주당 의원과 기획재정부에 따르면, 지난해 근로소득세 수입은 61조원으로 전년보다 3.1%(1조9000억원) 증가했다.</x:v>
      </x:c>
      <x:c r="H245" s="38" t="str">
        <x:v>CHANGE_RATE</x:v>
      </x:c>
      <x:c r="I245" s="40" t="str">
        <x:v>3.1</x:v>
      </x:c>
      <x:c r="J245" s="38" t="str">
        <x:v>['일', '조원', '%', '억원']</x:v>
      </x:c>
      <x:c r="K245" s="38" t="str">
        <x:v>REFUTES</x:v>
      </x:c>
      <x:c r="L245" s="38" t="str">
        <x:v>FULL_KOSIS_MCP</x:v>
      </x:c>
      <x:c r="M245" s="38" t="str">
        <x:v>Y</x:v>
      </x:c>
      <x:c r="N245" s="38" t="str">
        <x:v>Y</x:v>
      </x:c>
      <x:c r="O245" s="38" t="str">
        <x:v>N</x:v>
      </x:c>
      <x:c r="P245" s="38" t="str">
        <x:v>360</x:v>
      </x:c>
      <x:c r="Q245" s="38" t="str">
        <x:v>DT_1R11001_FRM101</x:v>
      </x:c>
      <x:c r="R245" s="38" t="str">
        <x:v>품목별 수출액 수입액</x:v>
      </x:c>
      <x:c r="S245" s="38" t="str">
        <x:v>13102112831A.A</x:v>
      </x:c>
      <x:c r="T245" s="38" t="str">
        <x:v>N/A</x:v>
      </x:c>
      <x:c r="U245" s="38" t="str">
        <x:v>13103112831T2</x:v>
      </x:c>
      <x:c r="V245" s="38" t="str">
        <x:v>수입액</x:v>
      </x:c>
      <x:c r="W245" s="38" t="str">
        <x:v>총액</x:v>
      </x:c>
      <x:c r="X245" s="38" t="str">
        <x:v>Y</x:v>
      </x:c>
      <x:c r="Y245" s="38" t="str">
        <x:v>2024</x:v>
      </x:c>
      <x:c r="Z245" s="38" t="str">
        <x:v>2023</x:v>
      </x:c>
      <x:c r="AA245" s="41" t="str">
        <x:v>631767209.0</x:v>
      </x:c>
      <x:c r="AB245" s="41" t="str">
        <x:v>642572126.0</x:v>
      </x:c>
      <x:c r="AC245" s="41" t="str">
        <x:v>천달러</x:v>
      </x:c>
      <x:c r="AD245" s="41" t="str">
        <x:v>-1.6815103803615659</x:v>
      </x:c>
      <x:c r="AE245" s="39" t="str">
        <x:v>(MCP current − MCP previous) / |MCP previous| × 100</x:v>
      </x:c>
      <x:c r="AF245" s="39" t="str">
        <x:v>MCP_ACTUAL_VALUE_CONFIRMED</x:v>
      </x:c>
      <x:c r="AG245" s="39" t="str">
        <x:v>KOSIS_MCP_GET_DATA</x:v>
      </x:c>
      <x:c r="AH245" s="39" t="str">
        <x:v>https://kosis.kr/statHtml/statHtml.do?orgId=360&amp;tblId=DT_1R11001_FRM101&amp;vw_cd=MT_ZTITLE&amp;list_id=&amp;seqNo=&amp;lang_mode=ko&amp;language=kor&amp;obj_var_id=&amp;itm_id=&amp;conn_path=MT_ZTITLE</x:v>
      </x:c>
      <x:c r="AI245" s="38" t="str">
        <x:v>201-240</x:v>
      </x:c>
      <x:c r="AJ245" s="38" t="n">
        <x:v>46240.02700003472</x:v>
      </x:c>
    </x:row>
    <x:row r="246">
      <x:c r="A246" s="38" t="str">
        <x:v>MCPG-245</x:v>
      </x:c>
      <x:c r="B246" s="38" t="str">
        <x:v>C04997</x:v>
      </x:c>
      <x:c r="C246" s="102" t="str">
        <x:v>A0635</x:v>
      </x:c>
      <x:c r="D246" s="39" t="str">
        <x:v>지난달 보건·복지 산업 종사자 비율, 사상 첫 10% 넘어서</x:v>
      </x:c>
      <x:c r="E246" s="39" t="str">
        <x:v>2025-02-18</x:v>
      </x:c>
      <x:c r="F246" s="39" t="str">
        <x:v>https://www.chosun.com/economy/economy_general/2025/02/18/Y6DKXUY4YJAXDAFM64QYC5MPFU</x:v>
      </x:c>
      <x:c r="G246" s="39" t="str">
        <x:v>17일 통계청은 지난달 보건·사회복지 서비스업 종사자가 281만2000명으로 전체 취업자(2787만8000명)의 10.1%를 차지했다고 밝혔다.</x:v>
      </x:c>
      <x:c r="H246" s="38" t="str">
        <x:v>LEVEL</x:v>
      </x:c>
      <x:c r="I246" s="40" t="str">
        <x:v>10.1</x:v>
      </x:c>
      <x:c r="J246" s="38" t="str">
        <x:v>['일', '명', '명', '%']</x:v>
      </x:c>
      <x:c r="K246" s="38" t="str">
        <x:v>REFUTES</x:v>
      </x:c>
      <x:c r="L246" s="38" t="str">
        <x:v>FULL_KOSIS_MCP</x:v>
      </x:c>
      <x:c r="M246" s="38" t="str">
        <x:v>Y</x:v>
      </x:c>
      <x:c r="N246" s="38" t="str">
        <x:v>Y</x:v>
      </x:c>
      <x:c r="O246" s="38" t="str">
        <x:v>N</x:v>
      </x:c>
      <x:c r="P246" s="38" t="str">
        <x:v>101</x:v>
      </x:c>
      <x:c r="Q246" s="38" t="str">
        <x:v>DT_1DA7001S</x:v>
      </x:c>
      <x:c r="R246" s="38" t="str">
        <x:v>성별 경제활동인구 총괄</x:v>
      </x:c>
      <x:c r="S246" s="38" t="str">
        <x:v>0</x:v>
      </x:c>
      <x:c r="T246" s="38" t="str">
        <x:v>N/A</x:v>
      </x:c>
      <x:c r="U246" s="38" t="str">
        <x:v>T30</x:v>
      </x:c>
      <x:c r="V246" s="38" t="str">
        <x:v>취업자</x:v>
      </x:c>
      <x:c r="W246" s="38" t="str">
        <x:v>계</x:v>
      </x:c>
      <x:c r="X246" s="38" t="str">
        <x:v>M</x:v>
      </x:c>
      <x:c r="Y246" s="38" t="str">
        <x:v>202501</x:v>
      </x:c>
      <x:c r="Z246" s="38" t="str">
        <x:v>N/A</x:v>
      </x:c>
      <x:c r="AA246" s="41" t="str">
        <x:v>27878.0</x:v>
      </x:c>
      <x:c r="AB246" s="41" t="str">
        <x:v>N/A</x:v>
      </x:c>
      <x:c r="AC246" s="41" t="str">
        <x:v>천명</x:v>
      </x:c>
      <x:c r="AD246" s="41" t="str">
        <x:v>27878.0</x:v>
      </x:c>
      <x:c r="AE246" s="39" t="str">
        <x:v>MCP current value × source unit scale (1)</x:v>
      </x:c>
      <x:c r="AF246" s="39" t="str">
        <x:v>MCP_ACTUAL_VALUE_CONFIRMED</x:v>
      </x:c>
      <x:c r="AG246" s="39" t="str">
        <x:v>KOSIS_MCP_GET_DATA</x:v>
      </x:c>
      <x:c r="AH246" s="39" t="str">
        <x:v>https://kosis.kr/statHtml/statHtml.do?orgId=101&amp;tblId=DT_1DA7001S&amp;vw_cd=MT_ZTITLE&amp;list_id=&amp;seqNo=&amp;lang_mode=ko&amp;language=kor&amp;obj_var_id=&amp;itm_id=&amp;conn_path=MT_ZTITLE</x:v>
      </x:c>
      <x:c r="AI246" s="38" t="str">
        <x:v>201-240</x:v>
      </x:c>
      <x:c r="AJ246" s="38" t="n">
        <x:v>46240.02700003472</x:v>
      </x:c>
    </x:row>
    <x:row r="247">
      <x:c r="A247" s="38" t="str">
        <x:v>MCPG-246</x:v>
      </x:c>
      <x:c r="B247" s="38" t="str">
        <x:v>C05033</x:v>
      </x:c>
      <x:c r="C247" s="102" t="str">
        <x:v>A0641</x:v>
      </x:c>
      <x:c r="D247" s="39" t="str">
        <x:v>현대차 年100만대 ‘美 관세 폭격’ 땐... 영업익 35% 줄어</x:v>
      </x:c>
      <x:c r="E247" s="39" t="str">
        <x:v>2025-02-19</x:v>
      </x:c>
      <x:c r="F247" s="39" t="str">
        <x:v>https://www.chosun.com/economy/auto/2025/02/19/JED6ZDX5LFHF5N4F3IGNW6UE7U</x:v>
      </x:c>
      <x:c r="G247" s="39" t="str">
        <x:v>◇미국 현지 생산 비율, 한국은 최하위권 대미 자동차 수출이 급증하며 우리나라가 지난해 미국 수입차 시장에서 멕시코에 이어 2위에 오른 상황에서 자동차 관세 25% 부과는 치명적일 것이라는 관측이다.</x:v>
      </x:c>
      <x:c r="H247" s="38" t="str">
        <x:v>CHANGE_RATE</x:v>
      </x:c>
      <x:c r="I247" s="40" t="str">
        <x:v>25.0</x:v>
      </x:c>
      <x:c r="J247" s="38" t="str">
        <x:v>['%']</x:v>
      </x:c>
      <x:c r="K247" s="38" t="str">
        <x:v>REFUTES</x:v>
      </x:c>
      <x:c r="L247" s="38" t="str">
        <x:v>FULL_KOSIS_MCP</x:v>
      </x:c>
      <x:c r="M247" s="38" t="str">
        <x:v>Y</x:v>
      </x:c>
      <x:c r="N247" s="38" t="str">
        <x:v>Y</x:v>
      </x:c>
      <x:c r="O247" s="38" t="str">
        <x:v>N</x:v>
      </x:c>
      <x:c r="P247" s="38" t="str">
        <x:v>360</x:v>
      </x:c>
      <x:c r="Q247" s="38" t="str">
        <x:v>DT_1R11006_FRM101</x:v>
      </x:c>
      <x:c r="R247" s="38" t="str">
        <x:v>국가별 수출액 수입액</x:v>
      </x:c>
      <x:c r="S247" s="38" t="str">
        <x:v>13102103829E.US</x:v>
      </x:c>
      <x:c r="T247" s="38" t="str">
        <x:v>N/A</x:v>
      </x:c>
      <x:c r="U247" s="38" t="str">
        <x:v>13103103829T1</x:v>
      </x:c>
      <x:c r="V247" s="38" t="str">
        <x:v>수출액</x:v>
      </x:c>
      <x:c r="W247" s="38" t="str">
        <x:v>미국</x:v>
      </x:c>
      <x:c r="X247" s="38" t="str">
        <x:v>Y</x:v>
      </x:c>
      <x:c r="Y247" s="38" t="str">
        <x:v>2024</x:v>
      </x:c>
      <x:c r="Z247" s="38" t="str">
        <x:v>2023</x:v>
      </x:c>
      <x:c r="AA247" s="41" t="str">
        <x:v>127761371.0</x:v>
      </x:c>
      <x:c r="AB247" s="41" t="str">
        <x:v>115696334.0</x:v>
      </x:c>
      <x:c r="AC247" s="41" t="str">
        <x:v>천달러</x:v>
      </x:c>
      <x:c r="AD247" s="41" t="str">
        <x:v>10.428192997022705</x:v>
      </x:c>
      <x:c r="AE247" s="39" t="str">
        <x:v>(MCP current − MCP previous) / |MCP previous| × 100</x:v>
      </x:c>
      <x:c r="AF247" s="39" t="str">
        <x:v>MCP_ACTUAL_VALUE_CONFIRMED</x:v>
      </x:c>
      <x:c r="AG247" s="39" t="str">
        <x:v>KOSIS_MCP_GET_DATA</x:v>
      </x:c>
      <x:c r="AH247" s="39" t="str">
        <x:v>https://kosis.kr/statHtml/statHtml.do?orgId=360&amp;tblId=DT_1R11006_FRM101&amp;vw_cd=MT_ZTITLE&amp;list_id=&amp;seqNo=&amp;lang_mode=ko&amp;language=kor&amp;obj_var_id=&amp;itm_id=&amp;conn_path=MT_ZTITLE</x:v>
      </x:c>
      <x:c r="AI247" s="38" t="str">
        <x:v>201-240</x:v>
      </x:c>
      <x:c r="AJ247" s="38" t="n">
        <x:v>46240.02700003472</x:v>
      </x:c>
    </x:row>
    <x:row r="248">
      <x:c r="A248" s="38" t="str">
        <x:v>MCPG-247</x:v>
      </x:c>
      <x:c r="B248" s="38" t="str">
        <x:v>C05068</x:v>
      </x:c>
      <x:c r="C248" s="102" t="str">
        <x:v>A0645</x:v>
      </x:c>
      <x:c r="D248" s="39" t="str">
        <x:v>美 금리 안 내린대도… 각국 “경기 방어 우선” 속속 인하</x:v>
      </x:c>
      <x:c r="E248" s="39" t="str">
        <x:v>2025-02-19</x:v>
      </x:c>
      <x:c r="F248" s="39" t="str">
        <x:v>https://www.chosun.com/economy/economy_general/2025/02/19/EG54RI24PVA6PPINNPFJCXTYMM</x:v>
      </x:c>
      <x:c r="G248" s="39" t="str">
        <x:v>2022년 기준 인도는 미국에 평균 9.5%의 관세를, 미국은 인도 제품에 3%의 관세를 부과하고 있다.</x:v>
      </x:c>
      <x:c r="H248" s="38" t="str">
        <x:v>LEVEL</x:v>
      </x:c>
      <x:c r="I248" s="40" t="str">
        <x:v>3.0</x:v>
      </x:c>
      <x:c r="J248" s="38" t="str">
        <x:v>['년', '%', '%']</x:v>
      </x:c>
      <x:c r="K248" s="38" t="str">
        <x:v>REFUTES</x:v>
      </x:c>
      <x:c r="L248" s="38" t="str">
        <x:v>FULL_KOSIS_MCP</x:v>
      </x:c>
      <x:c r="M248" s="38" t="str">
        <x:v>Y</x:v>
      </x:c>
      <x:c r="N248" s="38" t="str">
        <x:v>Y</x:v>
      </x:c>
      <x:c r="O248" s="38" t="str">
        <x:v>N</x:v>
      </x:c>
      <x:c r="P248" s="38" t="str">
        <x:v>360</x:v>
      </x:c>
      <x:c r="Q248" s="38" t="str">
        <x:v>DT_1R11006_FRM101</x:v>
      </x:c>
      <x:c r="R248" s="38" t="str">
        <x:v>국가별 수출액 수입액</x:v>
      </x:c>
      <x:c r="S248" s="38" t="str">
        <x:v>13102103829E.US</x:v>
      </x:c>
      <x:c r="T248" s="38" t="str">
        <x:v>N/A</x:v>
      </x:c>
      <x:c r="U248" s="38" t="str">
        <x:v>13103103829T1</x:v>
      </x:c>
      <x:c r="V248" s="38" t="str">
        <x:v>수출액</x:v>
      </x:c>
      <x:c r="W248" s="38" t="str">
        <x:v>미국</x:v>
      </x:c>
      <x:c r="X248" s="38" t="str">
        <x:v>Y</x:v>
      </x:c>
      <x:c r="Y248" s="38" t="str">
        <x:v>2022</x:v>
      </x:c>
      <x:c r="Z248" s="38" t="str">
        <x:v>N/A</x:v>
      </x:c>
      <x:c r="AA248" s="41" t="str">
        <x:v>109765705.0</x:v>
      </x:c>
      <x:c r="AB248" s="41" t="str">
        <x:v>N/A</x:v>
      </x:c>
      <x:c r="AC248" s="41" t="str">
        <x:v>천달러</x:v>
      </x:c>
      <x:c r="AD248" s="41" t="str">
        <x:v>109765705.0</x:v>
      </x:c>
      <x:c r="AE248" s="39" t="str">
        <x:v>MCP current value × source unit scale (1)</x:v>
      </x:c>
      <x:c r="AF248" s="39" t="str">
        <x:v>MCP_ACTUAL_VALUE_CONFIRMED</x:v>
      </x:c>
      <x:c r="AG248" s="39" t="str">
        <x:v>KOSIS_MCP_GET_DATA</x:v>
      </x:c>
      <x:c r="AH248" s="39" t="str">
        <x:v>https://kosis.kr/statHtml/statHtml.do?orgId=360&amp;tblId=DT_1R11006_FRM101&amp;vw_cd=MT_ZTITLE&amp;list_id=&amp;seqNo=&amp;lang_mode=ko&amp;language=kor&amp;obj_var_id=&amp;itm_id=&amp;conn_path=MT_ZTITLE</x:v>
      </x:c>
      <x:c r="AI248" s="38" t="str">
        <x:v>201-240</x:v>
      </x:c>
      <x:c r="AJ248" s="38" t="n">
        <x:v>46240.02700003472</x:v>
      </x:c>
    </x:row>
    <x:row r="249">
      <x:c r="A249" s="38" t="str">
        <x:v>MCPG-248</x:v>
      </x:c>
      <x:c r="B249" s="38" t="str">
        <x:v>C05092</x:v>
      </x:c>
      <x:c r="C249" s="102" t="str">
        <x:v>A0647</x:v>
      </x:c>
      <x:c r="D249" s="39" t="str">
        <x:v>작년 전국 17시도서 소매 판매 모두 감소</x:v>
      </x:c>
      <x:c r="E249" s="39" t="str">
        <x:v>2025-02-19</x:v>
      </x:c>
      <x:c r="F249" s="39" t="str">
        <x:v>https://www.chosun.com/economy/economy_general/2025/02/19/RJYMVJUXSVDMLGCBFOUI5AVBXE</x:v>
      </x:c>
      <x:c r="G249" s="39" t="str">
        <x:v>작년 4분기(10~12월) 전국 소매 판매액은 1년 전 대비 2.1% 줄어 3분기(-1.9%)보다 낙폭이 커졌다.</x:v>
      </x:c>
      <x:c r="H249" s="38" t="str">
        <x:v>LEVEL</x:v>
      </x:c>
      <x:c r="I249" s="40" t="str">
        <x:v>-1.9</x:v>
      </x:c>
      <x:c r="J249" s="38" t="str">
        <x:v>['분', '월', '년', '%', '분', '%']</x:v>
      </x:c>
      <x:c r="K249" s="38" t="str">
        <x:v>REFUTES</x:v>
      </x:c>
      <x:c r="L249" s="38" t="str">
        <x:v>FULL_KOSIS_MCP</x:v>
      </x:c>
      <x:c r="M249" s="38" t="str">
        <x:v>Y</x:v>
      </x:c>
      <x:c r="N249" s="38" t="str">
        <x:v>Y</x:v>
      </x:c>
      <x:c r="O249" s="38" t="str">
        <x:v>N</x:v>
      </x:c>
      <x:c r="P249" s="38" t="str">
        <x:v>101</x:v>
      </x:c>
      <x:c r="Q249" s="38" t="str">
        <x:v>DT_1K41012</x:v>
      </x:c>
      <x:c r="R249" s="38" t="str">
        <x:v>재별 및 상품군별 소매판매액지수(2020＝100.0)</x:v>
      </x:c>
      <x:c r="S249" s="38" t="str">
        <x:v>G0</x:v>
      </x:c>
      <x:c r="T249" s="38" t="str">
        <x:v>N/A</x:v>
      </x:c>
      <x:c r="U249" s="38" t="str">
        <x:v>T2</x:v>
      </x:c>
      <x:c r="V249" s="38" t="str">
        <x:v>불변지수</x:v>
      </x:c>
      <x:c r="W249" s="38" t="str">
        <x:v>총지수</x:v>
      </x:c>
      <x:c r="X249" s="38" t="str">
        <x:v>M</x:v>
      </x:c>
      <x:c r="Y249" s="38" t="str">
        <x:v>202412</x:v>
      </x:c>
      <x:c r="Z249" s="38" t="str">
        <x:v>N/A</x:v>
      </x:c>
      <x:c r="AA249" s="41" t="str">
        <x:v>106.0</x:v>
      </x:c>
      <x:c r="AB249" s="41" t="str">
        <x:v>N/A</x:v>
      </x:c>
      <x:c r="AC249" s="41" t="str">
        <x:v>2020＝100</x:v>
      </x:c>
      <x:c r="AD249" s="41" t="str">
        <x:v>106.0</x:v>
      </x:c>
      <x:c r="AE249" s="39" t="str">
        <x:v>MCP current value × source unit scale (1)</x:v>
      </x:c>
      <x:c r="AF249" s="39" t="str">
        <x:v>MCP_ACTUAL_VALUE_CONFIRMED</x:v>
      </x:c>
      <x:c r="AG249" s="39" t="str">
        <x:v>KOSIS_MCP_GET_DATA</x:v>
      </x:c>
      <x:c r="AH249" s="39" t="str">
        <x:v>https://kosis.kr/statHtml/statHtml.do?orgId=101&amp;tblId=DT_1K41012&amp;vw_cd=MT_ZTITLE&amp;list_id=&amp;seqNo=&amp;lang_mode=ko&amp;language=kor&amp;obj_var_id=&amp;itm_id=&amp;conn_path=MT_ZTITLE</x:v>
      </x:c>
      <x:c r="AI249" s="38" t="str">
        <x:v>201-240</x:v>
      </x:c>
      <x:c r="AJ249" s="38" t="n">
        <x:v>46240.02700003472</x:v>
      </x:c>
    </x:row>
    <x:row r="250">
      <x:c r="A250" s="38" t="str">
        <x:v>MCPG-249</x:v>
      </x:c>
      <x:c r="B250" s="38" t="str">
        <x:v>C05095</x:v>
      </x:c>
      <x:c r="C250" s="102" t="str">
        <x:v>A0647</x:v>
      </x:c>
      <x:c r="D250" s="39" t="str">
        <x:v>작년 전국 17시도서 소매 판매 모두 감소</x:v>
      </x:c>
      <x:c r="E250" s="39" t="str">
        <x:v>2025-02-19</x:v>
      </x:c>
      <x:c r="F250" s="39" t="str">
        <x:v>https://www.chosun.com/economy/economy_general/2025/02/19/RJYMVJUXSVDMLGCBFOUI5AVBXE</x:v>
      </x:c>
      <x:c r="G250" s="39" t="str">
        <x:v>반면 작년 전국 광공업 생산은 반도체를 중심으로 수출이 회복되면서 전년보다 4.1% 증가했다.</x:v>
      </x:c>
      <x:c r="H250" s="38" t="str">
        <x:v>CHANGE_RATE</x:v>
      </x:c>
      <x:c r="I250" s="40" t="str">
        <x:v>4.1</x:v>
      </x:c>
      <x:c r="J250" s="38" t="str">
        <x:v>['%']</x:v>
      </x:c>
      <x:c r="K250" s="38" t="str">
        <x:v>REFUTES</x:v>
      </x:c>
      <x:c r="L250" s="38" t="str">
        <x:v>FULL_KOSIS_MCP</x:v>
      </x:c>
      <x:c r="M250" s="38" t="str">
        <x:v>Y</x:v>
      </x:c>
      <x:c r="N250" s="38" t="str">
        <x:v>Y</x:v>
      </x:c>
      <x:c r="O250" s="38" t="str">
        <x:v>N</x:v>
      </x:c>
      <x:c r="P250" s="38" t="str">
        <x:v>360</x:v>
      </x:c>
      <x:c r="Q250" s="38" t="str">
        <x:v>DT_1R11001_FRM101</x:v>
      </x:c>
      <x:c r="R250" s="38" t="str">
        <x:v>품목별 수출액 수입액</x:v>
      </x:c>
      <x:c r="S250" s="38" t="str">
        <x:v>13102112831A.7763</x:v>
      </x:c>
      <x:c r="T250" s="38" t="str">
        <x:v>N/A</x:v>
      </x:c>
      <x:c r="U250" s="38" t="str">
        <x:v>13103112831T1</x:v>
      </x:c>
      <x:c r="V250" s="38" t="str">
        <x:v>수출액</x:v>
      </x:c>
      <x:c r="W250" s="38" t="str">
        <x:v>다이오드트랜지스터 기타 이와 유사한 반도체 디바이스</x:v>
      </x:c>
      <x:c r="X250" s="38" t="str">
        <x:v>Y</x:v>
      </x:c>
      <x:c r="Y250" s="38" t="str">
        <x:v>2024</x:v>
      </x:c>
      <x:c r="Z250" s="38" t="str">
        <x:v>2023</x:v>
      </x:c>
      <x:c r="AA250" s="41" t="str">
        <x:v>3601287.0</x:v>
      </x:c>
      <x:c r="AB250" s="41" t="str">
        <x:v>3702260.0</x:v>
      </x:c>
      <x:c r="AC250" s="41" t="str">
        <x:v>천달러</x:v>
      </x:c>
      <x:c r="AD250" s="41" t="str">
        <x:v>-2.727334114837964</x:v>
      </x:c>
      <x:c r="AE250" s="39" t="str">
        <x:v>(MCP current − MCP previous) / |MCP previous| × 100</x:v>
      </x:c>
      <x:c r="AF250" s="39" t="str">
        <x:v>MCP_ACTUAL_VALUE_CONFIRMED</x:v>
      </x:c>
      <x:c r="AG250" s="39" t="str">
        <x:v>KOSIS_MCP_GET_DATA</x:v>
      </x:c>
      <x:c r="AH250" s="39" t="str">
        <x:v>https://kosis.kr/statHtml/statHtml.do?orgId=360&amp;tblId=DT_1R11001_FRM101&amp;vw_cd=MT_ZTITLE&amp;list_id=&amp;seqNo=&amp;lang_mode=ko&amp;language=kor&amp;obj_var_id=&amp;itm_id=&amp;conn_path=MT_ZTITLE</x:v>
      </x:c>
      <x:c r="AI250" s="38" t="str">
        <x:v>201-240</x:v>
      </x:c>
      <x:c r="AJ250" s="38" t="n">
        <x:v>46240.02700003472</x:v>
      </x:c>
    </x:row>
    <x:row r="251">
      <x:c r="A251" s="42" t="str">
        <x:v>MCPG-250</x:v>
      </x:c>
      <x:c r="B251" s="42" t="str">
        <x:v>C05152</x:v>
      </x:c>
      <x:c r="C251" s="103" t="str">
        <x:v>A0655</x:v>
      </x:c>
      <x:c r="D251" s="43" t="str">
        <x:v>1월 생산자물가 17개월만에 최대폭 상승</x:v>
      </x:c>
      <x:c r="E251" s="43" t="str">
        <x:v>2025-02-20</x:v>
      </x:c>
      <x:c r="F251" s="43" t="str">
        <x:v>https://www.chosun.com/economy/economy_general/2025/02/20/4S55OVIERZDWLG56V5RA5UHGCM</x:v>
      </x:c>
      <x:c r="G251" s="43" t="str">
        <x:v>지난달 생산자물가는 전년과 비교해도 1.7%가량 올랐다.</x:v>
      </x:c>
      <x:c r="H251" s="42" t="str">
        <x:v>CHANGE_RATE</x:v>
      </x:c>
      <x:c r="I251" s="44" t="str">
        <x:v>1.7</x:v>
      </x:c>
      <x:c r="J251" s="42" t="str">
        <x:v>['%']</x:v>
      </x:c>
      <x:c r="K251" s="42" t="str">
        <x:v>REFUTES</x:v>
      </x:c>
      <x:c r="L251" s="42" t="str">
        <x:v>FULL_KOSIS_MCP</x:v>
      </x:c>
      <x:c r="M251" s="42" t="str">
        <x:v>Y</x:v>
      </x:c>
      <x:c r="N251" s="42" t="str">
        <x:v>Y</x:v>
      </x:c>
      <x:c r="O251" s="42" t="str">
        <x:v>N</x:v>
      </x:c>
      <x:c r="P251" s="42" t="str">
        <x:v>101</x:v>
      </x:c>
      <x:c r="Q251" s="42" t="str">
        <x:v>DT_1J22042</x:v>
      </x:c>
      <x:c r="R251" s="42" t="str">
        <x:v>월별 소비자물가 등락률</x:v>
      </x:c>
      <x:c r="S251" s="42" t="str">
        <x:v>0</x:v>
      </x:c>
      <x:c r="T251" s="42" t="str">
        <x:v>N/A</x:v>
      </x:c>
      <x:c r="U251" s="42" t="str">
        <x:v>T03</x:v>
      </x:c>
      <x:c r="V251" s="42" t="str">
        <x:v>전년동월비(%)</x:v>
      </x:c>
      <x:c r="W251" s="42" t="str">
        <x:v>총지수</x:v>
      </x:c>
      <x:c r="X251" s="42" t="str">
        <x:v>M</x:v>
      </x:c>
      <x:c r="Y251" s="42" t="str">
        <x:v>202401</x:v>
      </x:c>
      <x:c r="Z251" s="42" t="str">
        <x:v>202312</x:v>
      </x:c>
      <x:c r="AA251" s="45" t="str">
        <x:v>2.8</x:v>
      </x:c>
      <x:c r="AB251" s="45" t="str">
        <x:v>3.2</x:v>
      </x:c>
      <x:c r="AC251" s="45" t="str">
        <x:v>%</x:v>
      </x:c>
      <x:c r="AD251" s="45" t="str">
        <x:v>-12.50000000000001</x:v>
      </x:c>
      <x:c r="AE251" s="43" t="str">
        <x:v>(MCP current − MCP previous) / |MCP previous| × 100</x:v>
      </x:c>
      <x:c r="AF251" s="43" t="str">
        <x:v>MCP_ACTUAL_VALUE_CONFIRMED</x:v>
      </x:c>
      <x:c r="AG251" s="43" t="str">
        <x:v>KOSIS_MCP_GET_DATA</x:v>
      </x:c>
      <x:c r="AH251" s="43" t="str">
        <x:v>https://kosis.kr/statHtml/statHtml.do?orgId=101&amp;tblId=DT_1J22042&amp;vw_cd=MT_ZTITLE&amp;list_id=&amp;seqNo=&amp;lang_mode=ko&amp;language=kor&amp;obj_var_id=&amp;itm_id=&amp;conn_path=MT_ZTITLE</x:v>
      </x:c>
      <x:c r="AI251" s="42" t="str">
        <x:v>201-240</x:v>
      </x:c>
      <x:c r="AJ251" s="42" t="n">
        <x:v>46240.02700003472</x:v>
      </x:c>
    </x:row>
  </x:sheetData>
  <x:conditionalFormatting sqref="K2:K251">
    <x:cfRule type="containsText" dxfId="0" priority="1" operator="containsText" text="SUPPORTS"/>
    <x:cfRule type="containsText" dxfId="1" priority="2" operator="containsText" text="REFUTES"/>
  </x:conditionalFormatting>
  <x:conditionalFormatting sqref="L2:L251">
    <x:cfRule type="containsText" dxfId="2" priority="3" operator="containsText" text="FULL_KOSIS_MCP"/>
  </x:conditionalFormatting>
  <x:pageMargins left="0.7" right="0.7" top="0.75" bottom="0.75" header="0.3" footer="0.3"/>
  <x:tableParts count="1">
    <x:tablePart xmlns:r="http://schemas.openxmlformats.org/officeDocument/2006/relationships" r:id="R061c04254a604f0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4" max="4" width="25" hidden="0" customWidth="1"/>
    <x:col min="5" max="5" width="12" hidden="0" customWidth="1"/>
  </x:cols>
  <x:sheetData>
    <x:row r="1" ht="38" customHeight="1">
      <x:c r="A1" s="62" t="str">
        <x:v>KOSIS MCP 실제조회 골드셋 250</x:v>
      </x:c>
      <x:c r="B1" s="62"/>
      <x:c r="C1" s="62"/>
      <x:c r="D1" s="62"/>
      <x:c r="E1" s="62"/>
      <x:c r="F1" s="62"/>
    </x:row>
    <x:row r="3">
      <x:c r="A3" s="68" t="str">
        <x:v>검증 항목</x:v>
      </x:c>
      <x:c r="B3" s="69" t="str">
        <x:v>값</x:v>
      </x:c>
      <x:c r="D3" s="68" t="str">
        <x:v>KOSIS 통계표</x:v>
      </x:c>
      <x:c r="E3" s="69" t="str">
        <x:v>행 수</x:v>
      </x:c>
    </x:row>
    <x:row r="4">
      <x:c r="A4" s="72" t="str">
        <x:v>전체 행</x:v>
      </x:c>
      <x:c r="B4" s="84" t="n">
        <x:f>COUNTA('Gold 250'!A2:A251)</x:f>
        <x:v>250</x:v>
      </x:c>
      <x:c r="D4" s="72" t="str">
        <x:v>DT_1R11001_FRM101</x:v>
      </x:c>
      <x:c r="E4" s="78" t="n">
        <x:f>COUNTIF('Gold 250'!Q2:Q251,D4)</x:f>
        <x:v>75</x:v>
      </x:c>
    </x:row>
    <x:row r="5">
      <x:c r="A5" s="73" t="str">
        <x:v>SUPPORTS</x:v>
      </x:c>
      <x:c r="B5" s="85" t="n">
        <x:f>COUNTIF('Gold 250'!K2:K251,"SUPPORTS")</x:f>
        <x:v>28</x:v>
      </x:c>
      <x:c r="D5" s="73" t="str">
        <x:v>DT_1R11006_FRM101</x:v>
      </x:c>
      <x:c r="E5" s="79" t="n">
        <x:f>COUNTIF('Gold 250'!Q3:Q252,D5)</x:f>
        <x:v>43</x:v>
      </x:c>
    </x:row>
    <x:row r="6">
      <x:c r="A6" s="73" t="str">
        <x:v>REFUTES</x:v>
      </x:c>
      <x:c r="B6" s="85" t="n">
        <x:f>COUNTIF('Gold 250'!K2:K251,"REFUTES")</x:f>
        <x:v>222</x:v>
      </x:c>
      <x:c r="D6" s="73" t="str">
        <x:v>DT_1J22042</x:v>
      </x:c>
      <x:c r="E6" s="79" t="n">
        <x:f>COUNTIF('Gold 250'!Q4:Q253,D6)</x:f>
        <x:v>41</x:v>
      </x:c>
    </x:row>
    <x:row r="7">
      <x:c r="A7" s="73" t="str">
        <x:v>FULL_KOSIS_MCP</x:v>
      </x:c>
      <x:c r="B7" s="85" t="n">
        <x:f>COUNTIF('Gold 250'!L2:L251,"FULL_KOSIS_MCP")</x:f>
        <x:v>250</x:v>
      </x:c>
      <x:c r="D7" s="73" t="str">
        <x:v>DT_1J22003</x:v>
      </x:c>
      <x:c r="E7" s="79" t="n">
        <x:f>COUNTIF('Gold 250'!Q5:Q254,D7)</x:f>
        <x:v>25</x:v>
      </x:c>
    </x:row>
    <x:row r="8">
      <x:c r="A8" s="73" t="str">
        <x:v>gold_ready=Y</x:v>
      </x:c>
      <x:c r="B8" s="85" t="n">
        <x:f>COUNTIF('Gold 250'!N2:N251,"Y")</x:f>
        <x:v>250</x:v>
      </x:c>
      <x:c r="D8" s="73" t="str">
        <x:v>DT_1DA7001S</x:v>
      </x:c>
      <x:c r="E8" s="79" t="n">
        <x:f>COUNTIF('Gold 250'!Q6:Q255,D8)</x:f>
        <x:v>28</x:v>
      </x:c>
    </x:row>
    <x:row r="9">
      <x:c r="A9" s="73" t="str">
        <x:v>human_reviewed=N</x:v>
      </x:c>
      <x:c r="B9" s="85" t="n">
        <x:f>COUNTIF('Gold 250'!O2:O251,"N")</x:f>
        <x:v>250</x:v>
      </x:c>
      <x:c r="D9" s="73" t="str">
        <x:v>DT_1DA7002S</x:v>
      </x:c>
      <x:c r="E9" s="79" t="n">
        <x:f>COUNTIF('Gold 250'!Q7:Q256,D9)</x:f>
        <x:v>13</x:v>
      </x:c>
    </x:row>
    <x:row r="10">
      <x:c r="A10" s="73" t="str">
        <x:v>제목·URL 공란</x:v>
      </x:c>
      <x:c r="B10" s="85" t="n">
        <x:f>COUNTBLANK('Gold 250'!D2:D251)+COUNTBLANK('Gold 250'!F2:F251)</x:f>
        <x:v>0</x:v>
      </x:c>
      <x:c r="D10" s="73" t="str">
        <x:v>INH_1B8000F_01</x:v>
      </x:c>
      <x:c r="E10" s="79" t="n">
        <x:f>COUNTIF('Gold 250'!Q8:Q257,D10)</x:f>
        <x:v>7</x:v>
      </x:c>
    </x:row>
    <x:row r="11">
      <x:c r="A11" s="73" t="str">
        <x:v>실제값·증빙URL 공란</x:v>
      </x:c>
      <x:c r="B11" s="85" t="n">
        <x:f>COUNTBLANK('Gold 250'!AD2:AD251)+COUNTBLANK('Gold 250'!AH2:AH251)</x:f>
        <x:v>0</x:v>
      </x:c>
      <x:c r="D11" s="73" t="str">
        <x:v>DT_1K41012</x:v>
      </x:c>
      <x:c r="E11" s="79" t="n">
        <x:f>COUNTIF('Gold 250'!Q9:Q258,D11)</x:f>
        <x:v>13</x:v>
      </x:c>
    </x:row>
    <x:row r="12">
      <x:c r="A12" s="74" t="str">
        <x:v>고유 claim 수</x:v>
      </x:c>
      <x:c r="B12" s="86" t="n">
        <x:f>COUNTA('Gold 250'!B2:B251)</x:f>
        <x:v>250</x:v>
      </x:c>
      <x:c r="D12" s="73" t="str">
        <x:v>DT_1KC2020</x:v>
      </x:c>
      <x:c r="E12" s="79" t="n">
        <x:f>COUNTIF('Gold 250'!Q10:Q259,D12)</x:f>
        <x:v>4</x:v>
      </x:c>
    </x:row>
    <x:row r="13">
      <x:c r="D13" s="90" t="str">
        <x:v>DT_1EA1011</x:v>
      </x:c>
      <x:c r="E13" s="92" t="n">
        <x:f>COUNTIF('Gold 250'!Q11:Q260,D13)</x:f>
        <x:v>1</x:v>
      </x:c>
    </x:row>
    <x:row r="15">
      <x:c r="A15" s="100" t="str">
        <x:v>모든 행은 KOSIS MCP kosis_get_data 실제 응답에서 현재값과 필요 시 비교값을 확보했고, 사람 검수 없이 자동 라벨링했습니다.</x:v>
      </x:c>
      <x:c r="B15" s="100"/>
      <x:c r="C15" s="100"/>
      <x:c r="D15" s="100"/>
      <x:c r="E15" s="100"/>
      <x:c r="F15" s="100"/>
    </x:row>
    <x:row r="16">
      <x:c r="A16" s="100"/>
      <x:c r="B16" s="100"/>
      <x:c r="C16" s="100"/>
      <x:c r="D16" s="100"/>
      <x:c r="E16" s="100"/>
      <x:c r="F16" s="100"/>
    </x:row>
  </x:sheetData>
  <x:mergeCells>
    <x:mergeCell ref="A1:F1"/>
    <x:mergeCell ref="A15:F16"/>
  </x:mergeCells>
  <x:pageMargins left="0.7" right="0.7" top="0.75" bottom="0.75" header="0.3" footer="0.3"/>
</x:worksheet>
</file>