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cdb985a7f24a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9cf98376404e4eaf"/>
    <x:sheet xmlns:r="http://schemas.openxmlformats.org/officeDocument/2006/relationships" name="전체지표" sheetId="2" r:id="R18d97c9f9f5d49d4"/>
    <x:sheet xmlns:r="http://schemas.openxmlformats.org/officeDocument/2006/relationships" name="분야별지표" sheetId="3" r:id="R76df3dae285a4d03"/>
    <x:sheet xmlns:r="http://schemas.openxmlformats.org/officeDocument/2006/relationships" name="원본평가" sheetId="4" r:id="R9cda1531f28c4f3c"/>
    <x:sheet xmlns:r="http://schemas.openxmlformats.org/officeDocument/2006/relationships" name="개선백로그" sheetId="5" r:id="Ra05f6a645bfc40b3"/>
    <x:sheet xmlns:r="http://schemas.openxmlformats.org/officeDocument/2006/relationships" name="검토결과100" sheetId="6" r:id="R4d6d428586e640e6"/>
    <x:sheet xmlns:r="http://schemas.openxmlformats.org/officeDocument/2006/relationships" name="오류분석68" sheetId="7" r:id="Ref75deebe84140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&quot;건&quot;"/>
    <x:numFmt numFmtId="201" formatCode="0.0%"/>
    <x:numFmt numFmtId="202" formatCode="@"/>
    <x:numFmt numFmtId="203" formatCode="0%"/>
    <x:numFmt numFmtId="204" formatCode="#,##0"/>
  </x:numFmts>
  <x:fonts count="18">
    <x:font>
      <x:sz val="11"/>
      <x:name val="Carlito"/>
    </x:font>
    <x:font>
      <x:b/>
      <x:sz val="20"/>
      <x:color rgb="FFFFFFFF"/>
      <x:name val="Carlito"/>
    </x:font>
    <x:font>
      <x:i/>
      <x:sz val="11"/>
      <x:color rgb="FFFFFFFF"/>
      <x:name val="Carlito"/>
    </x:font>
    <x:font>
      <x:b/>
      <x:sz val="11"/>
      <x:color rgb="FFFFFFFF"/>
      <x:name val="Carlito"/>
    </x:font>
    <x:font>
      <x:b/>
      <x:sz val="18"/>
      <x:color rgb="FF1F2937"/>
      <x:name val="Carlito"/>
    </x:font>
    <x:font>
      <x:b/>
      <x:sz val="18"/>
      <x:color rgb="FFB91C1C"/>
      <x:name val="Carlito"/>
    </x:font>
    <x:font>
      <x:b/>
      <x:sz val="11"/>
      <x:color rgb="FFB45309"/>
      <x:name val="Carlito"/>
    </x:font>
    <x:font>
      <x:sz val="11"/>
      <x:color rgb="FF6B7280"/>
      <x:name val="Carlito"/>
    </x:font>
    <x:font>
      <x:sz val="11"/>
      <x:color rgb="FF1F2937"/>
      <x:name val="Carlito"/>
    </x:font>
    <x:font>
      <x:b/>
      <x:sz val="20"/>
      <x:color rgb="FFFFFFFF"/>
      <x:name val="Aptos"/>
    </x:font>
    <x:font>
      <x:i/>
      <x:sz val="11"/>
      <x:color rgb="FFFFFFFF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8"/>
      <x:color rgb="FF1F2937"/>
      <x:name val="Aptos"/>
    </x:font>
    <x:font>
      <x:b/>
      <x:sz val="18"/>
      <x:color rgb="FFB91C1C"/>
      <x:name val="Aptos"/>
    </x:font>
    <x:font>
      <x:b/>
      <x:sz val="11"/>
      <x:color rgb="FFB45309"/>
      <x:name val="Aptos"/>
    </x:font>
    <x:font>
      <x:sz val="11"/>
      <x:color rgb="FF6B7280"/>
      <x:name val="Aptos"/>
    </x:font>
    <x:font>
      <x:sz val="11"/>
      <x:color rgb="FF1F2937"/>
      <x:name val="Aptos"/>
    </x:font>
  </x:fonts>
  <x:fills count="14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374151"/>
      </x:patternFill>
    </x:fill>
    <x:fill>
      <x:patternFill patternType="solid">
        <x:fgColor rgb="FFE8F0FE"/>
      </x:patternFill>
    </x:fill>
    <x:fill>
      <x:patternFill patternType="solid">
        <x:fgColor rgb="FFDDF3F0"/>
      </x:patternFill>
    </x:fill>
    <x:fill>
      <x:patternFill patternType="solid">
        <x:fgColor rgb="FFF3F4F6"/>
      </x:patternFill>
    </x:fill>
    <x:fill>
      <x:patternFill patternType="solid">
        <x:fgColor rgb="FFDCFCE7"/>
      </x:patternFill>
    </x:fill>
    <x:fill>
      <x:patternFill patternType="solid">
        <x:fgColor rgb="FFFEE2E2"/>
      </x:patternFill>
    </x:fill>
    <x:fill>
      <x:patternFill patternType="solid">
        <x:fgColor rgb="FFFEF3C7"/>
      </x:patternFill>
    </x:fill>
    <x:fill>
      <x:patternFill patternType="solid">
        <x:fgColor rgb="FFB45309"/>
      </x:patternFill>
    </x:fill>
    <x:fill>
      <x:patternFill patternType="solid">
        <x:fgColor rgb="FF0F766E"/>
      </x:patternFill>
    </x:fill>
    <x:fill>
      <x:patternFill patternType="solid">
        <x:fgColor rgb="FFFFFFFF"/>
      </x:patternFill>
    </x:fill>
    <x:fill>
      <x:patternFill patternType="solid">
        <x:fgColor rgb="FFE8F5FA"/>
      </x:patternFill>
    </x:fill>
  </x:fills>
  <x:borders count="30">
    <x:border/>
    <x:border/>
    <x:border>
      <x:left style="thin">
        <x:color rgb="FFD1D5DB"/>
      </x:left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bottom style="thin">
        <x:color rgb="FFD1D5DB"/>
      </x:bottom>
    </x:border>
    <x:border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</x:border>
    <x:border>
      <x:left style="thin">
        <x:color rgb="FFD1D5DB"/>
      </x:left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</x:border>
  </x:borders>
  <x:cellStyleXfs count="1">
    <x:xf numFmtId="0" fontId="0" fillId="0" borderId="0"/>
  </x:cellStyleXfs>
  <x:cellXfs count="6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200" fontId="4" fillId="4" borderId="2" xfId="0" applyNumberFormat="1" applyFont="1" applyFill="1" applyBorder="1"/>
    <x:xf numFmtId="200" fontId="4" fillId="4" borderId="3" xfId="0" applyNumberFormat="1" applyFont="1" applyFill="1" applyBorder="1"/>
    <x:xf numFmtId="200" fontId="4" fillId="4" borderId="4" xfId="0" applyNumberFormat="1" applyFont="1" applyFill="1" applyBorder="1"/>
    <x:xf numFmtId="200" fontId="4" fillId="4" borderId="5" xfId="0" applyNumberFormat="1" applyFont="1" applyFill="1" applyBorder="1"/>
    <x:xf numFmtId="200" fontId="4" fillId="4" borderId="6" xfId="0" applyNumberFormat="1" applyFont="1" applyFill="1" applyBorder="1"/>
    <x:xf numFmtId="200" fontId="4" fillId="4" borderId="7" xfId="0" applyNumberFormat="1" applyFont="1" applyFill="1" applyBorder="1"/>
    <x:xf numFmtId="200" fontId="4" fillId="4" borderId="8" xfId="0" applyNumberFormat="1" applyFont="1" applyFill="1" applyBorder="1"/>
    <x:xf numFmtId="200" fontId="4" fillId="4" borderId="9" xfId="0" applyNumberFormat="1" applyFont="1" applyFill="1" applyBorder="1"/>
    <x:xf numFmtId="200" fontId="4" fillId="4" borderId="2" xfId="0" applyNumberFormat="1" applyFont="1" applyFill="1" applyBorder="1" applyAlignment="1">
      <x:alignment horizontal="center"/>
    </x:xf>
    <x:xf numFmtId="200" fontId="4" fillId="4" borderId="3" xfId="0" applyNumberFormat="1" applyFont="1" applyFill="1" applyBorder="1" applyAlignment="1">
      <x:alignment horizontal="center"/>
    </x:xf>
    <x:xf numFmtId="200" fontId="4" fillId="4" borderId="4" xfId="0" applyNumberFormat="1" applyFont="1" applyFill="1" applyBorder="1" applyAlignment="1">
      <x:alignment horizontal="center"/>
    </x:xf>
    <x:xf numFmtId="200" fontId="4" fillId="4" borderId="5" xfId="0" applyNumberFormat="1" applyFont="1" applyFill="1" applyBorder="1" applyAlignment="1">
      <x:alignment horizontal="center"/>
    </x:xf>
    <x:xf numFmtId="200" fontId="4" fillId="4" borderId="6" xfId="0" applyNumberFormat="1" applyFont="1" applyFill="1" applyBorder="1" applyAlignment="1">
      <x:alignment horizontal="center"/>
    </x:xf>
    <x:xf numFmtId="200" fontId="4" fillId="4" borderId="7" xfId="0" applyNumberFormat="1" applyFont="1" applyFill="1" applyBorder="1" applyAlignment="1">
      <x:alignment horizontal="center"/>
    </x:xf>
    <x:xf numFmtId="200" fontId="4" fillId="4" borderId="8" xfId="0" applyNumberFormat="1" applyFont="1" applyFill="1" applyBorder="1" applyAlignment="1">
      <x:alignment horizontal="center"/>
    </x:xf>
    <x:xf numFmtId="200" fontId="4" fillId="4" borderId="9" xfId="0" applyNumberFormat="1" applyFont="1" applyFill="1" applyBorder="1" applyAlignment="1">
      <x:alignment horizontal="center"/>
    </x:xf>
    <x:xf numFmtId="200" fontId="4" fillId="4" borderId="2" xfId="0" applyNumberFormat="1" applyFont="1" applyFill="1" applyBorder="1" applyAlignment="1">
      <x:alignment horizontal="center" vertical="center"/>
    </x:xf>
    <x:xf numFmtId="200" fontId="4" fillId="4" borderId="3" xfId="0" applyNumberFormat="1" applyFont="1" applyFill="1" applyBorder="1" applyAlignment="1">
      <x:alignment horizontal="center" vertical="center"/>
    </x:xf>
    <x:xf numFmtId="200" fontId="4" fillId="4" borderId="4" xfId="0" applyNumberFormat="1" applyFont="1" applyFill="1" applyBorder="1" applyAlignment="1">
      <x:alignment horizontal="center" vertical="center"/>
    </x:xf>
    <x:xf numFmtId="200" fontId="4" fillId="4" borderId="5" xfId="0" applyNumberFormat="1" applyFont="1" applyFill="1" applyBorder="1" applyAlignment="1">
      <x:alignment horizontal="center" vertical="center"/>
    </x:xf>
    <x:xf numFmtId="200" fontId="4" fillId="4" borderId="6" xfId="0" applyNumberFormat="1" applyFont="1" applyFill="1" applyBorder="1" applyAlignment="1">
      <x:alignment horizontal="center" vertical="center"/>
    </x:xf>
    <x:xf numFmtId="200" fontId="4" fillId="4" borderId="7" xfId="0" applyNumberFormat="1" applyFont="1" applyFill="1" applyBorder="1" applyAlignment="1">
      <x:alignment horizontal="center" vertical="center"/>
    </x:xf>
    <x:xf numFmtId="200" fontId="4" fillId="4" borderId="8" xfId="0" applyNumberFormat="1" applyFont="1" applyFill="1" applyBorder="1" applyAlignment="1">
      <x:alignment horizontal="center" vertical="center"/>
    </x:xf>
    <x:xf numFmtId="200" fontId="4" fillId="4" borderId="9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200" fontId="4" fillId="5" borderId="2" xfId="0" applyNumberFormat="1" applyFont="1" applyFill="1" applyBorder="1"/>
    <x:xf numFmtId="200" fontId="4" fillId="5" borderId="3" xfId="0" applyNumberFormat="1" applyFont="1" applyFill="1" applyBorder="1"/>
    <x:xf numFmtId="200" fontId="4" fillId="5" borderId="4" xfId="0" applyNumberFormat="1" applyFont="1" applyFill="1" applyBorder="1"/>
    <x:xf numFmtId="200" fontId="4" fillId="5" borderId="5" xfId="0" applyNumberFormat="1" applyFont="1" applyFill="1" applyBorder="1"/>
    <x:xf numFmtId="200" fontId="4" fillId="5" borderId="6" xfId="0" applyNumberFormat="1" applyFont="1" applyFill="1" applyBorder="1"/>
    <x:xf numFmtId="200" fontId="4" fillId="5" borderId="7" xfId="0" applyNumberFormat="1" applyFont="1" applyFill="1" applyBorder="1"/>
    <x:xf numFmtId="200" fontId="4" fillId="5" borderId="8" xfId="0" applyNumberFormat="1" applyFont="1" applyFill="1" applyBorder="1"/>
    <x:xf numFmtId="200" fontId="4" fillId="5" borderId="9" xfId="0" applyNumberFormat="1" applyFont="1" applyFill="1" applyBorder="1"/>
    <x:xf numFmtId="200" fontId="4" fillId="5" borderId="2" xfId="0" applyNumberFormat="1" applyFont="1" applyFill="1" applyBorder="1" applyAlignment="1">
      <x:alignment horizontal="center"/>
    </x:xf>
    <x:xf numFmtId="200" fontId="4" fillId="5" borderId="3" xfId="0" applyNumberFormat="1" applyFont="1" applyFill="1" applyBorder="1" applyAlignment="1">
      <x:alignment horizontal="center"/>
    </x:xf>
    <x:xf numFmtId="200" fontId="4" fillId="5" borderId="4" xfId="0" applyNumberFormat="1" applyFont="1" applyFill="1" applyBorder="1" applyAlignment="1">
      <x:alignment horizontal="center"/>
    </x:xf>
    <x:xf numFmtId="200" fontId="4" fillId="5" borderId="5" xfId="0" applyNumberFormat="1" applyFont="1" applyFill="1" applyBorder="1" applyAlignment="1">
      <x:alignment horizontal="center"/>
    </x:xf>
    <x:xf numFmtId="200" fontId="4" fillId="5" borderId="6" xfId="0" applyNumberFormat="1" applyFont="1" applyFill="1" applyBorder="1" applyAlignment="1">
      <x:alignment horizontal="center"/>
    </x:xf>
    <x:xf numFmtId="200" fontId="4" fillId="5" borderId="7" xfId="0" applyNumberFormat="1" applyFont="1" applyFill="1" applyBorder="1" applyAlignment="1">
      <x:alignment horizontal="center"/>
    </x:xf>
    <x:xf numFmtId="200" fontId="4" fillId="5" borderId="8" xfId="0" applyNumberFormat="1" applyFont="1" applyFill="1" applyBorder="1" applyAlignment="1">
      <x:alignment horizontal="center"/>
    </x:xf>
    <x:xf numFmtId="200" fontId="4" fillId="5" borderId="9" xfId="0" applyNumberFormat="1" applyFont="1" applyFill="1" applyBorder="1" applyAlignment="1">
      <x:alignment horizontal="center"/>
    </x:xf>
    <x:xf numFmtId="200" fontId="4" fillId="5" borderId="2" xfId="0" applyNumberFormat="1" applyFont="1" applyFill="1" applyBorder="1" applyAlignment="1">
      <x:alignment horizontal="center" vertical="center"/>
    </x:xf>
    <x:xf numFmtId="200" fontId="4" fillId="5" borderId="3" xfId="0" applyNumberFormat="1" applyFont="1" applyFill="1" applyBorder="1" applyAlignment="1">
      <x:alignment horizontal="center" vertical="center"/>
    </x:xf>
    <x:xf numFmtId="200" fontId="4" fillId="5" borderId="4" xfId="0" applyNumberFormat="1" applyFont="1" applyFill="1" applyBorder="1" applyAlignment="1">
      <x:alignment horizontal="center" vertical="center"/>
    </x:xf>
    <x:xf numFmtId="200" fontId="4" fillId="5" borderId="5" xfId="0" applyNumberFormat="1" applyFont="1" applyFill="1" applyBorder="1" applyAlignment="1">
      <x:alignment horizontal="center" vertical="center"/>
    </x:xf>
    <x:xf numFmtId="200" fontId="4" fillId="5" borderId="6" xfId="0" applyNumberFormat="1" applyFont="1" applyFill="1" applyBorder="1" applyAlignment="1">
      <x:alignment horizontal="center" vertical="center"/>
    </x:xf>
    <x:xf numFmtId="200" fontId="4" fillId="5" borderId="7" xfId="0" applyNumberFormat="1" applyFont="1" applyFill="1" applyBorder="1" applyAlignment="1">
      <x:alignment horizontal="center" vertical="center"/>
    </x:xf>
    <x:xf numFmtId="200" fontId="4" fillId="5" borderId="8" xfId="0" applyNumberFormat="1" applyFont="1" applyFill="1" applyBorder="1" applyAlignment="1">
      <x:alignment horizontal="center" vertical="center"/>
    </x:xf>
    <x:xf numFmtId="200" fontId="4" fillId="5" borderId="9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2" xfId="0" applyNumberFormat="1" applyFont="1" applyFill="1" applyBorder="1"/>
    <x:xf numFmtId="0" fontId="4" fillId="6" borderId="3" xfId="0" applyNumberFormat="1" applyFont="1" applyFill="1" applyBorder="1"/>
    <x:xf numFmtId="0" fontId="4" fillId="6" borderId="4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7" xfId="0" applyNumberFormat="1" applyFont="1" applyFill="1" applyBorder="1"/>
    <x:xf numFmtId="0" fontId="4" fillId="6" borderId="8" xfId="0" applyNumberFormat="1" applyFont="1" applyFill="1" applyBorder="1"/>
    <x:xf numFmtId="0" fontId="4" fillId="6" borderId="9" xfId="0" applyNumberFormat="1" applyFont="1" applyFill="1" applyBorder="1"/>
    <x:xf numFmtId="201" fontId="4" fillId="6" borderId="2" xfId="0" applyNumberFormat="1" applyFont="1" applyFill="1" applyBorder="1"/>
    <x:xf numFmtId="201" fontId="4" fillId="6" borderId="3" xfId="0" applyNumberFormat="1" applyFont="1" applyFill="1" applyBorder="1"/>
    <x:xf numFmtId="201" fontId="4" fillId="6" borderId="4" xfId="0" applyNumberFormat="1" applyFont="1" applyFill="1" applyBorder="1"/>
    <x:xf numFmtId="201" fontId="4" fillId="6" borderId="5" xfId="0" applyNumberFormat="1" applyFont="1" applyFill="1" applyBorder="1"/>
    <x:xf numFmtId="201" fontId="4" fillId="6" borderId="6" xfId="0" applyNumberFormat="1" applyFont="1" applyFill="1" applyBorder="1"/>
    <x:xf numFmtId="201" fontId="4" fillId="6" borderId="7" xfId="0" applyNumberFormat="1" applyFont="1" applyFill="1" applyBorder="1"/>
    <x:xf numFmtId="201" fontId="4" fillId="6" borderId="8" xfId="0" applyNumberFormat="1" applyFont="1" applyFill="1" applyBorder="1"/>
    <x:xf numFmtId="201" fontId="4" fillId="6" borderId="9" xfId="0" applyNumberFormat="1" applyFont="1" applyFill="1" applyBorder="1"/>
    <x:xf numFmtId="201" fontId="4" fillId="6" borderId="2" xfId="0" applyNumberFormat="1" applyFont="1" applyFill="1" applyBorder="1" applyAlignment="1">
      <x:alignment horizontal="center"/>
    </x:xf>
    <x:xf numFmtId="201" fontId="4" fillId="6" borderId="3" xfId="0" applyNumberFormat="1" applyFont="1" applyFill="1" applyBorder="1" applyAlignment="1">
      <x:alignment horizontal="center"/>
    </x:xf>
    <x:xf numFmtId="201" fontId="4" fillId="6" borderId="4" xfId="0" applyNumberFormat="1" applyFont="1" applyFill="1" applyBorder="1" applyAlignment="1">
      <x:alignment horizontal="center"/>
    </x:xf>
    <x:xf numFmtId="201" fontId="4" fillId="6" borderId="5" xfId="0" applyNumberFormat="1" applyFont="1" applyFill="1" applyBorder="1" applyAlignment="1">
      <x:alignment horizontal="center"/>
    </x:xf>
    <x:xf numFmtId="201" fontId="4" fillId="6" borderId="6" xfId="0" applyNumberFormat="1" applyFont="1" applyFill="1" applyBorder="1" applyAlignment="1">
      <x:alignment horizontal="center"/>
    </x:xf>
    <x:xf numFmtId="201" fontId="4" fillId="6" borderId="7" xfId="0" applyNumberFormat="1" applyFont="1" applyFill="1" applyBorder="1" applyAlignment="1">
      <x:alignment horizontal="center"/>
    </x:xf>
    <x:xf numFmtId="201" fontId="4" fillId="6" borderId="8" xfId="0" applyNumberFormat="1" applyFont="1" applyFill="1" applyBorder="1" applyAlignment="1">
      <x:alignment horizontal="center"/>
    </x:xf>
    <x:xf numFmtId="201" fontId="4" fillId="6" borderId="9" xfId="0" applyNumberFormat="1" applyFont="1" applyFill="1" applyBorder="1" applyAlignment="1">
      <x:alignment horizontal="center"/>
    </x:xf>
    <x:xf numFmtId="201" fontId="4" fillId="6" borderId="2" xfId="0" applyNumberFormat="1" applyFont="1" applyFill="1" applyBorder="1" applyAlignment="1">
      <x:alignment horizontal="center" vertical="center"/>
    </x:xf>
    <x:xf numFmtId="201" fontId="4" fillId="6" borderId="3" xfId="0" applyNumberFormat="1" applyFont="1" applyFill="1" applyBorder="1" applyAlignment="1">
      <x:alignment horizontal="center" vertical="center"/>
    </x:xf>
    <x:xf numFmtId="201" fontId="4" fillId="6" borderId="4" xfId="0" applyNumberFormat="1" applyFont="1" applyFill="1" applyBorder="1" applyAlignment="1">
      <x:alignment horizontal="center" vertical="center"/>
    </x:xf>
    <x:xf numFmtId="201" fontId="4" fillId="6" borderId="5" xfId="0" applyNumberFormat="1" applyFont="1" applyFill="1" applyBorder="1" applyAlignment="1">
      <x:alignment horizontal="center" vertical="center"/>
    </x:xf>
    <x:xf numFmtId="201" fontId="4" fillId="6" borderId="6" xfId="0" applyNumberFormat="1" applyFont="1" applyFill="1" applyBorder="1" applyAlignment="1">
      <x:alignment horizontal="center" vertical="center"/>
    </x:xf>
    <x:xf numFmtId="201" fontId="4" fillId="6" borderId="7" xfId="0" applyNumberFormat="1" applyFont="1" applyFill="1" applyBorder="1" applyAlignment="1">
      <x:alignment horizontal="center" vertical="center"/>
    </x:xf>
    <x:xf numFmtId="201" fontId="4" fillId="6" borderId="8" xfId="0" applyNumberFormat="1" applyFont="1" applyFill="1" applyBorder="1" applyAlignment="1">
      <x:alignment horizontal="center" vertical="center"/>
    </x:xf>
    <x:xf numFmtId="201" fontId="4" fillId="6" borderId="9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4" fillId="7" borderId="0" xfId="0" applyNumberFormat="1" applyFont="1" applyFill="1" applyBorder="1"/>
    <x:xf numFmtId="0" fontId="4" fillId="7" borderId="1" xfId="0" applyNumberFormat="1" applyFont="1" applyFill="1" applyBorder="1"/>
    <x:xf numFmtId="0" fontId="4" fillId="7" borderId="2" xfId="0" applyNumberFormat="1" applyFont="1" applyFill="1" applyBorder="1"/>
    <x:xf numFmtId="0" fontId="4" fillId="7" borderId="3" xfId="0" applyNumberFormat="1" applyFont="1" applyFill="1" applyBorder="1"/>
    <x:xf numFmtId="0" fontId="4" fillId="7" borderId="4" xfId="0" applyNumberFormat="1" applyFont="1" applyFill="1" applyBorder="1"/>
    <x:xf numFmtId="0" fontId="4" fillId="7" borderId="5" xfId="0" applyNumberFormat="1" applyFont="1" applyFill="1" applyBorder="1"/>
    <x:xf numFmtId="0" fontId="4" fillId="7" borderId="6" xfId="0" applyNumberFormat="1" applyFont="1" applyFill="1" applyBorder="1"/>
    <x:xf numFmtId="0" fontId="4" fillId="7" borderId="7" xfId="0" applyNumberFormat="1" applyFont="1" applyFill="1" applyBorder="1"/>
    <x:xf numFmtId="0" fontId="4" fillId="7" borderId="8" xfId="0" applyNumberFormat="1" applyFont="1" applyFill="1" applyBorder="1"/>
    <x:xf numFmtId="0" fontId="4" fillId="7" borderId="9" xfId="0" applyNumberFormat="1" applyFont="1" applyFill="1" applyBorder="1"/>
    <x:xf numFmtId="201" fontId="4" fillId="7" borderId="2" xfId="0" applyNumberFormat="1" applyFont="1" applyFill="1" applyBorder="1"/>
    <x:xf numFmtId="201" fontId="4" fillId="7" borderId="3" xfId="0" applyNumberFormat="1" applyFont="1" applyFill="1" applyBorder="1"/>
    <x:xf numFmtId="201" fontId="4" fillId="7" borderId="4" xfId="0" applyNumberFormat="1" applyFont="1" applyFill="1" applyBorder="1"/>
    <x:xf numFmtId="201" fontId="4" fillId="7" borderId="5" xfId="0" applyNumberFormat="1" applyFont="1" applyFill="1" applyBorder="1"/>
    <x:xf numFmtId="201" fontId="4" fillId="7" borderId="6" xfId="0" applyNumberFormat="1" applyFont="1" applyFill="1" applyBorder="1"/>
    <x:xf numFmtId="201" fontId="4" fillId="7" borderId="7" xfId="0" applyNumberFormat="1" applyFont="1" applyFill="1" applyBorder="1"/>
    <x:xf numFmtId="201" fontId="4" fillId="7" borderId="8" xfId="0" applyNumberFormat="1" applyFont="1" applyFill="1" applyBorder="1"/>
    <x:xf numFmtId="201" fontId="4" fillId="7" borderId="9" xfId="0" applyNumberFormat="1" applyFont="1" applyFill="1" applyBorder="1"/>
    <x:xf numFmtId="201" fontId="4" fillId="7" borderId="2" xfId="0" applyNumberFormat="1" applyFont="1" applyFill="1" applyBorder="1" applyAlignment="1">
      <x:alignment horizontal="center"/>
    </x:xf>
    <x:xf numFmtId="201" fontId="4" fillId="7" borderId="3" xfId="0" applyNumberFormat="1" applyFont="1" applyFill="1" applyBorder="1" applyAlignment="1">
      <x:alignment horizontal="center"/>
    </x:xf>
    <x:xf numFmtId="201" fontId="4" fillId="7" borderId="4" xfId="0" applyNumberFormat="1" applyFont="1" applyFill="1" applyBorder="1" applyAlignment="1">
      <x:alignment horizontal="center"/>
    </x:xf>
    <x:xf numFmtId="201" fontId="4" fillId="7" borderId="5" xfId="0" applyNumberFormat="1" applyFont="1" applyFill="1" applyBorder="1" applyAlignment="1">
      <x:alignment horizontal="center"/>
    </x:xf>
    <x:xf numFmtId="201" fontId="4" fillId="7" borderId="6" xfId="0" applyNumberFormat="1" applyFont="1" applyFill="1" applyBorder="1" applyAlignment="1">
      <x:alignment horizontal="center"/>
    </x:xf>
    <x:xf numFmtId="201" fontId="4" fillId="7" borderId="7" xfId="0" applyNumberFormat="1" applyFont="1" applyFill="1" applyBorder="1" applyAlignment="1">
      <x:alignment horizontal="center"/>
    </x:xf>
    <x:xf numFmtId="201" fontId="4" fillId="7" borderId="8" xfId="0" applyNumberFormat="1" applyFont="1" applyFill="1" applyBorder="1" applyAlignment="1">
      <x:alignment horizontal="center"/>
    </x:xf>
    <x:xf numFmtId="201" fontId="4" fillId="7" borderId="9" xfId="0" applyNumberFormat="1" applyFont="1" applyFill="1" applyBorder="1" applyAlignment="1">
      <x:alignment horizontal="center"/>
    </x:xf>
    <x:xf numFmtId="201" fontId="4" fillId="7" borderId="2" xfId="0" applyNumberFormat="1" applyFont="1" applyFill="1" applyBorder="1" applyAlignment="1">
      <x:alignment horizontal="center" vertical="center"/>
    </x:xf>
    <x:xf numFmtId="201" fontId="4" fillId="7" borderId="3" xfId="0" applyNumberFormat="1" applyFont="1" applyFill="1" applyBorder="1" applyAlignment="1">
      <x:alignment horizontal="center" vertical="center"/>
    </x:xf>
    <x:xf numFmtId="201" fontId="4" fillId="7" borderId="4" xfId="0" applyNumberFormat="1" applyFont="1" applyFill="1" applyBorder="1" applyAlignment="1">
      <x:alignment horizontal="center" vertical="center"/>
    </x:xf>
    <x:xf numFmtId="201" fontId="4" fillId="7" borderId="5" xfId="0" applyNumberFormat="1" applyFont="1" applyFill="1" applyBorder="1" applyAlignment="1">
      <x:alignment horizontal="center" vertical="center"/>
    </x:xf>
    <x:xf numFmtId="201" fontId="4" fillId="7" borderId="6" xfId="0" applyNumberFormat="1" applyFont="1" applyFill="1" applyBorder="1" applyAlignment="1">
      <x:alignment horizontal="center" vertical="center"/>
    </x:xf>
    <x:xf numFmtId="201" fontId="4" fillId="7" borderId="7" xfId="0" applyNumberFormat="1" applyFont="1" applyFill="1" applyBorder="1" applyAlignment="1">
      <x:alignment horizontal="center" vertical="center"/>
    </x:xf>
    <x:xf numFmtId="201" fontId="4" fillId="7" borderId="8" xfId="0" applyNumberFormat="1" applyFont="1" applyFill="1" applyBorder="1" applyAlignment="1">
      <x:alignment horizontal="center" vertical="center"/>
    </x:xf>
    <x:xf numFmtId="201" fontId="4" fillId="7" borderId="9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5" fillId="8" borderId="0" xfId="0" applyNumberFormat="1" applyFont="1" applyFill="1" applyBorder="1"/>
    <x:xf numFmtId="0" fontId="5" fillId="8" borderId="1" xfId="0" applyNumberFormat="1" applyFont="1" applyFill="1" applyBorder="1"/>
    <x:xf numFmtId="0" fontId="5" fillId="8" borderId="2" xfId="0" applyNumberFormat="1" applyFont="1" applyFill="1" applyBorder="1"/>
    <x:xf numFmtId="0" fontId="5" fillId="8" borderId="3" xfId="0" applyNumberFormat="1" applyFont="1" applyFill="1" applyBorder="1"/>
    <x:xf numFmtId="0" fontId="5" fillId="8" borderId="4" xfId="0" applyNumberFormat="1" applyFont="1" applyFill="1" applyBorder="1"/>
    <x:xf numFmtId="0" fontId="5" fillId="8" borderId="5" xfId="0" applyNumberFormat="1" applyFont="1" applyFill="1" applyBorder="1"/>
    <x:xf numFmtId="0" fontId="5" fillId="8" borderId="6" xfId="0" applyNumberFormat="1" applyFont="1" applyFill="1" applyBorder="1"/>
    <x:xf numFmtId="0" fontId="5" fillId="8" borderId="7" xfId="0" applyNumberFormat="1" applyFont="1" applyFill="1" applyBorder="1"/>
    <x:xf numFmtId="0" fontId="5" fillId="8" borderId="8" xfId="0" applyNumberFormat="1" applyFont="1" applyFill="1" applyBorder="1"/>
    <x:xf numFmtId="0" fontId="5" fillId="8" borderId="9" xfId="0" applyNumberFormat="1" applyFont="1" applyFill="1" applyBorder="1"/>
    <x:xf numFmtId="201" fontId="5" fillId="8" borderId="2" xfId="0" applyNumberFormat="1" applyFont="1" applyFill="1" applyBorder="1"/>
    <x:xf numFmtId="201" fontId="5" fillId="8" borderId="3" xfId="0" applyNumberFormat="1" applyFont="1" applyFill="1" applyBorder="1"/>
    <x:xf numFmtId="201" fontId="5" fillId="8" borderId="4" xfId="0" applyNumberFormat="1" applyFont="1" applyFill="1" applyBorder="1"/>
    <x:xf numFmtId="201" fontId="5" fillId="8" borderId="5" xfId="0" applyNumberFormat="1" applyFont="1" applyFill="1" applyBorder="1"/>
    <x:xf numFmtId="201" fontId="5" fillId="8" borderId="6" xfId="0" applyNumberFormat="1" applyFont="1" applyFill="1" applyBorder="1"/>
    <x:xf numFmtId="201" fontId="5" fillId="8" borderId="7" xfId="0" applyNumberFormat="1" applyFont="1" applyFill="1" applyBorder="1"/>
    <x:xf numFmtId="201" fontId="5" fillId="8" borderId="8" xfId="0" applyNumberFormat="1" applyFont="1" applyFill="1" applyBorder="1"/>
    <x:xf numFmtId="201" fontId="5" fillId="8" borderId="9" xfId="0" applyNumberFormat="1" applyFont="1" applyFill="1" applyBorder="1"/>
    <x:xf numFmtId="201" fontId="5" fillId="8" borderId="2" xfId="0" applyNumberFormat="1" applyFont="1" applyFill="1" applyBorder="1" applyAlignment="1">
      <x:alignment horizontal="center"/>
    </x:xf>
    <x:xf numFmtId="201" fontId="5" fillId="8" borderId="3" xfId="0" applyNumberFormat="1" applyFont="1" applyFill="1" applyBorder="1" applyAlignment="1">
      <x:alignment horizontal="center"/>
    </x:xf>
    <x:xf numFmtId="201" fontId="5" fillId="8" borderId="4" xfId="0" applyNumberFormat="1" applyFont="1" applyFill="1" applyBorder="1" applyAlignment="1">
      <x:alignment horizontal="center"/>
    </x:xf>
    <x:xf numFmtId="201" fontId="5" fillId="8" borderId="5" xfId="0" applyNumberFormat="1" applyFont="1" applyFill="1" applyBorder="1" applyAlignment="1">
      <x:alignment horizontal="center"/>
    </x:xf>
    <x:xf numFmtId="201" fontId="5" fillId="8" borderId="6" xfId="0" applyNumberFormat="1" applyFont="1" applyFill="1" applyBorder="1" applyAlignment="1">
      <x:alignment horizontal="center"/>
    </x:xf>
    <x:xf numFmtId="201" fontId="5" fillId="8" borderId="7" xfId="0" applyNumberFormat="1" applyFont="1" applyFill="1" applyBorder="1" applyAlignment="1">
      <x:alignment horizontal="center"/>
    </x:xf>
    <x:xf numFmtId="201" fontId="5" fillId="8" borderId="8" xfId="0" applyNumberFormat="1" applyFont="1" applyFill="1" applyBorder="1" applyAlignment="1">
      <x:alignment horizontal="center"/>
    </x:xf>
    <x:xf numFmtId="201" fontId="5" fillId="8" borderId="9" xfId="0" applyNumberFormat="1" applyFont="1" applyFill="1" applyBorder="1" applyAlignment="1">
      <x:alignment horizontal="center"/>
    </x:xf>
    <x:xf numFmtId="201" fontId="5" fillId="8" borderId="2" xfId="0" applyNumberFormat="1" applyFont="1" applyFill="1" applyBorder="1" applyAlignment="1">
      <x:alignment horizontal="center" vertical="center"/>
    </x:xf>
    <x:xf numFmtId="201" fontId="5" fillId="8" borderId="3" xfId="0" applyNumberFormat="1" applyFont="1" applyFill="1" applyBorder="1" applyAlignment="1">
      <x:alignment horizontal="center" vertical="center"/>
    </x:xf>
    <x:xf numFmtId="201" fontId="5" fillId="8" borderId="4" xfId="0" applyNumberFormat="1" applyFont="1" applyFill="1" applyBorder="1" applyAlignment="1">
      <x:alignment horizontal="center" vertical="center"/>
    </x:xf>
    <x:xf numFmtId="201" fontId="5" fillId="8" borderId="5" xfId="0" applyNumberFormat="1" applyFont="1" applyFill="1" applyBorder="1" applyAlignment="1">
      <x:alignment horizontal="center" vertical="center"/>
    </x:xf>
    <x:xf numFmtId="201" fontId="5" fillId="8" borderId="6" xfId="0" applyNumberFormat="1" applyFont="1" applyFill="1" applyBorder="1" applyAlignment="1">
      <x:alignment horizontal="center" vertical="center"/>
    </x:xf>
    <x:xf numFmtId="201" fontId="5" fillId="8" borderId="7" xfId="0" applyNumberFormat="1" applyFont="1" applyFill="1" applyBorder="1" applyAlignment="1">
      <x:alignment horizontal="center" vertical="center"/>
    </x:xf>
    <x:xf numFmtId="201" fontId="5" fillId="8" borderId="8" xfId="0" applyNumberFormat="1" applyFont="1" applyFill="1" applyBorder="1" applyAlignment="1">
      <x:alignment horizontal="center" vertical="center"/>
    </x:xf>
    <x:xf numFmtId="201" fontId="5" fillId="8" borderId="9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4" fillId="9" borderId="0" xfId="0" applyNumberFormat="1" applyFont="1" applyFill="1" applyBorder="1"/>
    <x:xf numFmtId="0" fontId="4" fillId="9" borderId="1" xfId="0" applyNumberFormat="1" applyFont="1" applyFill="1" applyBorder="1"/>
    <x:xf numFmtId="0" fontId="4" fillId="9" borderId="2" xfId="0" applyNumberFormat="1" applyFont="1" applyFill="1" applyBorder="1"/>
    <x:xf numFmtId="0" fontId="4" fillId="9" borderId="3" xfId="0" applyNumberFormat="1" applyFont="1" applyFill="1" applyBorder="1"/>
    <x:xf numFmtId="0" fontId="4" fillId="9" borderId="4" xfId="0" applyNumberFormat="1" applyFont="1" applyFill="1" applyBorder="1"/>
    <x:xf numFmtId="0" fontId="4" fillId="9" borderId="5" xfId="0" applyNumberFormat="1" applyFont="1" applyFill="1" applyBorder="1"/>
    <x:xf numFmtId="0" fontId="4" fillId="9" borderId="6" xfId="0" applyNumberFormat="1" applyFont="1" applyFill="1" applyBorder="1"/>
    <x:xf numFmtId="0" fontId="4" fillId="9" borderId="7" xfId="0" applyNumberFormat="1" applyFont="1" applyFill="1" applyBorder="1"/>
    <x:xf numFmtId="0" fontId="4" fillId="9" borderId="8" xfId="0" applyNumberFormat="1" applyFont="1" applyFill="1" applyBorder="1"/>
    <x:xf numFmtId="0" fontId="4" fillId="9" borderId="9" xfId="0" applyNumberFormat="1" applyFont="1" applyFill="1" applyBorder="1"/>
    <x:xf numFmtId="201" fontId="4" fillId="9" borderId="2" xfId="0" applyNumberFormat="1" applyFont="1" applyFill="1" applyBorder="1"/>
    <x:xf numFmtId="201" fontId="4" fillId="9" borderId="3" xfId="0" applyNumberFormat="1" applyFont="1" applyFill="1" applyBorder="1"/>
    <x:xf numFmtId="201" fontId="4" fillId="9" borderId="4" xfId="0" applyNumberFormat="1" applyFont="1" applyFill="1" applyBorder="1"/>
    <x:xf numFmtId="201" fontId="4" fillId="9" borderId="5" xfId="0" applyNumberFormat="1" applyFont="1" applyFill="1" applyBorder="1"/>
    <x:xf numFmtId="201" fontId="4" fillId="9" borderId="6" xfId="0" applyNumberFormat="1" applyFont="1" applyFill="1" applyBorder="1"/>
    <x:xf numFmtId="201" fontId="4" fillId="9" borderId="7" xfId="0" applyNumberFormat="1" applyFont="1" applyFill="1" applyBorder="1"/>
    <x:xf numFmtId="201" fontId="4" fillId="9" borderId="8" xfId="0" applyNumberFormat="1" applyFont="1" applyFill="1" applyBorder="1"/>
    <x:xf numFmtId="201" fontId="4" fillId="9" borderId="9" xfId="0" applyNumberFormat="1" applyFont="1" applyFill="1" applyBorder="1"/>
    <x:xf numFmtId="201" fontId="4" fillId="9" borderId="2" xfId="0" applyNumberFormat="1" applyFont="1" applyFill="1" applyBorder="1" applyAlignment="1">
      <x:alignment horizontal="center"/>
    </x:xf>
    <x:xf numFmtId="201" fontId="4" fillId="9" borderId="3" xfId="0" applyNumberFormat="1" applyFont="1" applyFill="1" applyBorder="1" applyAlignment="1">
      <x:alignment horizontal="center"/>
    </x:xf>
    <x:xf numFmtId="201" fontId="4" fillId="9" borderId="4" xfId="0" applyNumberFormat="1" applyFont="1" applyFill="1" applyBorder="1" applyAlignment="1">
      <x:alignment horizontal="center"/>
    </x:xf>
    <x:xf numFmtId="201" fontId="4" fillId="9" borderId="5" xfId="0" applyNumberFormat="1" applyFont="1" applyFill="1" applyBorder="1" applyAlignment="1">
      <x:alignment horizontal="center"/>
    </x:xf>
    <x:xf numFmtId="201" fontId="4" fillId="9" borderId="6" xfId="0" applyNumberFormat="1" applyFont="1" applyFill="1" applyBorder="1" applyAlignment="1">
      <x:alignment horizontal="center"/>
    </x:xf>
    <x:xf numFmtId="201" fontId="4" fillId="9" borderId="7" xfId="0" applyNumberFormat="1" applyFont="1" applyFill="1" applyBorder="1" applyAlignment="1">
      <x:alignment horizontal="center"/>
    </x:xf>
    <x:xf numFmtId="201" fontId="4" fillId="9" borderId="8" xfId="0" applyNumberFormat="1" applyFont="1" applyFill="1" applyBorder="1" applyAlignment="1">
      <x:alignment horizontal="center"/>
    </x:xf>
    <x:xf numFmtId="201" fontId="4" fillId="9" borderId="9" xfId="0" applyNumberFormat="1" applyFont="1" applyFill="1" applyBorder="1" applyAlignment="1">
      <x:alignment horizontal="center"/>
    </x:xf>
    <x:xf numFmtId="201" fontId="4" fillId="9" borderId="2" xfId="0" applyNumberFormat="1" applyFont="1" applyFill="1" applyBorder="1" applyAlignment="1">
      <x:alignment horizontal="center" vertical="center"/>
    </x:xf>
    <x:xf numFmtId="201" fontId="4" fillId="9" borderId="3" xfId="0" applyNumberFormat="1" applyFont="1" applyFill="1" applyBorder="1" applyAlignment="1">
      <x:alignment horizontal="center" vertical="center"/>
    </x:xf>
    <x:xf numFmtId="201" fontId="4" fillId="9" borderId="4" xfId="0" applyNumberFormat="1" applyFont="1" applyFill="1" applyBorder="1" applyAlignment="1">
      <x:alignment horizontal="center" vertical="center"/>
    </x:xf>
    <x:xf numFmtId="201" fontId="4" fillId="9" borderId="5" xfId="0" applyNumberFormat="1" applyFont="1" applyFill="1" applyBorder="1" applyAlignment="1">
      <x:alignment horizontal="center" vertical="center"/>
    </x:xf>
    <x:xf numFmtId="201" fontId="4" fillId="9" borderId="6" xfId="0" applyNumberFormat="1" applyFont="1" applyFill="1" applyBorder="1" applyAlignment="1">
      <x:alignment horizontal="center" vertical="center"/>
    </x:xf>
    <x:xf numFmtId="201" fontId="4" fillId="9" borderId="7" xfId="0" applyNumberFormat="1" applyFont="1" applyFill="1" applyBorder="1" applyAlignment="1">
      <x:alignment horizontal="center" vertical="center"/>
    </x:xf>
    <x:xf numFmtId="201" fontId="4" fillId="9" borderId="8" xfId="0" applyNumberFormat="1" applyFont="1" applyFill="1" applyBorder="1" applyAlignment="1">
      <x:alignment horizontal="center" vertical="center"/>
    </x:xf>
    <x:xf numFmtId="201" fontId="4" fillId="9" borderId="9" xfId="0" applyNumberFormat="1" applyFont="1" applyFill="1" applyBorder="1" applyAlignment="1">
      <x:alignment horizontal="center" vertical="center"/>
    </x:xf>
    <x:xf numFmtId="201" fontId="4" fillId="5" borderId="2" xfId="0" applyNumberFormat="1" applyFont="1" applyFill="1" applyBorder="1"/>
    <x:xf numFmtId="201" fontId="4" fillId="5" borderId="3" xfId="0" applyNumberFormat="1" applyFont="1" applyFill="1" applyBorder="1"/>
    <x:xf numFmtId="201" fontId="4" fillId="5" borderId="4" xfId="0" applyNumberFormat="1" applyFont="1" applyFill="1" applyBorder="1"/>
    <x:xf numFmtId="201" fontId="4" fillId="5" borderId="5" xfId="0" applyNumberFormat="1" applyFont="1" applyFill="1" applyBorder="1"/>
    <x:xf numFmtId="201" fontId="4" fillId="5" borderId="6" xfId="0" applyNumberFormat="1" applyFont="1" applyFill="1" applyBorder="1"/>
    <x:xf numFmtId="201" fontId="4" fillId="5" borderId="7" xfId="0" applyNumberFormat="1" applyFont="1" applyFill="1" applyBorder="1"/>
    <x:xf numFmtId="201" fontId="4" fillId="5" borderId="8" xfId="0" applyNumberFormat="1" applyFont="1" applyFill="1" applyBorder="1"/>
    <x:xf numFmtId="201" fontId="4" fillId="5" borderId="9" xfId="0" applyNumberFormat="1" applyFont="1" applyFill="1" applyBorder="1"/>
    <x:xf numFmtId="201" fontId="4" fillId="5" borderId="2" xfId="0" applyNumberFormat="1" applyFont="1" applyFill="1" applyBorder="1" applyAlignment="1">
      <x:alignment horizontal="center"/>
    </x:xf>
    <x:xf numFmtId="201" fontId="4" fillId="5" borderId="3" xfId="0" applyNumberFormat="1" applyFont="1" applyFill="1" applyBorder="1" applyAlignment="1">
      <x:alignment horizontal="center"/>
    </x:xf>
    <x:xf numFmtId="201" fontId="4" fillId="5" borderId="4" xfId="0" applyNumberFormat="1" applyFont="1" applyFill="1" applyBorder="1" applyAlignment="1">
      <x:alignment horizontal="center"/>
    </x:xf>
    <x:xf numFmtId="201" fontId="4" fillId="5" borderId="5" xfId="0" applyNumberFormat="1" applyFont="1" applyFill="1" applyBorder="1" applyAlignment="1">
      <x:alignment horizontal="center"/>
    </x:xf>
    <x:xf numFmtId="201" fontId="4" fillId="5" borderId="6" xfId="0" applyNumberFormat="1" applyFont="1" applyFill="1" applyBorder="1" applyAlignment="1">
      <x:alignment horizontal="center"/>
    </x:xf>
    <x:xf numFmtId="201" fontId="4" fillId="5" borderId="7" xfId="0" applyNumberFormat="1" applyFont="1" applyFill="1" applyBorder="1" applyAlignment="1">
      <x:alignment horizontal="center"/>
    </x:xf>
    <x:xf numFmtId="201" fontId="4" fillId="5" borderId="8" xfId="0" applyNumberFormat="1" applyFont="1" applyFill="1" applyBorder="1" applyAlignment="1">
      <x:alignment horizontal="center"/>
    </x:xf>
    <x:xf numFmtId="201" fontId="4" fillId="5" borderId="9" xfId="0" applyNumberFormat="1" applyFont="1" applyFill="1" applyBorder="1" applyAlignment="1">
      <x:alignment horizontal="center"/>
    </x:xf>
    <x:xf numFmtId="201" fontId="4" fillId="5" borderId="2" xfId="0" applyNumberFormat="1" applyFont="1" applyFill="1" applyBorder="1" applyAlignment="1">
      <x:alignment horizontal="center" vertical="center"/>
    </x:xf>
    <x:xf numFmtId="201" fontId="4" fillId="5" borderId="3" xfId="0" applyNumberFormat="1" applyFont="1" applyFill="1" applyBorder="1" applyAlignment="1">
      <x:alignment horizontal="center" vertical="center"/>
    </x:xf>
    <x:xf numFmtId="201" fontId="4" fillId="5" borderId="4" xfId="0" applyNumberFormat="1" applyFont="1" applyFill="1" applyBorder="1" applyAlignment="1">
      <x:alignment horizontal="center" vertical="center"/>
    </x:xf>
    <x:xf numFmtId="201" fontId="4" fillId="5" borderId="5" xfId="0" applyNumberFormat="1" applyFont="1" applyFill="1" applyBorder="1" applyAlignment="1">
      <x:alignment horizontal="center" vertical="center"/>
    </x:xf>
    <x:xf numFmtId="201" fontId="4" fillId="5" borderId="6" xfId="0" applyNumberFormat="1" applyFont="1" applyFill="1" applyBorder="1" applyAlignment="1">
      <x:alignment horizontal="center" vertical="center"/>
    </x:xf>
    <x:xf numFmtId="201" fontId="4" fillId="5" borderId="7" xfId="0" applyNumberFormat="1" applyFont="1" applyFill="1" applyBorder="1" applyAlignment="1">
      <x:alignment horizontal="center" vertical="center"/>
    </x:xf>
    <x:xf numFmtId="201" fontId="4" fillId="5" borderId="8" xfId="0" applyNumberFormat="1" applyFont="1" applyFill="1" applyBorder="1" applyAlignment="1">
      <x:alignment horizontal="center" vertical="center"/>
    </x:xf>
    <x:xf numFmtId="201" fontId="4" fillId="5" borderId="9" xfId="0" applyNumberFormat="1" applyFont="1" applyFill="1" applyBorder="1" applyAlignment="1">
      <x:alignment horizontal="center" vertical="center"/>
    </x:xf>
    <x:xf numFmtId="202" fontId="5" fillId="8" borderId="2" xfId="0" applyNumberFormat="1" applyFont="1" applyFill="1" applyBorder="1"/>
    <x:xf numFmtId="202" fontId="5" fillId="8" borderId="3" xfId="0" applyNumberFormat="1" applyFont="1" applyFill="1" applyBorder="1"/>
    <x:xf numFmtId="202" fontId="5" fillId="8" borderId="4" xfId="0" applyNumberFormat="1" applyFont="1" applyFill="1" applyBorder="1"/>
    <x:xf numFmtId="202" fontId="5" fillId="8" borderId="5" xfId="0" applyNumberFormat="1" applyFont="1" applyFill="1" applyBorder="1"/>
    <x:xf numFmtId="202" fontId="5" fillId="8" borderId="6" xfId="0" applyNumberFormat="1" applyFont="1" applyFill="1" applyBorder="1"/>
    <x:xf numFmtId="202" fontId="5" fillId="8" borderId="7" xfId="0" applyNumberFormat="1" applyFont="1" applyFill="1" applyBorder="1"/>
    <x:xf numFmtId="202" fontId="5" fillId="8" borderId="8" xfId="0" applyNumberFormat="1" applyFont="1" applyFill="1" applyBorder="1"/>
    <x:xf numFmtId="202" fontId="5" fillId="8" borderId="9" xfId="0" applyNumberFormat="1" applyFont="1" applyFill="1" applyBorder="1"/>
    <x:xf numFmtId="202" fontId="5" fillId="8" borderId="2" xfId="0" applyNumberFormat="1" applyFont="1" applyFill="1" applyBorder="1" applyAlignment="1">
      <x:alignment horizontal="center"/>
    </x:xf>
    <x:xf numFmtId="202" fontId="5" fillId="8" borderId="3" xfId="0" applyNumberFormat="1" applyFont="1" applyFill="1" applyBorder="1" applyAlignment="1">
      <x:alignment horizontal="center"/>
    </x:xf>
    <x:xf numFmtId="202" fontId="5" fillId="8" borderId="4" xfId="0" applyNumberFormat="1" applyFont="1" applyFill="1" applyBorder="1" applyAlignment="1">
      <x:alignment horizontal="center"/>
    </x:xf>
    <x:xf numFmtId="202" fontId="5" fillId="8" borderId="5" xfId="0" applyNumberFormat="1" applyFont="1" applyFill="1" applyBorder="1" applyAlignment="1">
      <x:alignment horizontal="center"/>
    </x:xf>
    <x:xf numFmtId="202" fontId="5" fillId="8" borderId="6" xfId="0" applyNumberFormat="1" applyFont="1" applyFill="1" applyBorder="1" applyAlignment="1">
      <x:alignment horizontal="center"/>
    </x:xf>
    <x:xf numFmtId="202" fontId="5" fillId="8" borderId="7" xfId="0" applyNumberFormat="1" applyFont="1" applyFill="1" applyBorder="1" applyAlignment="1">
      <x:alignment horizontal="center"/>
    </x:xf>
    <x:xf numFmtId="202" fontId="5" fillId="8" borderId="8" xfId="0" applyNumberFormat="1" applyFont="1" applyFill="1" applyBorder="1" applyAlignment="1">
      <x:alignment horizontal="center"/>
    </x:xf>
    <x:xf numFmtId="202" fontId="5" fillId="8" borderId="9" xfId="0" applyNumberFormat="1" applyFont="1" applyFill="1" applyBorder="1" applyAlignment="1">
      <x:alignment horizontal="center"/>
    </x:xf>
    <x:xf numFmtId="202" fontId="5" fillId="8" borderId="2" xfId="0" applyNumberFormat="1" applyFont="1" applyFill="1" applyBorder="1" applyAlignment="1">
      <x:alignment horizontal="center" vertical="center"/>
    </x:xf>
    <x:xf numFmtId="202" fontId="5" fillId="8" borderId="3" xfId="0" applyNumberFormat="1" applyFont="1" applyFill="1" applyBorder="1" applyAlignment="1">
      <x:alignment horizontal="center" vertical="center"/>
    </x:xf>
    <x:xf numFmtId="202" fontId="5" fillId="8" borderId="4" xfId="0" applyNumberFormat="1" applyFont="1" applyFill="1" applyBorder="1" applyAlignment="1">
      <x:alignment horizontal="center" vertical="center"/>
    </x:xf>
    <x:xf numFmtId="202" fontId="5" fillId="8" borderId="5" xfId="0" applyNumberFormat="1" applyFont="1" applyFill="1" applyBorder="1" applyAlignment="1">
      <x:alignment horizontal="center" vertical="center"/>
    </x:xf>
    <x:xf numFmtId="202" fontId="5" fillId="8" borderId="6" xfId="0" applyNumberFormat="1" applyFont="1" applyFill="1" applyBorder="1" applyAlignment="1">
      <x:alignment horizontal="center" vertical="center"/>
    </x:xf>
    <x:xf numFmtId="202" fontId="5" fillId="8" borderId="7" xfId="0" applyNumberFormat="1" applyFont="1" applyFill="1" applyBorder="1" applyAlignment="1">
      <x:alignment horizontal="center" vertical="center"/>
    </x:xf>
    <x:xf numFmtId="202" fontId="5" fillId="8" borderId="8" xfId="0" applyNumberFormat="1" applyFont="1" applyFill="1" applyBorder="1" applyAlignment="1">
      <x:alignment horizontal="center" vertical="center"/>
    </x:xf>
    <x:xf numFmtId="202" fontId="5" fillId="8" borderId="9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0" fillId="10" borderId="1" xfId="0" applyNumberFormat="1" applyFont="1" applyFill="1" applyBorder="1"/>
    <x:xf numFmtId="0" fontId="3" fillId="10" borderId="0" xfId="0" applyNumberFormat="1" applyFont="1" applyFill="1" applyBorder="1"/>
    <x:xf numFmtId="0" fontId="3" fillId="10" borderId="1" xfId="0" applyNumberFormat="1" applyFont="1" applyFill="1" applyBorder="1"/>
    <x:xf numFmtId="0" fontId="6" fillId="9" borderId="0" xfId="0" applyNumberFormat="1" applyFont="1" applyFill="1" applyBorder="1"/>
    <x:xf numFmtId="0" fontId="6" fillId="9" borderId="1" xfId="0" applyNumberFormat="1" applyFont="1" applyFill="1" applyBorder="1"/>
    <x:xf numFmtId="203" fontId="6" fillId="9" borderId="0" xfId="0" applyNumberFormat="1" applyFont="1" applyFill="1" applyBorder="1"/>
    <x:xf numFmtId="203" fontId="6" fillId="9" borderId="1" xfId="0" applyNumberFormat="1" applyFont="1" applyFill="1" applyBorder="1"/>
    <x:xf numFmtId="203" fontId="6" fillId="9" borderId="0" xfId="0" applyNumberFormat="1" applyFont="1" applyFill="1" applyBorder="1" applyAlignment="1">
      <x:alignment horizontal="center"/>
    </x:xf>
    <x:xf numFmtId="203" fontId="6" fillId="9" borderId="1" xfId="0" applyNumberFormat="1" applyFont="1" applyFill="1" applyBorder="1" applyAlignment="1">
      <x:alignment horizontal="center"/>
    </x:xf>
    <x:xf numFmtId="0" fontId="7" fillId="6" borderId="0" xfId="0" applyNumberFormat="1" applyFont="1" applyFill="1" applyBorder="1"/>
    <x:xf numFmtId="0" fontId="7" fillId="6" borderId="1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0" fillId="11" borderId="1" xfId="0" applyNumberFormat="1" applyFont="1" applyFill="1" applyBorder="1"/>
    <x:xf numFmtId="0" fontId="3" fillId="11" borderId="0" xfId="0" applyNumberFormat="1" applyFont="1" applyFill="1" applyBorder="1"/>
    <x:xf numFmtId="0" fontId="3" fillId="11" borderId="1" xfId="0" applyNumberFormat="1" applyFont="1" applyFill="1" applyBorder="1"/>
    <x:xf numFmtId="0" fontId="3" fillId="11" borderId="0" xfId="0" applyNumberFormat="1" applyFont="1" applyFill="1" applyBorder="1" applyAlignment="1">
      <x:alignment vertical="center"/>
    </x:xf>
    <x:xf numFmtId="0" fontId="3" fillId="11" borderId="1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0" fillId="12" borderId="1" xfId="0" applyNumberFormat="1" applyFont="1" applyFill="1" applyBorder="1"/>
    <x:xf numFmtId="0" fontId="8" fillId="12" borderId="0" xfId="0" applyNumberFormat="1" applyFont="1" applyFill="1" applyBorder="1"/>
    <x:xf numFmtId="0" fontId="8" fillId="12" borderId="1" xfId="0" applyNumberFormat="1" applyFont="1" applyFill="1" applyBorder="1"/>
    <x:xf numFmtId="0" fontId="8" fillId="12" borderId="2" xfId="0" applyNumberFormat="1" applyFont="1" applyFill="1" applyBorder="1"/>
    <x:xf numFmtId="0" fontId="8" fillId="12" borderId="10" xfId="0" applyNumberFormat="1" applyFont="1" applyFill="1" applyBorder="1"/>
    <x:xf numFmtId="0" fontId="8" fillId="12" borderId="3" xfId="0" applyNumberFormat="1" applyFont="1" applyFill="1" applyBorder="1"/>
    <x:xf numFmtId="0" fontId="8" fillId="12" borderId="11" xfId="0" applyNumberFormat="1" applyFont="1" applyFill="1" applyBorder="1"/>
    <x:xf numFmtId="0" fontId="8" fillId="12" borderId="12" xfId="0" applyNumberFormat="1" applyFont="1" applyFill="1" applyBorder="1"/>
    <x:xf numFmtId="0" fontId="8" fillId="12" borderId="4" xfId="0" applyNumberFormat="1" applyFont="1" applyFill="1" applyBorder="1"/>
    <x:xf numFmtId="0" fontId="8" fillId="12" borderId="13" xfId="0" applyNumberFormat="1" applyFont="1" applyFill="1" applyBorder="1"/>
    <x:xf numFmtId="0" fontId="8" fillId="12" borderId="5" xfId="0" applyNumberFormat="1" applyFont="1" applyFill="1" applyBorder="1"/>
    <x:xf numFmtId="0" fontId="8" fillId="12" borderId="6" xfId="0" applyNumberFormat="1" applyFont="1" applyFill="1" applyBorder="1"/>
    <x:xf numFmtId="0" fontId="8" fillId="12" borderId="14" xfId="0" applyNumberFormat="1" applyFont="1" applyFill="1" applyBorder="1"/>
    <x:xf numFmtId="0" fontId="8" fillId="12" borderId="7" xfId="0" applyNumberFormat="1" applyFont="1" applyFill="1" applyBorder="1"/>
    <x:xf numFmtId="0" fontId="8" fillId="12" borderId="15" xfId="0" applyNumberFormat="1" applyFont="1" applyFill="1" applyBorder="1"/>
    <x:xf numFmtId="0" fontId="8" fillId="12" borderId="16" xfId="0" applyNumberFormat="1" applyFont="1" applyFill="1" applyBorder="1"/>
    <x:xf numFmtId="0" fontId="8" fillId="12" borderId="8" xfId="0" applyNumberFormat="1" applyFont="1" applyFill="1" applyBorder="1"/>
    <x:xf numFmtId="0" fontId="8" fillId="12" borderId="17" xfId="0" applyNumberFormat="1" applyFont="1" applyFill="1" applyBorder="1"/>
    <x:xf numFmtId="0" fontId="8" fillId="12" borderId="9" xfId="0" applyNumberFormat="1" applyFont="1" applyFill="1" applyBorder="1"/>
    <x:xf numFmtId="0" fontId="8" fillId="12" borderId="2" xfId="0" applyNumberFormat="1" applyFont="1" applyFill="1" applyBorder="1" applyAlignment="1">
      <x:alignment wrapText="1"/>
    </x:xf>
    <x:xf numFmtId="0" fontId="8" fillId="12" borderId="10" xfId="0" applyNumberFormat="1" applyFont="1" applyFill="1" applyBorder="1" applyAlignment="1">
      <x:alignment wrapText="1"/>
    </x:xf>
    <x:xf numFmtId="0" fontId="8" fillId="12" borderId="3" xfId="0" applyNumberFormat="1" applyFont="1" applyFill="1" applyBorder="1" applyAlignment="1">
      <x:alignment wrapText="1"/>
    </x:xf>
    <x:xf numFmtId="0" fontId="8" fillId="12" borderId="11" xfId="0" applyNumberFormat="1" applyFont="1" applyFill="1" applyBorder="1" applyAlignment="1">
      <x:alignment wrapText="1"/>
    </x:xf>
    <x:xf numFmtId="0" fontId="8" fillId="12" borderId="0" xfId="0" applyNumberFormat="1" applyFont="1" applyFill="1" applyBorder="1" applyAlignment="1">
      <x:alignment wrapText="1"/>
    </x:xf>
    <x:xf numFmtId="0" fontId="8" fillId="12" borderId="12" xfId="0" applyNumberFormat="1" applyFont="1" applyFill="1" applyBorder="1" applyAlignment="1">
      <x:alignment wrapText="1"/>
    </x:xf>
    <x:xf numFmtId="0" fontId="8" fillId="12" borderId="4" xfId="0" applyNumberFormat="1" applyFont="1" applyFill="1" applyBorder="1" applyAlignment="1">
      <x:alignment wrapText="1"/>
    </x:xf>
    <x:xf numFmtId="0" fontId="8" fillId="12" borderId="13" xfId="0" applyNumberFormat="1" applyFont="1" applyFill="1" applyBorder="1" applyAlignment="1">
      <x:alignment wrapText="1"/>
    </x:xf>
    <x:xf numFmtId="0" fontId="8" fillId="12" borderId="5" xfId="0" applyNumberFormat="1" applyFont="1" applyFill="1" applyBorder="1" applyAlignment="1">
      <x:alignment wrapText="1"/>
    </x:xf>
    <x:xf numFmtId="0" fontId="8" fillId="12" borderId="6" xfId="0" applyNumberFormat="1" applyFont="1" applyFill="1" applyBorder="1" applyAlignment="1">
      <x:alignment wrapText="1"/>
    </x:xf>
    <x:xf numFmtId="0" fontId="8" fillId="12" borderId="14" xfId="0" applyNumberFormat="1" applyFont="1" applyFill="1" applyBorder="1" applyAlignment="1">
      <x:alignment wrapText="1"/>
    </x:xf>
    <x:xf numFmtId="0" fontId="8" fillId="12" borderId="7" xfId="0" applyNumberFormat="1" applyFont="1" applyFill="1" applyBorder="1" applyAlignment="1">
      <x:alignment wrapText="1"/>
    </x:xf>
    <x:xf numFmtId="0" fontId="8" fillId="12" borderId="15" xfId="0" applyNumberFormat="1" applyFont="1" applyFill="1" applyBorder="1" applyAlignment="1">
      <x:alignment wrapText="1"/>
    </x:xf>
    <x:xf numFmtId="0" fontId="8" fillId="12" borderId="1" xfId="0" applyNumberFormat="1" applyFont="1" applyFill="1" applyBorder="1" applyAlignment="1">
      <x:alignment wrapText="1"/>
    </x:xf>
    <x:xf numFmtId="0" fontId="8" fillId="12" borderId="16" xfId="0" applyNumberFormat="1" applyFont="1" applyFill="1" applyBorder="1" applyAlignment="1">
      <x:alignment wrapText="1"/>
    </x:xf>
    <x:xf numFmtId="0" fontId="8" fillId="12" borderId="8" xfId="0" applyNumberFormat="1" applyFont="1" applyFill="1" applyBorder="1" applyAlignment="1">
      <x:alignment wrapText="1"/>
    </x:xf>
    <x:xf numFmtId="0" fontId="8" fillId="12" borderId="17" xfId="0" applyNumberFormat="1" applyFont="1" applyFill="1" applyBorder="1" applyAlignment="1">
      <x:alignment wrapText="1"/>
    </x:xf>
    <x:xf numFmtId="0" fontId="8" fillId="12" borderId="9" xfId="0" applyNumberFormat="1" applyFont="1" applyFill="1" applyBorder="1" applyAlignment="1">
      <x:alignment wrapText="1"/>
    </x:xf>
    <x:xf numFmtId="0" fontId="8" fillId="12" borderId="2" xfId="0" applyNumberFormat="1" applyFont="1" applyFill="1" applyBorder="1" applyAlignment="1">
      <x:alignment vertical="top" wrapText="1"/>
    </x:xf>
    <x:xf numFmtId="0" fontId="8" fillId="12" borderId="10" xfId="0" applyNumberFormat="1" applyFont="1" applyFill="1" applyBorder="1" applyAlignment="1">
      <x:alignment vertical="top" wrapText="1"/>
    </x:xf>
    <x:xf numFmtId="0" fontId="8" fillId="12" borderId="3" xfId="0" applyNumberFormat="1" applyFont="1" applyFill="1" applyBorder="1" applyAlignment="1">
      <x:alignment vertical="top" wrapText="1"/>
    </x:xf>
    <x:xf numFmtId="0" fontId="8" fillId="12" borderId="11" xfId="0" applyNumberFormat="1" applyFont="1" applyFill="1" applyBorder="1" applyAlignment="1">
      <x:alignment vertical="top" wrapText="1"/>
    </x:xf>
    <x:xf numFmtId="0" fontId="8" fillId="12" borderId="0" xfId="0" applyNumberFormat="1" applyFont="1" applyFill="1" applyBorder="1" applyAlignment="1">
      <x:alignment vertical="top" wrapText="1"/>
    </x:xf>
    <x:xf numFmtId="0" fontId="8" fillId="12" borderId="12" xfId="0" applyNumberFormat="1" applyFont="1" applyFill="1" applyBorder="1" applyAlignment="1">
      <x:alignment vertical="top" wrapText="1"/>
    </x:xf>
    <x:xf numFmtId="0" fontId="8" fillId="12" borderId="4" xfId="0" applyNumberFormat="1" applyFont="1" applyFill="1" applyBorder="1" applyAlignment="1">
      <x:alignment vertical="top" wrapText="1"/>
    </x:xf>
    <x:xf numFmtId="0" fontId="8" fillId="12" borderId="13" xfId="0" applyNumberFormat="1" applyFont="1" applyFill="1" applyBorder="1" applyAlignment="1">
      <x:alignment vertical="top" wrapText="1"/>
    </x:xf>
    <x:xf numFmtId="0" fontId="8" fillId="12" borderId="5" xfId="0" applyNumberFormat="1" applyFont="1" applyFill="1" applyBorder="1" applyAlignment="1">
      <x:alignment vertical="top" wrapText="1"/>
    </x:xf>
    <x:xf numFmtId="0" fontId="8" fillId="12" borderId="6" xfId="0" applyNumberFormat="1" applyFont="1" applyFill="1" applyBorder="1" applyAlignment="1">
      <x:alignment vertical="top" wrapText="1"/>
    </x:xf>
    <x:xf numFmtId="0" fontId="8" fillId="12" borderId="14" xfId="0" applyNumberFormat="1" applyFont="1" applyFill="1" applyBorder="1" applyAlignment="1">
      <x:alignment vertical="top" wrapText="1"/>
    </x:xf>
    <x:xf numFmtId="0" fontId="8" fillId="12" borderId="7" xfId="0" applyNumberFormat="1" applyFont="1" applyFill="1" applyBorder="1" applyAlignment="1">
      <x:alignment vertical="top" wrapText="1"/>
    </x:xf>
    <x:xf numFmtId="0" fontId="8" fillId="12" borderId="15" xfId="0" applyNumberFormat="1" applyFont="1" applyFill="1" applyBorder="1" applyAlignment="1">
      <x:alignment vertical="top" wrapText="1"/>
    </x:xf>
    <x:xf numFmtId="0" fontId="8" fillId="12" borderId="1" xfId="0" applyNumberFormat="1" applyFont="1" applyFill="1" applyBorder="1" applyAlignment="1">
      <x:alignment vertical="top" wrapText="1"/>
    </x:xf>
    <x:xf numFmtId="0" fontId="8" fillId="12" borderId="16" xfId="0" applyNumberFormat="1" applyFont="1" applyFill="1" applyBorder="1" applyAlignment="1">
      <x:alignment vertical="top" wrapText="1"/>
    </x:xf>
    <x:xf numFmtId="0" fontId="8" fillId="12" borderId="8" xfId="0" applyNumberFormat="1" applyFont="1" applyFill="1" applyBorder="1" applyAlignment="1">
      <x:alignment vertical="top" wrapText="1"/>
    </x:xf>
    <x:xf numFmtId="0" fontId="8" fillId="12" borderId="17" xfId="0" applyNumberFormat="1" applyFont="1" applyFill="1" applyBorder="1" applyAlignment="1">
      <x:alignment vertical="top" wrapText="1"/>
    </x:xf>
    <x:xf numFmtId="0" fontId="8" fillId="12" borderId="9" xfId="0" applyNumberFormat="1" applyFont="1" applyFill="1" applyBorder="1" applyAlignment="1">
      <x:alignment vertical="top" wrapText="1"/>
    </x:xf>
    <x:xf numFmtId="0" fontId="3" fillId="2" borderId="18" xfId="0" applyNumberFormat="1" applyFont="1" applyFill="1" applyBorder="1"/>
    <x:xf numFmtId="0" fontId="3" fillId="2" borderId="19" xfId="0" applyNumberFormat="1" applyFont="1" applyFill="1" applyBorder="1"/>
    <x:xf numFmtId="0" fontId="3" fillId="2" borderId="20" xfId="0" applyNumberFormat="1" applyFont="1" applyFill="1" applyBorder="1"/>
    <x:xf numFmtId="0" fontId="3" fillId="2" borderId="21" xfId="0" applyNumberFormat="1" applyFont="1" applyFill="1" applyBorder="1"/>
    <x:xf numFmtId="0" fontId="3" fillId="2" borderId="22" xfId="0" applyNumberFormat="1" applyFont="1" applyFill="1" applyBorder="1"/>
    <x:xf numFmtId="0" fontId="3" fillId="2" borderId="23" xfId="0" applyNumberFormat="1" applyFont="1" applyFill="1" applyBorder="1"/>
    <x:xf numFmtId="0" fontId="3" fillId="2" borderId="18" xfId="0" applyNumberFormat="1" applyFont="1" applyFill="1" applyBorder="1" applyAlignment="1">
      <x:alignment wrapText="1"/>
    </x:xf>
    <x:xf numFmtId="0" fontId="3" fillId="2" borderId="19" xfId="0" applyNumberFormat="1" applyFont="1" applyFill="1" applyBorder="1" applyAlignment="1">
      <x:alignment wrapText="1"/>
    </x:xf>
    <x:xf numFmtId="0" fontId="3" fillId="2" borderId="20" xfId="0" applyNumberFormat="1" applyFont="1" applyFill="1" applyBorder="1" applyAlignment="1">
      <x:alignment wrapText="1"/>
    </x:xf>
    <x:xf numFmtId="0" fontId="3" fillId="2" borderId="21" xfId="0" applyNumberFormat="1" applyFont="1" applyFill="1" applyBorder="1" applyAlignment="1">
      <x:alignment wrapText="1"/>
    </x:xf>
    <x:xf numFmtId="0" fontId="3" fillId="2" borderId="22" xfId="0" applyNumberFormat="1" applyFont="1" applyFill="1" applyBorder="1" applyAlignment="1">
      <x:alignment wrapText="1"/>
    </x:xf>
    <x:xf numFmtId="0" fontId="3" fillId="2" borderId="23" xfId="0" applyNumberFormat="1" applyFont="1" applyFill="1" applyBorder="1" applyAlignment="1">
      <x:alignment wrapText="1"/>
    </x:xf>
    <x:xf numFmtId="0" fontId="3" fillId="2" borderId="18" xfId="0" applyNumberFormat="1" applyFont="1" applyFill="1" applyBorder="1" applyAlignment="1">
      <x:alignment horizontal="center" wrapText="1"/>
    </x:xf>
    <x:xf numFmtId="0" fontId="3" fillId="2" borderId="19" xfId="0" applyNumberFormat="1" applyFont="1" applyFill="1" applyBorder="1" applyAlignment="1">
      <x:alignment horizontal="center" wrapText="1"/>
    </x:xf>
    <x:xf numFmtId="0" fontId="3" fillId="2" borderId="20" xfId="0" applyNumberFormat="1" applyFont="1" applyFill="1" applyBorder="1" applyAlignment="1">
      <x:alignment horizontal="center" wrapText="1"/>
    </x:xf>
    <x:xf numFmtId="0" fontId="3" fillId="2" borderId="21" xfId="0" applyNumberFormat="1" applyFont="1" applyFill="1" applyBorder="1" applyAlignment="1">
      <x:alignment horizontal="center" wrapText="1"/>
    </x:xf>
    <x:xf numFmtId="0" fontId="3" fillId="2" borderId="22" xfId="0" applyNumberFormat="1" applyFont="1" applyFill="1" applyBorder="1" applyAlignment="1">
      <x:alignment horizontal="center" wrapText="1"/>
    </x:xf>
    <x:xf numFmtId="0" fontId="3" fillId="2" borderId="23" xfId="0" applyNumberFormat="1" applyFont="1" applyFill="1" applyBorder="1" applyAlignment="1">
      <x:alignment horizontal="center" wrapText="1"/>
    </x:xf>
    <x:xf numFmtId="0" fontId="3" fillId="2" borderId="18" xfId="0" applyNumberFormat="1" applyFont="1" applyFill="1" applyBorder="1" applyAlignment="1">
      <x:alignment horizontal="center" vertical="center" wrapText="1"/>
    </x:xf>
    <x:xf numFmtId="0" fontId="3" fillId="2" borderId="19" xfId="0" applyNumberFormat="1" applyFont="1" applyFill="1" applyBorder="1" applyAlignment="1">
      <x:alignment horizontal="center" vertical="center" wrapText="1"/>
    </x:xf>
    <x:xf numFmtId="0" fontId="3" fillId="2" borderId="20" xfId="0" applyNumberFormat="1" applyFont="1" applyFill="1" applyBorder="1" applyAlignment="1">
      <x:alignment horizontal="center" vertical="center" wrapText="1"/>
    </x:xf>
    <x:xf numFmtId="0" fontId="3" fillId="2" borderId="21" xfId="0" applyNumberFormat="1" applyFont="1" applyFill="1" applyBorder="1" applyAlignment="1">
      <x:alignment horizontal="center" vertical="center" wrapText="1"/>
    </x:xf>
    <x:xf numFmtId="0" fontId="3" fillId="2" borderId="22" xfId="0" applyNumberFormat="1" applyFont="1" applyFill="1" applyBorder="1" applyAlignment="1">
      <x:alignment horizontal="center" vertical="center" wrapText="1"/>
    </x:xf>
    <x:xf numFmtId="0" fontId="3" fillId="2" borderId="23" xfId="0" applyNumberFormat="1" applyFont="1" applyFill="1" applyBorder="1" applyAlignment="1">
      <x:alignment horizontal="center" vertical="center" wrapText="1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5" xfId="0" applyNumberFormat="1" applyFont="1" applyFill="1" applyBorder="1"/>
    <x:xf numFmtId="204" fontId="0" fillId="0" borderId="24" xfId="0" applyNumberFormat="1" applyFont="1" applyFill="1" applyBorder="1"/>
    <x:xf numFmtId="201" fontId="0" fillId="0" borderId="24" xfId="0" applyNumberFormat="1" applyFont="1" applyFill="1" applyBorder="1"/>
    <x:xf numFmtId="201" fontId="0" fillId="0" borderId="4" xfId="0" applyNumberFormat="1" applyFont="1" applyFill="1" applyBorder="1"/>
    <x:xf numFmtId="0" fontId="0" fillId="0" borderId="20" xfId="0" applyNumberFormat="1" applyFont="1" applyFill="1" applyBorder="1"/>
    <x:xf numFmtId="204" fontId="0" fillId="0" borderId="25" xfId="0" applyNumberFormat="1" applyFont="1" applyFill="1" applyBorder="1"/>
    <x:xf numFmtId="201" fontId="0" fillId="0" borderId="25" xfId="0" applyNumberFormat="1" applyFont="1" applyFill="1" applyBorder="1"/>
    <x:xf numFmtId="201" fontId="0" fillId="0" borderId="18" xfId="0" applyNumberFormat="1" applyFont="1" applyFill="1" applyBorder="1"/>
    <x:xf numFmtId="0" fontId="0" fillId="0" borderId="3" xfId="0" applyNumberFormat="1" applyFont="1" applyFill="1" applyBorder="1"/>
    <x:xf numFmtId="204" fontId="0" fillId="0" borderId="26" xfId="0" applyNumberFormat="1" applyFont="1" applyFill="1" applyBorder="1"/>
    <x:xf numFmtId="201" fontId="0" fillId="0" borderId="26" xfId="0" applyNumberFormat="1" applyFont="1" applyFill="1" applyBorder="1"/>
    <x:xf numFmtId="201" fontId="0" fillId="0" borderId="2" xfId="0" applyNumberFormat="1" applyFont="1" applyFill="1" applyBorder="1"/>
    <x:xf numFmtId="0" fontId="0" fillId="0" borderId="9" xfId="0" applyNumberFormat="1" applyFont="1" applyFill="1" applyBorder="1"/>
    <x:xf numFmtId="204" fontId="0" fillId="0" borderId="27" xfId="0" applyNumberFormat="1" applyFont="1" applyFill="1" applyBorder="1"/>
    <x:xf numFmtId="201" fontId="0" fillId="0" borderId="27" xfId="0" applyNumberFormat="1" applyFont="1" applyFill="1" applyBorder="1"/>
    <x:xf numFmtId="201" fontId="0" fillId="0" borderId="8" xfId="0" applyNumberFormat="1" applyFont="1" applyFill="1" applyBorder="1"/>
    <x:xf numFmtId="0" fontId="0" fillId="0" borderId="23" xfId="0" applyNumberFormat="1" applyFont="1" applyFill="1" applyBorder="1"/>
    <x:xf numFmtId="204" fontId="0" fillId="0" borderId="28" xfId="0" applyNumberFormat="1" applyFont="1" applyFill="1" applyBorder="1"/>
    <x:xf numFmtId="201" fontId="0" fillId="0" borderId="28" xfId="0" applyNumberFormat="1" applyFont="1" applyFill="1" applyBorder="1"/>
    <x:xf numFmtId="201" fontId="0" fillId="0" borderId="21" xfId="0" applyNumberFormat="1" applyFont="1" applyFill="1" applyBorder="1"/>
    <x:xf numFmtId="0" fontId="0" fillId="0" borderId="7" xfId="0" applyNumberFormat="1" applyFont="1" applyFill="1" applyBorder="1"/>
    <x:xf numFmtId="204" fontId="0" fillId="0" borderId="29" xfId="0" applyNumberFormat="1" applyFont="1" applyFill="1" applyBorder="1"/>
    <x:xf numFmtId="201" fontId="0" fillId="0" borderId="29" xfId="0" applyNumberFormat="1" applyFont="1" applyFill="1" applyBorder="1"/>
    <x:xf numFmtId="201" fontId="0" fillId="0" borderId="6" xfId="0" applyNumberFormat="1" applyFont="1" applyFill="1" applyBorder="1"/>
    <x:xf numFmtId="0" fontId="0" fillId="0" borderId="5" xfId="0" applyNumberFormat="1" applyFont="1" applyFill="1" applyBorder="1" applyAlignment="1">
      <x:alignment vertical="center"/>
    </x:xf>
    <x:xf numFmtId="204" fontId="0" fillId="0" borderId="24" xfId="0" applyNumberFormat="1" applyFont="1" applyFill="1" applyBorder="1" applyAlignment="1">
      <x:alignment vertical="center"/>
    </x:xf>
    <x:xf numFmtId="201" fontId="0" fillId="0" borderId="24" xfId="0" applyNumberFormat="1" applyFont="1" applyFill="1" applyBorder="1" applyAlignment="1">
      <x:alignment vertical="center"/>
    </x:xf>
    <x:xf numFmtId="201" fontId="0" fillId="0" borderId="4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204" fontId="0" fillId="0" borderId="25" xfId="0" applyNumberFormat="1" applyFont="1" applyFill="1" applyBorder="1" applyAlignment="1">
      <x:alignment vertical="center"/>
    </x:xf>
    <x:xf numFmtId="201" fontId="0" fillId="0" borderId="25" xfId="0" applyNumberFormat="1" applyFont="1" applyFill="1" applyBorder="1" applyAlignment="1">
      <x:alignment vertical="center"/>
    </x:xf>
    <x:xf numFmtId="201" fontId="0" fillId="0" borderId="18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204" fontId="0" fillId="0" borderId="26" xfId="0" applyNumberFormat="1" applyFont="1" applyFill="1" applyBorder="1" applyAlignment="1">
      <x:alignment vertical="center"/>
    </x:xf>
    <x:xf numFmtId="201" fontId="0" fillId="0" borderId="26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204" fontId="0" fillId="0" borderId="27" xfId="0" applyNumberFormat="1" applyFont="1" applyFill="1" applyBorder="1" applyAlignment="1">
      <x:alignment vertical="center"/>
    </x:xf>
    <x:xf numFmtId="201" fontId="0" fillId="0" borderId="27" xfId="0" applyNumberFormat="1" applyFont="1" applyFill="1" applyBorder="1" applyAlignment="1">
      <x:alignment vertical="center"/>
    </x:xf>
    <x:xf numFmtId="201" fontId="0" fillId="0" borderId="8" xfId="0" applyNumberFormat="1" applyFont="1" applyFill="1" applyBorder="1" applyAlignment="1">
      <x:alignment vertical="center"/>
    </x:xf>
    <x:xf numFmtId="0" fontId="0" fillId="0" borderId="23" xfId="0" applyNumberFormat="1" applyFont="1" applyFill="1" applyBorder="1" applyAlignment="1">
      <x:alignment vertical="center"/>
    </x:xf>
    <x:xf numFmtId="204" fontId="0" fillId="0" borderId="28" xfId="0" applyNumberFormat="1" applyFont="1" applyFill="1" applyBorder="1" applyAlignment="1">
      <x:alignment vertical="center"/>
    </x:xf>
    <x:xf numFmtId="201" fontId="0" fillId="0" borderId="28" xfId="0" applyNumberFormat="1" applyFont="1" applyFill="1" applyBorder="1" applyAlignment="1">
      <x:alignment vertical="center"/>
    </x:xf>
    <x:xf numFmtId="201" fontId="0" fillId="0" borderId="21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204" fontId="0" fillId="0" borderId="29" xfId="0" applyNumberFormat="1" applyFont="1" applyFill="1" applyBorder="1" applyAlignment="1">
      <x:alignment vertical="center"/>
    </x:xf>
    <x:xf numFmtId="201" fontId="0" fillId="0" borderId="29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/>
    <x:xf numFmtId="0" fontId="8" fillId="6" borderId="1" xfId="0" applyNumberFormat="1" applyFont="1" applyFill="1" applyBorder="1"/>
    <x:xf numFmtId="0" fontId="8" fillId="6" borderId="0" xfId="0" applyNumberFormat="1" applyFont="1" applyFill="1" applyBorder="1" applyAlignment="1">
      <x:alignment vertical="center"/>
    </x:xf>
    <x:xf numFmtId="0" fontId="8" fillId="6" borderId="1" xfId="0" applyNumberFormat="1" applyFont="1" applyFill="1" applyBorder="1" applyAlignment="1">
      <x:alignment vertical="center"/>
    </x:xf>
    <x:xf numFmtId="0" fontId="8" fillId="12" borderId="0" xfId="0" applyNumberFormat="1" applyFont="1" applyFill="1" applyBorder="1" applyAlignment="1">
      <x:alignment vertical="center"/>
    </x:xf>
    <x:xf numFmtId="0" fontId="8" fillId="12" borderId="1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 applyAlignment="1">
      <x:alignment vertical="center"/>
    </x:xf>
    <x:xf numFmtId="0" fontId="10" fillId="3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/>
    <x:xf numFmtId="0" fontId="12" fillId="2" borderId="0" xfId="0" applyNumberFormat="1" applyFont="1" applyFill="1" applyBorder="1" applyAlignment="1">
      <x:alignment horizontal="center" vertical="center"/>
    </x:xf>
    <x:xf numFmtId="200" fontId="13" fillId="4" borderId="2" xfId="0" applyNumberFormat="1" applyFont="1" applyFill="1" applyBorder="1" applyAlignment="1">
      <x:alignment horizontal="center" vertical="center"/>
    </x:xf>
    <x:xf numFmtId="200" fontId="13" fillId="4" borderId="3" xfId="0" applyNumberFormat="1" applyFont="1" applyFill="1" applyBorder="1" applyAlignment="1">
      <x:alignment horizontal="center" vertical="center"/>
    </x:xf>
    <x:xf numFmtId="200" fontId="13" fillId="5" borderId="2" xfId="0" applyNumberFormat="1" applyFont="1" applyFill="1" applyBorder="1" applyAlignment="1">
      <x:alignment horizontal="center" vertical="center"/>
    </x:xf>
    <x:xf numFmtId="200" fontId="13" fillId="5" borderId="3" xfId="0" applyNumberFormat="1" applyFont="1" applyFill="1" applyBorder="1" applyAlignment="1">
      <x:alignment horizontal="center" vertical="center"/>
    </x:xf>
    <x:xf numFmtId="201" fontId="13" fillId="6" borderId="2" xfId="0" applyNumberFormat="1" applyFont="1" applyFill="1" applyBorder="1" applyAlignment="1">
      <x:alignment horizontal="center" vertical="center"/>
    </x:xf>
    <x:xf numFmtId="201" fontId="13" fillId="6" borderId="3" xfId="0" applyNumberFormat="1" applyFont="1" applyFill="1" applyBorder="1" applyAlignment="1">
      <x:alignment horizontal="center" vertical="center"/>
    </x:xf>
    <x:xf numFmtId="201" fontId="13" fillId="7" borderId="2" xfId="0" applyNumberFormat="1" applyFont="1" applyFill="1" applyBorder="1" applyAlignment="1">
      <x:alignment horizontal="center" vertical="center"/>
    </x:xf>
    <x:xf numFmtId="201" fontId="13" fillId="7" borderId="3" xfId="0" applyNumberFormat="1" applyFont="1" applyFill="1" applyBorder="1" applyAlignment="1">
      <x:alignment horizontal="center" vertical="center"/>
    </x:xf>
    <x:xf numFmtId="200" fontId="13" fillId="4" borderId="4" xfId="0" applyNumberFormat="1" applyFont="1" applyFill="1" applyBorder="1" applyAlignment="1">
      <x:alignment horizontal="center" vertical="center"/>
    </x:xf>
    <x:xf numFmtId="200" fontId="13" fillId="4" borderId="5" xfId="0" applyNumberFormat="1" applyFont="1" applyFill="1" applyBorder="1" applyAlignment="1">
      <x:alignment horizontal="center" vertical="center"/>
    </x:xf>
    <x:xf numFmtId="200" fontId="13" fillId="5" borderId="4" xfId="0" applyNumberFormat="1" applyFont="1" applyFill="1" applyBorder="1" applyAlignment="1">
      <x:alignment horizontal="center" vertical="center"/>
    </x:xf>
    <x:xf numFmtId="200" fontId="13" fillId="5" borderId="5" xfId="0" applyNumberFormat="1" applyFont="1" applyFill="1" applyBorder="1" applyAlignment="1">
      <x:alignment horizontal="center" vertical="center"/>
    </x:xf>
    <x:xf numFmtId="201" fontId="13" fillId="6" borderId="4" xfId="0" applyNumberFormat="1" applyFont="1" applyFill="1" applyBorder="1" applyAlignment="1">
      <x:alignment horizontal="center" vertical="center"/>
    </x:xf>
    <x:xf numFmtId="201" fontId="13" fillId="6" borderId="5" xfId="0" applyNumberFormat="1" applyFont="1" applyFill="1" applyBorder="1" applyAlignment="1">
      <x:alignment horizontal="center" vertical="center"/>
    </x:xf>
    <x:xf numFmtId="201" fontId="13" fillId="7" borderId="4" xfId="0" applyNumberFormat="1" applyFont="1" applyFill="1" applyBorder="1" applyAlignment="1">
      <x:alignment horizontal="center" vertical="center"/>
    </x:xf>
    <x:xf numFmtId="201" fontId="13" fillId="7" borderId="5" xfId="0" applyNumberFormat="1" applyFont="1" applyFill="1" applyBorder="1" applyAlignment="1">
      <x:alignment horizontal="center" vertical="center"/>
    </x:xf>
    <x:xf numFmtId="201" fontId="14" fillId="8" borderId="2" xfId="0" applyNumberFormat="1" applyFont="1" applyFill="1" applyBorder="1" applyAlignment="1">
      <x:alignment horizontal="center" vertical="center"/>
    </x:xf>
    <x:xf numFmtId="201" fontId="14" fillId="8" borderId="3" xfId="0" applyNumberFormat="1" applyFont="1" applyFill="1" applyBorder="1" applyAlignment="1">
      <x:alignment horizontal="center" vertical="center"/>
    </x:xf>
    <x:xf numFmtId="201" fontId="13" fillId="9" borderId="2" xfId="0" applyNumberFormat="1" applyFont="1" applyFill="1" applyBorder="1" applyAlignment="1">
      <x:alignment horizontal="center" vertical="center"/>
    </x:xf>
    <x:xf numFmtId="201" fontId="13" fillId="9" borderId="3" xfId="0" applyNumberFormat="1" applyFont="1" applyFill="1" applyBorder="1" applyAlignment="1">
      <x:alignment horizontal="center" vertical="center"/>
    </x:xf>
    <x:xf numFmtId="201" fontId="13" fillId="5" borderId="2" xfId="0" applyNumberFormat="1" applyFont="1" applyFill="1" applyBorder="1" applyAlignment="1">
      <x:alignment horizontal="center" vertical="center"/>
    </x:xf>
    <x:xf numFmtId="201" fontId="13" fillId="5" borderId="3" xfId="0" applyNumberFormat="1" applyFont="1" applyFill="1" applyBorder="1" applyAlignment="1">
      <x:alignment horizontal="center" vertical="center"/>
    </x:xf>
    <x:xf numFmtId="202" fontId="14" fillId="8" borderId="2" xfId="0" applyNumberFormat="1" applyFont="1" applyFill="1" applyBorder="1" applyAlignment="1">
      <x:alignment horizontal="center" vertical="center"/>
    </x:xf>
    <x:xf numFmtId="202" fontId="14" fillId="8" borderId="3" xfId="0" applyNumberFormat="1" applyFont="1" applyFill="1" applyBorder="1" applyAlignment="1">
      <x:alignment horizontal="center" vertical="center"/>
    </x:xf>
    <x:xf numFmtId="201" fontId="14" fillId="8" borderId="4" xfId="0" applyNumberFormat="1" applyFont="1" applyFill="1" applyBorder="1" applyAlignment="1">
      <x:alignment horizontal="center" vertical="center"/>
    </x:xf>
    <x:xf numFmtId="201" fontId="14" fillId="8" borderId="5" xfId="0" applyNumberFormat="1" applyFont="1" applyFill="1" applyBorder="1" applyAlignment="1">
      <x:alignment horizontal="center" vertical="center"/>
    </x:xf>
    <x:xf numFmtId="201" fontId="13" fillId="9" borderId="4" xfId="0" applyNumberFormat="1" applyFont="1" applyFill="1" applyBorder="1" applyAlignment="1">
      <x:alignment horizontal="center" vertical="center"/>
    </x:xf>
    <x:xf numFmtId="201" fontId="13" fillId="9" borderId="5" xfId="0" applyNumberFormat="1" applyFont="1" applyFill="1" applyBorder="1" applyAlignment="1">
      <x:alignment horizontal="center" vertical="center"/>
    </x:xf>
    <x:xf numFmtId="201" fontId="13" fillId="5" borderId="4" xfId="0" applyNumberFormat="1" applyFont="1" applyFill="1" applyBorder="1" applyAlignment="1">
      <x:alignment horizontal="center" vertical="center"/>
    </x:xf>
    <x:xf numFmtId="201" fontId="13" fillId="5" borderId="5" xfId="0" applyNumberFormat="1" applyFont="1" applyFill="1" applyBorder="1" applyAlignment="1">
      <x:alignment horizontal="center" vertical="center"/>
    </x:xf>
    <x:xf numFmtId="202" fontId="14" fillId="8" borderId="4" xfId="0" applyNumberFormat="1" applyFont="1" applyFill="1" applyBorder="1" applyAlignment="1">
      <x:alignment horizontal="center" vertical="center"/>
    </x:xf>
    <x:xf numFmtId="202" fontId="14" fillId="8" borderId="5" xfId="0" applyNumberFormat="1" applyFont="1" applyFill="1" applyBorder="1" applyAlignment="1">
      <x:alignment horizontal="center" vertical="center"/>
    </x:xf>
    <x:xf numFmtId="0" fontId="12" fillId="10" borderId="0" xfId="0" applyNumberFormat="1" applyFont="1" applyFill="1" applyBorder="1"/>
    <x:xf numFmtId="203" fontId="15" fillId="9" borderId="0" xfId="0" applyNumberFormat="1" applyFont="1" applyFill="1" applyBorder="1" applyAlignment="1">
      <x:alignment horizontal="center"/>
    </x:xf>
    <x:xf numFmtId="0" fontId="16" fillId="6" borderId="0" xfId="0" applyNumberFormat="1" applyFont="1" applyFill="1" applyBorder="1" applyAlignment="1">
      <x:alignment wrapText="1"/>
    </x:xf>
    <x:xf numFmtId="0" fontId="12" fillId="11" borderId="0" xfId="0" applyNumberFormat="1" applyFont="1" applyFill="1" applyBorder="1" applyAlignment="1">
      <x:alignment vertical="center"/>
    </x:xf>
    <x:xf numFmtId="0" fontId="17" fillId="12" borderId="2" xfId="0" applyNumberFormat="1" applyFont="1" applyFill="1" applyBorder="1" applyAlignment="1">
      <x:alignment vertical="top" wrapText="1"/>
    </x:xf>
    <x:xf numFmtId="0" fontId="17" fillId="12" borderId="10" xfId="0" applyNumberFormat="1" applyFont="1" applyFill="1" applyBorder="1" applyAlignment="1">
      <x:alignment vertical="top" wrapText="1"/>
    </x:xf>
    <x:xf numFmtId="0" fontId="17" fillId="12" borderId="3" xfId="0" applyNumberFormat="1" applyFont="1" applyFill="1" applyBorder="1" applyAlignment="1">
      <x:alignment vertical="top" wrapText="1"/>
    </x:xf>
    <x:xf numFmtId="0" fontId="17" fillId="12" borderId="11" xfId="0" applyNumberFormat="1" applyFont="1" applyFill="1" applyBorder="1" applyAlignment="1">
      <x:alignment vertical="top" wrapText="1"/>
    </x:xf>
    <x:xf numFmtId="0" fontId="17" fillId="12" borderId="0" xfId="0" applyNumberFormat="1" applyFont="1" applyFill="1" applyBorder="1" applyAlignment="1">
      <x:alignment vertical="top" wrapText="1"/>
    </x:xf>
    <x:xf numFmtId="0" fontId="17" fillId="12" borderId="12" xfId="0" applyNumberFormat="1" applyFont="1" applyFill="1" applyBorder="1" applyAlignment="1">
      <x:alignment vertical="top" wrapText="1"/>
    </x:xf>
    <x:xf numFmtId="0" fontId="17" fillId="12" borderId="4" xfId="0" applyNumberFormat="1" applyFont="1" applyFill="1" applyBorder="1" applyAlignment="1">
      <x:alignment vertical="top" wrapText="1"/>
    </x:xf>
    <x:xf numFmtId="0" fontId="17" fillId="12" borderId="13" xfId="0" applyNumberFormat="1" applyFont="1" applyFill="1" applyBorder="1" applyAlignment="1">
      <x:alignment vertical="top" wrapText="1"/>
    </x:xf>
    <x:xf numFmtId="0" fontId="17" fillId="12" borderId="5" xfId="0" applyNumberFormat="1" applyFont="1" applyFill="1" applyBorder="1" applyAlignment="1">
      <x:alignment vertical="top" wrapText="1"/>
    </x:xf>
    <x:xf numFmtId="0" fontId="12" fillId="2" borderId="18" xfId="0" applyNumberFormat="1" applyFont="1" applyFill="1" applyBorder="1" applyAlignment="1">
      <x:alignment horizontal="center" vertical="center" wrapText="1"/>
    </x:xf>
    <x:xf numFmtId="0" fontId="12" fillId="2" borderId="19" xfId="0" applyNumberFormat="1" applyFont="1" applyFill="1" applyBorder="1" applyAlignment="1">
      <x:alignment horizontal="center" vertical="center" wrapText="1"/>
    </x:xf>
    <x:xf numFmtId="0" fontId="12" fillId="2" borderId="20" xfId="0" applyNumberFormat="1" applyFont="1" applyFill="1" applyBorder="1" applyAlignment="1">
      <x:alignment horizontal="center" vertical="center" wrapText="1"/>
    </x:xf>
    <x:xf numFmtId="0" fontId="11" fillId="0" borderId="5" xfId="0" applyNumberFormat="1" applyFont="1" applyFill="1" applyBorder="1" applyAlignment="1">
      <x:alignment vertical="center"/>
    </x:xf>
    <x:xf numFmtId="204" fontId="11" fillId="0" borderId="24" xfId="0" applyNumberFormat="1" applyFont="1" applyFill="1" applyBorder="1" applyAlignment="1">
      <x:alignment vertical="center"/>
    </x:xf>
    <x:xf numFmtId="201" fontId="11" fillId="0" borderId="24" xfId="0" applyNumberFormat="1" applyFont="1" applyFill="1" applyBorder="1" applyAlignment="1">
      <x:alignment vertical="center"/>
    </x:xf>
    <x:xf numFmtId="201" fontId="11" fillId="0" borderId="4" xfId="0" applyNumberFormat="1" applyFont="1" applyFill="1" applyBorder="1" applyAlignment="1">
      <x:alignment vertical="center"/>
    </x:xf>
    <x:xf numFmtId="0" fontId="11" fillId="0" borderId="20" xfId="0" applyNumberFormat="1" applyFont="1" applyFill="1" applyBorder="1" applyAlignment="1">
      <x:alignment vertical="center"/>
    </x:xf>
    <x:xf numFmtId="204" fontId="11" fillId="0" borderId="25" xfId="0" applyNumberFormat="1" applyFont="1" applyFill="1" applyBorder="1" applyAlignment="1">
      <x:alignment vertical="center"/>
    </x:xf>
    <x:xf numFmtId="201" fontId="11" fillId="0" borderId="25" xfId="0" applyNumberFormat="1" applyFont="1" applyFill="1" applyBorder="1" applyAlignment="1">
      <x:alignment vertical="center"/>
    </x:xf>
    <x:xf numFmtId="201" fontId="11" fillId="0" borderId="18" xfId="0" applyNumberFormat="1" applyFont="1" applyFill="1" applyBorder="1" applyAlignment="1">
      <x:alignment vertical="center"/>
    </x:xf>
    <x:xf numFmtId="0" fontId="11" fillId="0" borderId="3" xfId="0" applyNumberFormat="1" applyFont="1" applyFill="1" applyBorder="1" applyAlignment="1">
      <x:alignment vertical="center"/>
    </x:xf>
    <x:xf numFmtId="204" fontId="11" fillId="0" borderId="26" xfId="0" applyNumberFormat="1" applyFont="1" applyFill="1" applyBorder="1" applyAlignment="1">
      <x:alignment vertical="center"/>
    </x:xf>
    <x:xf numFmtId="201" fontId="11" fillId="0" borderId="26" xfId="0" applyNumberFormat="1" applyFont="1" applyFill="1" applyBorder="1" applyAlignment="1">
      <x:alignment vertical="center"/>
    </x:xf>
    <x:xf numFmtId="201" fontId="11" fillId="0" borderId="2" xfId="0" applyNumberFormat="1" applyFont="1" applyFill="1" applyBorder="1" applyAlignment="1">
      <x:alignment vertical="center"/>
    </x:xf>
    <x:xf numFmtId="0" fontId="17" fillId="6" borderId="0" xfId="0" applyNumberFormat="1" applyFont="1" applyFill="1" applyBorder="1" applyAlignment="1">
      <x:alignment vertical="center"/>
    </x:xf>
    <x:xf numFmtId="0" fontId="17" fillId="12" borderId="0" xfId="0" applyNumberFormat="1" applyFont="1" applyFill="1" applyBorder="1" applyAlignment="1">
      <x:alignment vertical="center"/>
    </x:xf>
    <x:xf numFmtId="0" fontId="9" fillId="2" borderId="1" xfId="0" applyNumberFormat="1" applyFont="1" applyFill="1" applyBorder="1" applyAlignment="1">
      <x:alignment vertical="center"/>
    </x:xf>
    <x:xf numFmtId="0" fontId="10" fillId="3" borderId="1" xfId="0" applyNumberFormat="1" applyFont="1" applyFill="1" applyBorder="1" applyAlignment="1">
      <x:alignment vertical="center"/>
    </x:xf>
    <x:xf numFmtId="0" fontId="11" fillId="0" borderId="1" xfId="0" applyNumberFormat="1" applyFont="1" applyFill="1" applyBorder="1"/>
    <x:xf numFmtId="0" fontId="12" fillId="2" borderId="1" xfId="0" applyNumberFormat="1" applyFont="1" applyFill="1" applyBorder="1" applyAlignment="1">
      <x:alignment horizontal="center" vertical="center"/>
    </x:xf>
    <x:xf numFmtId="200" fontId="13" fillId="4" borderId="6" xfId="0" applyNumberFormat="1" applyFont="1" applyFill="1" applyBorder="1" applyAlignment="1">
      <x:alignment horizontal="center" vertical="center"/>
    </x:xf>
    <x:xf numFmtId="200" fontId="13" fillId="4" borderId="7" xfId="0" applyNumberFormat="1" applyFont="1" applyFill="1" applyBorder="1" applyAlignment="1">
      <x:alignment horizontal="center" vertical="center"/>
    </x:xf>
    <x:xf numFmtId="200" fontId="13" fillId="5" borderId="6" xfId="0" applyNumberFormat="1" applyFont="1" applyFill="1" applyBorder="1" applyAlignment="1">
      <x:alignment horizontal="center" vertical="center"/>
    </x:xf>
    <x:xf numFmtId="200" fontId="13" fillId="5" borderId="7" xfId="0" applyNumberFormat="1" applyFont="1" applyFill="1" applyBorder="1" applyAlignment="1">
      <x:alignment horizontal="center" vertical="center"/>
    </x:xf>
    <x:xf numFmtId="201" fontId="13" fillId="6" borderId="6" xfId="0" applyNumberFormat="1" applyFont="1" applyFill="1" applyBorder="1" applyAlignment="1">
      <x:alignment horizontal="center" vertical="center"/>
    </x:xf>
    <x:xf numFmtId="201" fontId="13" fillId="6" borderId="7" xfId="0" applyNumberFormat="1" applyFont="1" applyFill="1" applyBorder="1" applyAlignment="1">
      <x:alignment horizontal="center" vertical="center"/>
    </x:xf>
    <x:xf numFmtId="201" fontId="13" fillId="7" borderId="6" xfId="0" applyNumberFormat="1" applyFont="1" applyFill="1" applyBorder="1" applyAlignment="1">
      <x:alignment horizontal="center" vertical="center"/>
    </x:xf>
    <x:xf numFmtId="201" fontId="13" fillId="7" borderId="7" xfId="0" applyNumberFormat="1" applyFont="1" applyFill="1" applyBorder="1" applyAlignment="1">
      <x:alignment horizontal="center" vertical="center"/>
    </x:xf>
    <x:xf numFmtId="200" fontId="13" fillId="4" borderId="8" xfId="0" applyNumberFormat="1" applyFont="1" applyFill="1" applyBorder="1" applyAlignment="1">
      <x:alignment horizontal="center" vertical="center"/>
    </x:xf>
    <x:xf numFmtId="200" fontId="13" fillId="4" borderId="9" xfId="0" applyNumberFormat="1" applyFont="1" applyFill="1" applyBorder="1" applyAlignment="1">
      <x:alignment horizontal="center" vertical="center"/>
    </x:xf>
    <x:xf numFmtId="200" fontId="13" fillId="5" borderId="8" xfId="0" applyNumberFormat="1" applyFont="1" applyFill="1" applyBorder="1" applyAlignment="1">
      <x:alignment horizontal="center" vertical="center"/>
    </x:xf>
    <x:xf numFmtId="200" fontId="13" fillId="5" borderId="9" xfId="0" applyNumberFormat="1" applyFont="1" applyFill="1" applyBorder="1" applyAlignment="1">
      <x:alignment horizontal="center" vertical="center"/>
    </x:xf>
    <x:xf numFmtId="201" fontId="13" fillId="6" borderId="8" xfId="0" applyNumberFormat="1" applyFont="1" applyFill="1" applyBorder="1" applyAlignment="1">
      <x:alignment horizontal="center" vertical="center"/>
    </x:xf>
    <x:xf numFmtId="201" fontId="13" fillId="6" borderId="9" xfId="0" applyNumberFormat="1" applyFont="1" applyFill="1" applyBorder="1" applyAlignment="1">
      <x:alignment horizontal="center" vertical="center"/>
    </x:xf>
    <x:xf numFmtId="201" fontId="13" fillId="7" borderId="8" xfId="0" applyNumberFormat="1" applyFont="1" applyFill="1" applyBorder="1" applyAlignment="1">
      <x:alignment horizontal="center" vertical="center"/>
    </x:xf>
    <x:xf numFmtId="201" fontId="13" fillId="7" borderId="9" xfId="0" applyNumberFormat="1" applyFont="1" applyFill="1" applyBorder="1" applyAlignment="1">
      <x:alignment horizontal="center" vertical="center"/>
    </x:xf>
    <x:xf numFmtId="201" fontId="14" fillId="8" borderId="6" xfId="0" applyNumberFormat="1" applyFont="1" applyFill="1" applyBorder="1" applyAlignment="1">
      <x:alignment horizontal="center" vertical="center"/>
    </x:xf>
    <x:xf numFmtId="201" fontId="14" fillId="8" borderId="7" xfId="0" applyNumberFormat="1" applyFont="1" applyFill="1" applyBorder="1" applyAlignment="1">
      <x:alignment horizontal="center" vertical="center"/>
    </x:xf>
    <x:xf numFmtId="201" fontId="13" fillId="9" borderId="6" xfId="0" applyNumberFormat="1" applyFont="1" applyFill="1" applyBorder="1" applyAlignment="1">
      <x:alignment horizontal="center" vertical="center"/>
    </x:xf>
    <x:xf numFmtId="201" fontId="13" fillId="9" borderId="7" xfId="0" applyNumberFormat="1" applyFont="1" applyFill="1" applyBorder="1" applyAlignment="1">
      <x:alignment horizontal="center" vertical="center"/>
    </x:xf>
    <x:xf numFmtId="201" fontId="13" fillId="5" borderId="6" xfId="0" applyNumberFormat="1" applyFont="1" applyFill="1" applyBorder="1" applyAlignment="1">
      <x:alignment horizontal="center" vertical="center"/>
    </x:xf>
    <x:xf numFmtId="201" fontId="13" fillId="5" borderId="7" xfId="0" applyNumberFormat="1" applyFont="1" applyFill="1" applyBorder="1" applyAlignment="1">
      <x:alignment horizontal="center" vertical="center"/>
    </x:xf>
    <x:xf numFmtId="202" fontId="14" fillId="8" borderId="6" xfId="0" applyNumberFormat="1" applyFont="1" applyFill="1" applyBorder="1" applyAlignment="1">
      <x:alignment horizontal="center" vertical="center"/>
    </x:xf>
    <x:xf numFmtId="202" fontId="14" fillId="8" borderId="7" xfId="0" applyNumberFormat="1" applyFont="1" applyFill="1" applyBorder="1" applyAlignment="1">
      <x:alignment horizontal="center" vertical="center"/>
    </x:xf>
    <x:xf numFmtId="201" fontId="14" fillId="8" borderId="8" xfId="0" applyNumberFormat="1" applyFont="1" applyFill="1" applyBorder="1" applyAlignment="1">
      <x:alignment horizontal="center" vertical="center"/>
    </x:xf>
    <x:xf numFmtId="201" fontId="14" fillId="8" borderId="9" xfId="0" applyNumberFormat="1" applyFont="1" applyFill="1" applyBorder="1" applyAlignment="1">
      <x:alignment horizontal="center" vertical="center"/>
    </x:xf>
    <x:xf numFmtId="201" fontId="13" fillId="9" borderId="8" xfId="0" applyNumberFormat="1" applyFont="1" applyFill="1" applyBorder="1" applyAlignment="1">
      <x:alignment horizontal="center" vertical="center"/>
    </x:xf>
    <x:xf numFmtId="201" fontId="13" fillId="9" borderId="9" xfId="0" applyNumberFormat="1" applyFont="1" applyFill="1" applyBorder="1" applyAlignment="1">
      <x:alignment horizontal="center" vertical="center"/>
    </x:xf>
    <x:xf numFmtId="201" fontId="13" fillId="5" borderId="8" xfId="0" applyNumberFormat="1" applyFont="1" applyFill="1" applyBorder="1" applyAlignment="1">
      <x:alignment horizontal="center" vertical="center"/>
    </x:xf>
    <x:xf numFmtId="201" fontId="13" fillId="5" borderId="9" xfId="0" applyNumberFormat="1" applyFont="1" applyFill="1" applyBorder="1" applyAlignment="1">
      <x:alignment horizontal="center" vertical="center"/>
    </x:xf>
    <x:xf numFmtId="202" fontId="14" fillId="8" borderId="8" xfId="0" applyNumberFormat="1" applyFont="1" applyFill="1" applyBorder="1" applyAlignment="1">
      <x:alignment horizontal="center" vertical="center"/>
    </x:xf>
    <x:xf numFmtId="202" fontId="14" fillId="8" borderId="9" xfId="0" applyNumberFormat="1" applyFont="1" applyFill="1" applyBorder="1" applyAlignment="1">
      <x:alignment horizontal="center" vertical="center"/>
    </x:xf>
    <x:xf numFmtId="0" fontId="12" fillId="10" borderId="1" xfId="0" applyNumberFormat="1" applyFont="1" applyFill="1" applyBorder="1"/>
    <x:xf numFmtId="203" fontId="15" fillId="9" borderId="1" xfId="0" applyNumberFormat="1" applyFont="1" applyFill="1" applyBorder="1" applyAlignment="1">
      <x:alignment horizontal="center"/>
    </x:xf>
    <x:xf numFmtId="0" fontId="16" fillId="6" borderId="1" xfId="0" applyNumberFormat="1" applyFont="1" applyFill="1" applyBorder="1" applyAlignment="1">
      <x:alignment wrapText="1"/>
    </x:xf>
    <x:xf numFmtId="0" fontId="12" fillId="11" borderId="1" xfId="0" applyNumberFormat="1" applyFont="1" applyFill="1" applyBorder="1" applyAlignment="1">
      <x:alignment vertical="center"/>
    </x:xf>
    <x:xf numFmtId="0" fontId="17" fillId="12" borderId="6" xfId="0" applyNumberFormat="1" applyFont="1" applyFill="1" applyBorder="1" applyAlignment="1">
      <x:alignment vertical="top" wrapText="1"/>
    </x:xf>
    <x:xf numFmtId="0" fontId="17" fillId="12" borderId="14" xfId="0" applyNumberFormat="1" applyFont="1" applyFill="1" applyBorder="1" applyAlignment="1">
      <x:alignment vertical="top" wrapText="1"/>
    </x:xf>
    <x:xf numFmtId="0" fontId="17" fillId="12" borderId="7" xfId="0" applyNumberFormat="1" applyFont="1" applyFill="1" applyBorder="1" applyAlignment="1">
      <x:alignment vertical="top" wrapText="1"/>
    </x:xf>
    <x:xf numFmtId="0" fontId="17" fillId="12" borderId="15" xfId="0" applyNumberFormat="1" applyFont="1" applyFill="1" applyBorder="1" applyAlignment="1">
      <x:alignment vertical="top" wrapText="1"/>
    </x:xf>
    <x:xf numFmtId="0" fontId="17" fillId="12" borderId="1" xfId="0" applyNumberFormat="1" applyFont="1" applyFill="1" applyBorder="1" applyAlignment="1">
      <x:alignment vertical="top" wrapText="1"/>
    </x:xf>
    <x:xf numFmtId="0" fontId="17" fillId="12" borderId="16" xfId="0" applyNumberFormat="1" applyFont="1" applyFill="1" applyBorder="1" applyAlignment="1">
      <x:alignment vertical="top" wrapText="1"/>
    </x:xf>
    <x:xf numFmtId="0" fontId="17" fillId="12" borderId="8" xfId="0" applyNumberFormat="1" applyFont="1" applyFill="1" applyBorder="1" applyAlignment="1">
      <x:alignment vertical="top" wrapText="1"/>
    </x:xf>
    <x:xf numFmtId="0" fontId="17" fillId="12" borderId="17" xfId="0" applyNumberFormat="1" applyFont="1" applyFill="1" applyBorder="1" applyAlignment="1">
      <x:alignment vertical="top" wrapText="1"/>
    </x:xf>
    <x:xf numFmtId="0" fontId="17" fillId="12" borderId="9" xfId="0" applyNumberFormat="1" applyFont="1" applyFill="1" applyBorder="1" applyAlignment="1">
      <x:alignment vertical="top" wrapText="1"/>
    </x:xf>
    <x:xf numFmtId="0" fontId="12" fillId="2" borderId="21" xfId="0" applyNumberFormat="1" applyFont="1" applyFill="1" applyBorder="1" applyAlignment="1">
      <x:alignment horizontal="center" vertical="center" wrapText="1"/>
    </x:xf>
    <x:xf numFmtId="0" fontId="12" fillId="2" borderId="22" xfId="0" applyNumberFormat="1" applyFont="1" applyFill="1" applyBorder="1" applyAlignment="1">
      <x:alignment horizontal="center" vertical="center" wrapText="1"/>
    </x:xf>
    <x:xf numFmtId="0" fontId="12" fillId="2" borderId="23" xfId="0" applyNumberFormat="1" applyFont="1" applyFill="1" applyBorder="1" applyAlignment="1">
      <x:alignment horizontal="center" vertical="center" wrapText="1"/>
    </x:xf>
    <x:xf numFmtId="0" fontId="11" fillId="0" borderId="9" xfId="0" applyNumberFormat="1" applyFont="1" applyFill="1" applyBorder="1" applyAlignment="1">
      <x:alignment vertical="center"/>
    </x:xf>
    <x:xf numFmtId="204" fontId="11" fillId="0" borderId="27" xfId="0" applyNumberFormat="1" applyFont="1" applyFill="1" applyBorder="1" applyAlignment="1">
      <x:alignment vertical="center"/>
    </x:xf>
    <x:xf numFmtId="201" fontId="11" fillId="0" borderId="27" xfId="0" applyNumberFormat="1" applyFont="1" applyFill="1" applyBorder="1" applyAlignment="1">
      <x:alignment vertical="center"/>
    </x:xf>
    <x:xf numFmtId="201" fontId="11" fillId="0" borderId="8" xfId="0" applyNumberFormat="1" applyFont="1" applyFill="1" applyBorder="1" applyAlignment="1">
      <x:alignment vertical="center"/>
    </x:xf>
    <x:xf numFmtId="0" fontId="11" fillId="0" borderId="23" xfId="0" applyNumberFormat="1" applyFont="1" applyFill="1" applyBorder="1" applyAlignment="1">
      <x:alignment vertical="center"/>
    </x:xf>
    <x:xf numFmtId="204" fontId="11" fillId="0" borderId="28" xfId="0" applyNumberFormat="1" applyFont="1" applyFill="1" applyBorder="1" applyAlignment="1">
      <x:alignment vertical="center"/>
    </x:xf>
    <x:xf numFmtId="201" fontId="11" fillId="0" borderId="28" xfId="0" applyNumberFormat="1" applyFont="1" applyFill="1" applyBorder="1" applyAlignment="1">
      <x:alignment vertical="center"/>
    </x:xf>
    <x:xf numFmtId="201" fontId="11" fillId="0" borderId="21" xfId="0" applyNumberFormat="1" applyFont="1" applyFill="1" applyBorder="1" applyAlignment="1">
      <x:alignment vertical="center"/>
    </x:xf>
    <x:xf numFmtId="0" fontId="11" fillId="0" borderId="7" xfId="0" applyNumberFormat="1" applyFont="1" applyFill="1" applyBorder="1" applyAlignment="1">
      <x:alignment vertical="center"/>
    </x:xf>
    <x:xf numFmtId="204" fontId="11" fillId="0" borderId="29" xfId="0" applyNumberFormat="1" applyFont="1" applyFill="1" applyBorder="1" applyAlignment="1">
      <x:alignment vertical="center"/>
    </x:xf>
    <x:xf numFmtId="201" fontId="11" fillId="0" borderId="29" xfId="0" applyNumberFormat="1" applyFont="1" applyFill="1" applyBorder="1" applyAlignment="1">
      <x:alignment vertical="center"/>
    </x:xf>
    <x:xf numFmtId="201" fontId="11" fillId="0" borderId="6" xfId="0" applyNumberFormat="1" applyFont="1" applyFill="1" applyBorder="1" applyAlignment="1">
      <x:alignment vertical="center"/>
    </x:xf>
    <x:xf numFmtId="0" fontId="17" fillId="6" borderId="1" xfId="0" applyNumberFormat="1" applyFont="1" applyFill="1" applyBorder="1" applyAlignment="1">
      <x:alignment vertical="center"/>
    </x:xf>
    <x:xf numFmtId="0" fontId="17" fillId="12" borderId="1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0" fontId="11" fillId="0" borderId="1" xfId="0" applyNumberFormat="1" applyFont="1" applyFill="1" applyBorder="1" applyAlignment="1">
      <x:alignment vertical="center"/>
    </x:xf>
    <x:xf numFmtId="0" fontId="11" fillId="2" borderId="0" xfId="0" applyNumberFormat="1" applyFont="1" applyFill="1" applyBorder="1" applyAlignment="1">
      <x:alignment vertical="center"/>
    </x:xf>
    <x:xf numFmtId="0" fontId="11" fillId="2" borderId="1" xfId="0" applyNumberFormat="1" applyFont="1" applyFill="1" applyBorder="1" applyAlignment="1">
      <x:alignment vertical="center"/>
    </x:xf>
    <x:xf numFmtId="0" fontId="12" fillId="2" borderId="0" xfId="0" applyNumberFormat="1" applyFont="1" applyFill="1" applyBorder="1" applyAlignment="1">
      <x:alignment vertical="center"/>
    </x:xf>
    <x:xf numFmtId="0" fontId="12" fillId="2" borderId="1" xfId="0" applyNumberFormat="1" applyFont="1" applyFill="1" applyBorder="1" applyAlignment="1">
      <x:alignment vertical="center"/>
    </x:xf>
    <x:xf numFmtId="0" fontId="12" fillId="2" borderId="18" xfId="0" applyNumberFormat="1" applyFont="1" applyFill="1" applyBorder="1" applyAlignment="1">
      <x:alignment vertical="center"/>
    </x:xf>
    <x:xf numFmtId="0" fontId="12" fillId="2" borderId="19" xfId="0" applyNumberFormat="1" applyFont="1" applyFill="1" applyBorder="1" applyAlignment="1">
      <x:alignment vertical="center"/>
    </x:xf>
    <x:xf numFmtId="0" fontId="12" fillId="2" borderId="20" xfId="0" applyNumberFormat="1" applyFont="1" applyFill="1" applyBorder="1" applyAlignment="1">
      <x:alignment vertical="center"/>
    </x:xf>
    <x:xf numFmtId="0" fontId="12" fillId="2" borderId="21" xfId="0" applyNumberFormat="1" applyFont="1" applyFill="1" applyBorder="1" applyAlignment="1">
      <x:alignment vertical="center"/>
    </x:xf>
    <x:xf numFmtId="0" fontId="12" fillId="2" borderId="22" xfId="0" applyNumberFormat="1" applyFont="1" applyFill="1" applyBorder="1" applyAlignment="1">
      <x:alignment vertical="center"/>
    </x:xf>
    <x:xf numFmtId="0" fontId="12" fillId="2" borderId="23" xfId="0" applyNumberFormat="1" applyFont="1" applyFill="1" applyBorder="1" applyAlignment="1">
      <x:alignment vertical="center"/>
    </x:xf>
    <x:xf numFmtId="0" fontId="12" fillId="2" borderId="18" xfId="0" applyNumberFormat="1" applyFont="1" applyFill="1" applyBorder="1" applyAlignment="1">
      <x:alignment vertical="center" wrapText="1"/>
    </x:xf>
    <x:xf numFmtId="0" fontId="12" fillId="2" borderId="19" xfId="0" applyNumberFormat="1" applyFont="1" applyFill="1" applyBorder="1" applyAlignment="1">
      <x:alignment vertical="center" wrapText="1"/>
    </x:xf>
    <x:xf numFmtId="0" fontId="12" fillId="2" borderId="20" xfId="0" applyNumberFormat="1" applyFont="1" applyFill="1" applyBorder="1" applyAlignment="1">
      <x:alignment vertical="center" wrapText="1"/>
    </x:xf>
    <x:xf numFmtId="0" fontId="12" fillId="2" borderId="21" xfId="0" applyNumberFormat="1" applyFont="1" applyFill="1" applyBorder="1" applyAlignment="1">
      <x:alignment vertical="center" wrapText="1"/>
    </x:xf>
    <x:xf numFmtId="0" fontId="12" fillId="2" borderId="22" xfId="0" applyNumberFormat="1" applyFont="1" applyFill="1" applyBorder="1" applyAlignment="1">
      <x:alignment vertical="center" wrapText="1"/>
    </x:xf>
    <x:xf numFmtId="0" fontId="12" fillId="2" borderId="23" xfId="0" applyNumberFormat="1" applyFont="1" applyFill="1" applyBorder="1" applyAlignment="1">
      <x:alignment vertical="center" wrapText="1"/>
    </x:xf>
    <x:xf numFmtId="201" fontId="11" fillId="0" borderId="0" xfId="0" applyNumberFormat="1" applyFont="1" applyFill="1" applyBorder="1" applyAlignment="1">
      <x:alignment vertical="center"/>
    </x:xf>
    <x:xf numFmtId="201" fontId="11" fillId="0" borderId="1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 wrapText="1"/>
    </x:xf>
    <x:xf numFmtId="0" fontId="11" fillId="0" borderId="1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 applyAlignment="1">
      <x:alignment vertical="top"/>
    </x:xf>
    <x:xf numFmtId="0" fontId="11" fillId="0" borderId="1" xfId="0" applyNumberFormat="1" applyFont="1" applyFill="1" applyBorder="1" applyAlignment="1">
      <x:alignment vertical="top"/>
    </x:xf>
    <x:xf numFmtId="0" fontId="11" fillId="0" borderId="0" xfId="0" applyNumberFormat="1" applyFont="1" applyFill="1" applyBorder="1" applyAlignment="1">
      <x:alignment vertical="top" wrapText="1"/>
    </x:xf>
    <x:xf numFmtId="0" fontId="11" fillId="0" borderId="1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0" fillId="13" borderId="1" xfId="0" applyNumberFormat="1" applyFont="1" applyFill="1" applyBorder="1"/>
    <x:xf numFmtId="0" fontId="11" fillId="13" borderId="0" xfId="0" applyNumberFormat="1" applyFont="1" applyFill="1" applyBorder="1"/>
    <x:xf numFmtId="0" fontId="11" fillId="12" borderId="0" xfId="0" applyNumberFormat="1" applyFont="1" applyFill="1" applyBorder="1"/>
    <x:xf numFmtId="0" fontId="11" fillId="13" borderId="1" xfId="0" applyNumberFormat="1" applyFont="1" applyFill="1" applyBorder="1"/>
    <x:xf numFmtId="0" fontId="11" fillId="12" borderId="1" xfId="0" applyNumberFormat="1" applyFont="1" applyFill="1" applyBorder="1"/>
    <x:xf numFmtId="0" fontId="11" fillId="13" borderId="0" xfId="0" applyNumberFormat="1" applyFont="1" applyFill="1" applyBorder="1" applyAlignment="1">
      <x:alignment vertical="top"/>
    </x:xf>
    <x:xf numFmtId="0" fontId="11" fillId="12" borderId="0" xfId="0" applyNumberFormat="1" applyFont="1" applyFill="1" applyBorder="1" applyAlignment="1">
      <x:alignment vertical="top"/>
    </x:xf>
    <x:xf numFmtId="0" fontId="11" fillId="13" borderId="1" xfId="0" applyNumberFormat="1" applyFont="1" applyFill="1" applyBorder="1" applyAlignment="1">
      <x:alignment vertical="top"/>
    </x:xf>
    <x:xf numFmtId="0" fontId="11" fillId="12" borderId="1" xfId="0" applyNumberFormat="1" applyFont="1" applyFill="1" applyBorder="1" applyAlignment="1">
      <x:alignment vertical="top"/>
    </x:xf>
    <x:xf numFmtId="0" fontId="11" fillId="13" borderId="0" xfId="0" applyNumberFormat="1" applyFont="1" applyFill="1" applyBorder="1" applyAlignment="1">
      <x:alignment vertical="top" wrapText="1"/>
    </x:xf>
    <x:xf numFmtId="0" fontId="11" fillId="12" borderId="0" xfId="0" applyNumberFormat="1" applyFont="1" applyFill="1" applyBorder="1" applyAlignment="1">
      <x:alignment vertical="top" wrapText="1"/>
    </x:xf>
    <x:xf numFmtId="0" fontId="11" fillId="13" borderId="1" xfId="0" applyNumberFormat="1" applyFont="1" applyFill="1" applyBorder="1" applyAlignment="1">
      <x:alignment vertical="top" wrapText="1"/>
    </x:xf>
    <x:xf numFmtId="0" fontId="11" fillId="12" borderId="1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 applyAlignment="1">
      <x:alignment wrapText="1"/>
    </x:xf>
    <x:xf numFmtId="0" fontId="11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433e581be04db1" /><Relationship Type="http://schemas.openxmlformats.org/officeDocument/2006/relationships/theme" Target="/xl/theme/theme1.xml" Id="R1511d19f58ce4ddb" /><Relationship Type="http://schemas.openxmlformats.org/officeDocument/2006/relationships/sharedStrings" Target="/xl/sharedStrings.xml" Id="R3c5dddbc34a34680" /><Relationship Type="http://schemas.openxmlformats.org/officeDocument/2006/relationships/worksheet" Target="/xl/worksheets/sheet1.xml" Id="R9cf98376404e4eaf" /><Relationship Type="http://schemas.openxmlformats.org/officeDocument/2006/relationships/worksheet" Target="/xl/worksheets/sheet2.xml" Id="R18d97c9f9f5d49d4" /><Relationship Type="http://schemas.openxmlformats.org/officeDocument/2006/relationships/worksheet" Target="/xl/worksheets/sheet3.xml" Id="R76df3dae285a4d03" /><Relationship Type="http://schemas.openxmlformats.org/officeDocument/2006/relationships/worksheet" Target="/xl/worksheets/sheet4.xml" Id="R9cda1531f28c4f3c" /><Relationship Type="http://schemas.openxmlformats.org/officeDocument/2006/relationships/worksheet" Target="/xl/worksheets/sheet5.xml" Id="Ra05f6a645bfc40b3" /><Relationship Type="http://schemas.openxmlformats.org/officeDocument/2006/relationships/worksheet" Target="/xl/worksheets/sheet6.xml" Id="R4d6d428586e640e6" /><Relationship Type="http://schemas.openxmlformats.org/officeDocument/2006/relationships/worksheet" Target="/xl/worksheets/sheet7.xml" Id="Ref75deebe84140d1" /></Relationships>
</file>

<file path=xl/tables/table1.xml><?xml version="1.0" encoding="utf-8"?>
<x:table xmlns:x="http://schemas.openxmlformats.org/spreadsheetml/2006/main" id="1" name="Holdout2MetricsTable" displayName="Holdout2MetricsTable" ref="A1:E15" headerRowCount="1" totalsRowCount="0" totalsRowShown="0">
  <x:tableColumns count="5">
    <x:tableColumn id="1" name="지표"/>
    <x:tableColumn id="2" name="정답/성공"/>
    <x:tableColumn id="3" name="분모"/>
    <x:tableColumn id="4" name="비율"/>
    <x:tableColumn id="5" name="정의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oldout2DomainMetricsTable" displayName="Holdout2DomainMetricsTable" ref="A1:M6" headerRowCount="1" totalsRowCount="0" totalsRowShown="0">
  <x:tableColumns count="13">
    <x:tableColumn id="1" name="분야"/>
    <x:tableColumn id="2" name="표본"/>
    <x:tableColumn id="3" name="골드 가능"/>
    <x:tableColumn id="4" name="골드 불가"/>
    <x:tableColumn id="5" name="자동결정"/>
    <x:tableColumn id="6" name="자동매핑"/>
    <x:tableColumn id="7" name="결정 커버리지"/>
    <x:tableColumn id="8" name="가능여부 엄격"/>
    <x:tableColumn id="9" name="결정구간 정확도"/>
    <x:tableColumn id="10" name="통계표 엄격"/>
    <x:tableColumn id="11" name="항목·시점 엄격"/>
    <x:tableColumn id="12" name="전체매핑 엄격"/>
    <x:tableColumn id="13" name="자동매핑 정밀도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5" name="Holdout2RawEvaluationTable" displayName="Holdout2RawEvaluationTable" ref="A1:CD101" headerRowCount="1" totalsRowCount="0" totalsRowShown="0">
  <x:tableColumns count="82">
    <x:tableColumn id="1" name="﻿holdout_no"/>
    <x:tableColumn id="2" name="holdout_domain"/>
    <x:tableColumn id="3" name="selection_reason"/>
    <x:tableColumn id="4" name="selection_bucket"/>
    <x:tableColumn id="5" name="source_status"/>
    <x:tableColumn id="6" name="source_dataset"/>
    <x:tableColumn id="7" name="claim_id"/>
    <x:tableColumn id="8" name="article_id"/>
    <x:tableColumn id="9" name="title"/>
    <x:tableColumn id="10" name="date"/>
    <x:tableColumn id="11" name="url"/>
    <x:tableColumn id="12" name="prev_sentence"/>
    <x:tableColumn id="13" name="claim_text"/>
    <x:tableColumn id="14" name="next_sentence"/>
    <x:tableColumn id="15" name="metric"/>
    <x:tableColumn id="16" name="metric_all"/>
    <x:tableColumn id="17" name="numbers"/>
    <x:tableColumn id="18" name="units"/>
    <x:tableColumn id="19" name="year"/>
    <x:tableColumn id="20" name="region"/>
    <x:tableColumn id="21" name="population"/>
    <x:tableColumn id="22" name="org_id"/>
    <x:tableColumn id="23" name="tbl_id"/>
    <x:tableColumn id="24" name="obj_l1"/>
    <x:tableColumn id="25" name="obj_l2"/>
    <x:tableColumn id="26" name="itm_id"/>
    <x:tableColumn id="27" name="prd_se"/>
    <x:tableColumn id="28" name="refined_claim_type"/>
    <x:tableColumn id="29" name="refined_claim_number"/>
    <x:tableColumn id="30" name="actual_period"/>
    <x:tableColumn id="31" name="actual_prev_period"/>
    <x:tableColumn id="32" name="refined_actual_number"/>
    <x:tableColumn id="33" name="refined_verdict"/>
    <x:tableColumn id="34" name="api_error"/>
    <x:tableColumn id="35" name="reviewer_note"/>
    <x:tableColumn id="36" name="auto_decision"/>
    <x:tableColumn id="37" name="auto_exclusion_reason"/>
    <x:tableColumn id="38" name="auto_org_id"/>
    <x:tableColumn id="39" name="auto_tbl_id"/>
    <x:tableColumn id="40" name="auto_obj_l1"/>
    <x:tableColumn id="41" name="auto_obj_l2"/>
    <x:tableColumn id="42" name="auto_itm_id"/>
    <x:tableColumn id="43" name="auto_prd_se"/>
    <x:tableColumn id="44" name="auto_target_number"/>
    <x:tableColumn id="45" name="auto_target_period"/>
    <x:tableColumn id="46" name="auto_prev_period"/>
    <x:tableColumn id="47" name="auto_mode"/>
    <x:tableColumn id="48" name="auto_note"/>
    <x:tableColumn id="49" name="auto_api_success"/>
    <x:tableColumn id="50" name="auto_actual_number"/>
    <x:tableColumn id="51" name="auto_current_value"/>
    <x:tableColumn id="52" name="auto_previous_value"/>
    <x:tableColumn id="53" name="auto_unit"/>
    <x:tableColumn id="54" name="auto_verdict"/>
    <x:tableColumn id="55" name="auto_api_error"/>
    <x:tableColumn id="56" name="gold_verifiable"/>
    <x:tableColumn id="57" name="gold_exclusion_reason"/>
    <x:tableColumn id="58" name="gold_org_id"/>
    <x:tableColumn id="59" name="gold_tbl_id"/>
    <x:tableColumn id="60" name="gold_obj_l1"/>
    <x:tableColumn id="61" name="gold_obj_l2"/>
    <x:tableColumn id="62" name="gold_itm_id"/>
    <x:tableColumn id="63" name="gold_prd_se"/>
    <x:tableColumn id="64" name="gold_target_number"/>
    <x:tableColumn id="65" name="gold_target_period"/>
    <x:tableColumn id="66" name="gold_prev_period"/>
    <x:tableColumn id="67" name="gold_mode"/>
    <x:tableColumn id="68" name="gold_verdict"/>
    <x:tableColumn id="69" name="gold_evidence"/>
    <x:tableColumn id="70" name="gold_reviewer_note"/>
    <x:tableColumn id="71" name="eligibility_expected"/>
    <x:tableColumn id="72" name="eligibility_correct"/>
    <x:tableColumn id="73" name="table_correct"/>
    <x:tableColumn id="74" name="item_correct"/>
    <x:tableColumn id="75" name="period_correct"/>
    <x:tableColumn id="76" name="target_number_correct"/>
    <x:tableColumn id="77" name="mode_correct"/>
    <x:tableColumn id="78" name="item_period_correct"/>
    <x:tableColumn id="79" name="full_mapping_correct"/>
    <x:tableColumn id="80" name="verdict_correct"/>
    <x:tableColumn id="81" name="error_types"/>
    <x:tableColumn id="82" name="error_caus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6" name="Holdout2BacklogTable" displayName="Holdout2BacklogTable" ref="A1:F10" headerRowCount="1" totalsRowCount="0" totalsRowShown="0">
  <x:tableColumns count="6">
    <x:tableColumn id="1" name="우선순위"/>
    <x:tableColumn id="2" name="범위"/>
    <x:tableColumn id="3" name="건수"/>
    <x:tableColumn id="4" name="근거 claim_id"/>
    <x:tableColumn id="5" name="권장 조치"/>
    <x:tableColumn id="6" name="평가 정책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3" name="Holdout2ReviewTable" displayName="Holdout2ReviewTable" ref="A1:Q101" headerRowCount="1" totalsRowCount="0" totalsRowShown="0">
  <x:tableColumns count="17">
    <x:tableColumn id="1" name="번호"/>
    <x:tableColumn id="2" name="분야"/>
    <x:tableColumn id="3" name="claim_id"/>
    <x:tableColumn id="4" name="주장 문장"/>
    <x:tableColumn id="5" name="자동결정"/>
    <x:tableColumn id="6" name="골드 검증가능"/>
    <x:tableColumn id="7" name="검증불가 사유"/>
    <x:tableColumn id="8" name="골드 통계표"/>
    <x:tableColumn id="9" name="obj_l1"/>
    <x:tableColumn id="10" name="obj_l2"/>
    <x:tableColumn id="11" name="골드 항목"/>
    <x:tableColumn id="12" name="골드 시점"/>
    <x:tableColumn id="13" name="골드 판정"/>
    <x:tableColumn id="14" name="가능여부 정답"/>
    <x:tableColumn id="15" name="전체매핑 정답"/>
    <x:tableColumn id="16" name="오류 유형"/>
    <x:tableColumn id="17" name="오류 원인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4" name="Holdout2ErrorTable" displayName="Holdout2ErrorTable" ref="A1:Q69" headerRowCount="1" totalsRowCount="0" totalsRowShown="0">
  <x:tableColumns count="17">
    <x:tableColumn id="1" name="번호"/>
    <x:tableColumn id="2" name="분야"/>
    <x:tableColumn id="3" name="claim_id"/>
    <x:tableColumn id="4" name="주장 문장"/>
    <x:tableColumn id="5" name="자동결정"/>
    <x:tableColumn id="6" name="골드 검증가능"/>
    <x:tableColumn id="7" name="검증불가 사유"/>
    <x:tableColumn id="8" name="골드 통계표"/>
    <x:tableColumn id="9" name="obj_l1"/>
    <x:tableColumn id="10" name="obj_l2"/>
    <x:tableColumn id="11" name="골드 항목"/>
    <x:tableColumn id="12" name="골드 시점"/>
    <x:tableColumn id="13" name="골드 판정"/>
    <x:tableColumn id="14" name="가능여부 정답"/>
    <x:tableColumn id="15" name="전체매핑 정답"/>
    <x:tableColumn id="16" name="오류 유형"/>
    <x:tableColumn id="17" name="오류 원인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2a0a58d2254438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6d50255cbe34fa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e24e86d41624e9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0fae845fd744a4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b24f83d029a426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f8ee1a3275b427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8" hidden="0" customWidth="1"/>
    <x:col min="4" max="4" width="15" hidden="0" customWidth="1"/>
    <x:col min="5" max="5" width="18" hidden="0" customWidth="1"/>
    <x:col min="6" max="6" width="15" hidden="0" customWidth="1"/>
    <x:col min="7" max="7" width="18" hidden="0" customWidth="1"/>
    <x:col min="8" max="8" width="15" hidden="0" customWidth="1"/>
  </x:cols>
  <x:sheetData>
    <x:row r="1" ht="30" customHeight="1">
      <x:c r="A1" s="442" t="str">
        <x:v>B팀 KOSIS 두 번째 독립 홀드아웃 평가</x:v>
      </x:c>
      <x:c r="B1" s="442" t="str">
        <x:v>B팀 KOSIS 두 번째 독립 홀드아웃 평가</x:v>
      </x:c>
      <x:c r="C1" s="442" t="str">
        <x:v>B팀 KOSIS 두 번째 독립 홀드아웃 평가</x:v>
      </x:c>
      <x:c r="D1" s="442" t="str">
        <x:v>B팀 KOSIS 두 번째 독립 홀드아웃 평가</x:v>
      </x:c>
      <x:c r="E1" s="442" t="str">
        <x:v>B팀 KOSIS 두 번째 독립 홀드아웃 평가</x:v>
      </x:c>
      <x:c r="F1" s="442" t="str">
        <x:v>B팀 KOSIS 두 번째 독립 홀드아웃 평가</x:v>
      </x:c>
      <x:c r="G1" s="442" t="str">
        <x:v>B팀 KOSIS 두 번째 독립 홀드아웃 평가</x:v>
      </x:c>
      <x:c r="H1" s="442" t="str">
        <x:v>B팀 KOSIS 두 번째 독립 홀드아웃 평가</x:v>
      </x:c>
    </x:row>
    <x:row r="2" ht="30" customHeight="1">
      <x:c r="A2" s="442" t="str">
        <x:v>B팀 KOSIS 두 번째 독립 홀드아웃 평가</x:v>
      </x:c>
      <x:c r="B2" s="442" t="str">
        <x:v>B팀 KOSIS 두 번째 독립 홀드아웃 평가</x:v>
      </x:c>
      <x:c r="C2" s="442" t="str">
        <x:v>B팀 KOSIS 두 번째 독립 홀드아웃 평가</x:v>
      </x:c>
      <x:c r="D2" s="442" t="str">
        <x:v>B팀 KOSIS 두 번째 독립 홀드아웃 평가</x:v>
      </x:c>
      <x:c r="E2" s="442" t="str">
        <x:v>B팀 KOSIS 두 번째 독립 홀드아웃 평가</x:v>
      </x:c>
      <x:c r="F2" s="442" t="str">
        <x:v>B팀 KOSIS 두 번째 독립 홀드아웃 평가</x:v>
      </x:c>
      <x:c r="G2" s="442" t="str">
        <x:v>B팀 KOSIS 두 번째 독립 홀드아웃 평가</x:v>
      </x:c>
      <x:c r="H2" s="442" t="str">
        <x:v>B팀 KOSIS 두 번째 독립 홀드아웃 평가</x:v>
      </x:c>
    </x:row>
    <x:row r="3" ht="23" customHeight="1">
      <x:c r="A3" s="443" t="str">
        <x:v>코드북 v2 동결 후 사람 골드 100건 확정 | 2026-07-14</x:v>
      </x:c>
      <x:c r="B3" s="443" t="str">
        <x:v>코드북 v2 동결 후 사람 골드 100건 확정 | 2026-07-14</x:v>
      </x:c>
      <x:c r="C3" s="443" t="str">
        <x:v>코드북 v2 동결 후 사람 골드 100건 확정 | 2026-07-14</x:v>
      </x:c>
      <x:c r="D3" s="443" t="str">
        <x:v>코드북 v2 동결 후 사람 골드 100건 확정 | 2026-07-14</x:v>
      </x:c>
      <x:c r="E3" s="443" t="str">
        <x:v>코드북 v2 동결 후 사람 골드 100건 확정 | 2026-07-14</x:v>
      </x:c>
      <x:c r="F3" s="443" t="str">
        <x:v>코드북 v2 동결 후 사람 골드 100건 확정 | 2026-07-14</x:v>
      </x:c>
      <x:c r="G3" s="443" t="str">
        <x:v>코드북 v2 동결 후 사람 골드 100건 확정 | 2026-07-14</x:v>
      </x:c>
      <x:c r="H3" s="443" t="str">
        <x:v>코드북 v2 동결 후 사람 골드 100건 확정 | 2026-07-14</x:v>
      </x:c>
    </x:row>
    <x:row r="4">
      <x:c r="A4" s="444"/>
      <x:c r="B4" s="444"/>
      <x:c r="C4" s="444"/>
      <x:c r="D4" s="444"/>
      <x:c r="E4" s="444"/>
      <x:c r="F4" s="444"/>
      <x:c r="G4" s="444"/>
      <x:c r="H4" s="444"/>
    </x:row>
    <x:row r="5">
      <x:c r="A5" s="445" t="str">
        <x:v>평가 표본</x:v>
      </x:c>
      <x:c r="B5" s="445" t="str">
        <x:v>평가 표본</x:v>
      </x:c>
      <x:c r="C5" s="445" t="str">
        <x:v>골드 검증가능</x:v>
      </x:c>
      <x:c r="D5" s="445" t="str">
        <x:v>골드 검증가능</x:v>
      </x:c>
      <x:c r="E5" s="445" t="str">
        <x:v>자동결정 커버리지</x:v>
      </x:c>
      <x:c r="F5" s="445" t="str">
        <x:v>자동결정 커버리지</x:v>
      </x:c>
      <x:c r="G5" s="445" t="str">
        <x:v>결정구간 정확도</x:v>
      </x:c>
      <x:c r="H5" s="445" t="str">
        <x:v>결정구간 정확도</x:v>
      </x:c>
    </x:row>
    <x:row r="6">
      <x:c r="A6" s="446" t="n">
        <x:f>'전체지표'!B2</x:f>
        <x:v>100</x:v>
      </x:c>
      <x:c r="B6" s="447"/>
      <x:c r="C6" s="448" t="n">
        <x:f>SUM('분야별지표'!C2:C6)</x:f>
        <x:v>35</x:v>
      </x:c>
      <x:c r="D6" s="449"/>
      <x:c r="E6" s="450" t="n">
        <x:f>'전체지표'!D3</x:f>
        <x:v>0.35</x:v>
      </x:c>
      <x:c r="F6" s="451"/>
      <x:c r="G6" s="452" t="n">
        <x:f>'전체지표'!D5</x:f>
        <x:v>0.9142857142857143</x:v>
      </x:c>
      <x:c r="H6" s="453"/>
    </x:row>
    <x:row r="7">
      <x:c r="A7" s="454"/>
      <x:c r="B7" s="455"/>
      <x:c r="C7" s="456"/>
      <x:c r="D7" s="457"/>
      <x:c r="E7" s="458"/>
      <x:c r="F7" s="459"/>
      <x:c r="G7" s="460"/>
      <x:c r="H7" s="461"/>
    </x:row>
    <x:row r="8">
      <x:c r="A8" s="444"/>
      <x:c r="B8" s="444"/>
      <x:c r="C8" s="444"/>
      <x:c r="D8" s="444"/>
      <x:c r="E8" s="444"/>
      <x:c r="F8" s="444"/>
      <x:c r="G8" s="444"/>
      <x:c r="H8" s="444"/>
    </x:row>
    <x:row r="9">
      <x:c r="A9" s="445" t="str">
        <x:v>항목·시점 엄격 정확도</x:v>
      </x:c>
      <x:c r="B9" s="445" t="str">
        <x:v>항목·시점 엄격 정확도</x:v>
      </x:c>
      <x:c r="C9" s="445" t="str">
        <x:v>자동매핑 완전 정밀도</x:v>
      </x:c>
      <x:c r="D9" s="445" t="str">
        <x:v>자동매핑 완전 정밀도</x:v>
      </x:c>
      <x:c r="E9" s="445" t="str">
        <x:v>API 기술 성공률</x:v>
      </x:c>
      <x:c r="F9" s="445" t="str">
        <x:v>API 기술 성공률</x:v>
      </x:c>
      <x:c r="G9" s="445" t="str">
        <x:v>독립 품질 게이트</x:v>
      </x:c>
      <x:c r="H9" s="445" t="str">
        <x:v>독립 품질 게이트</x:v>
      </x:c>
    </x:row>
    <x:row r="10">
      <x:c r="A10" s="462" t="n">
        <x:f>'전체지표'!D11</x:f>
        <x:v>0.11428571428571428</x:v>
      </x:c>
      <x:c r="B10" s="463"/>
      <x:c r="C10" s="464" t="n">
        <x:f>'전체지표'!D13</x:f>
        <x:v>0.6666666666666666</x:v>
      </x:c>
      <x:c r="D10" s="465"/>
      <x:c r="E10" s="466" t="n">
        <x:f>'전체지표'!D14</x:f>
        <x:v>1</x:v>
      </x:c>
      <x:c r="F10" s="467"/>
      <x:c r="G10" s="468" t="str">
        <x:f>IF(A10&gt;=$B$13,"통과","실패")</x:f>
        <x:v>실패</x:v>
      </x:c>
      <x:c r="H10" s="469"/>
    </x:row>
    <x:row r="11">
      <x:c r="A11" s="470"/>
      <x:c r="B11" s="471"/>
      <x:c r="C11" s="472"/>
      <x:c r="D11" s="473"/>
      <x:c r="E11" s="474"/>
      <x:c r="F11" s="475"/>
      <x:c r="G11" s="476"/>
      <x:c r="H11" s="477"/>
    </x:row>
    <x:row r="12">
      <x:c r="A12" s="444"/>
      <x:c r="B12" s="444"/>
      <x:c r="C12" s="444"/>
      <x:c r="D12" s="444"/>
      <x:c r="E12" s="444"/>
      <x:c r="F12" s="444"/>
      <x:c r="G12" s="444"/>
      <x:c r="H12" s="444"/>
    </x:row>
    <x:row r="13">
      <x:c r="A13" s="478" t="str">
        <x:v>게이트 기준</x:v>
      </x:c>
      <x:c r="B13" s="479" t="n">
        <x:v>0.8</x:v>
      </x:c>
      <x:c r="C13" s="480" t="str">
        <x:v>보류는 엄격 정확도에서 오답으로 포함하며, API 성공률은 의미 매핑 정확도와 별도로 해석합니다.</x:v>
      </x:c>
      <x:c r="D13" s="480" t="str">
        <x:v>보류는 엄격 정확도에서 오답으로 포함하며, API 성공률은 의미 매핑 정확도와 별도로 해석합니다.</x:v>
      </x:c>
      <x:c r="E13" s="480" t="str">
        <x:v>보류는 엄격 정확도에서 오답으로 포함하며, API 성공률은 의미 매핑 정확도와 별도로 해석합니다.</x:v>
      </x:c>
      <x:c r="F13" s="480" t="str">
        <x:v>보류는 엄격 정확도에서 오답으로 포함하며, API 성공률은 의미 매핑 정확도와 별도로 해석합니다.</x:v>
      </x:c>
      <x:c r="G13" s="480" t="str">
        <x:v>보류는 엄격 정확도에서 오답으로 포함하며, API 성공률은 의미 매핑 정확도와 별도로 해석합니다.</x:v>
      </x:c>
      <x:c r="H13" s="480" t="str">
        <x:v>보류는 엄격 정확도에서 오답으로 포함하며, API 성공률은 의미 매핑 정확도와 별도로 해석합니다.</x:v>
      </x:c>
    </x:row>
    <x:row r="14">
      <x:c r="A14" s="444"/>
      <x:c r="B14" s="444"/>
      <x:c r="C14" s="444"/>
      <x:c r="D14" s="444"/>
      <x:c r="E14" s="444"/>
      <x:c r="F14" s="444"/>
      <x:c r="G14" s="444"/>
      <x:c r="H14" s="444"/>
    </x:row>
    <x:row r="15">
      <x:c r="A15" s="481" t="str">
        <x:v>해석</x:v>
      </x:c>
      <x:c r="B15" s="481" t="str">
        <x:v>해석</x:v>
      </x:c>
      <x:c r="C15" s="481" t="str">
        <x:v>해석</x:v>
      </x:c>
      <x:c r="D15" s="481" t="str">
        <x:v>해석</x:v>
      </x:c>
      <x:c r="E15" s="481" t="str">
        <x:v>해석</x:v>
      </x:c>
      <x:c r="F15" s="481" t="str">
        <x:v>해석</x:v>
      </x:c>
      <x:c r="G15" s="481" t="str">
        <x:v>해석</x:v>
      </x:c>
      <x:c r="H15" s="481" t="str">
        <x:v>해석</x:v>
      </x:c>
    </x:row>
    <x:row r="16" ht="31" customHeight="1">
      <x:c r="A16" s="482" t="str">
        <x:v>자동으로 결정을 내린 35건의 검증 가능 여부 정확도는 91.4%입니다. 그러나 실제 검증가능 35건 중 표·항목·시점을 모두 맞힌 것은 4건(11.4%)뿐입니다. API 6/6 성공은 연결 기능이 정상이라는 뜻이며, 의미상 올바른 통계표를 선택했다는 뜻은 아닙니다. 따라서 현재 1,281건 수동검토 큐의 자동 확정 확대는 보류합니다.</x:v>
      </x:c>
      <x:c r="B16" s="483" t="str">
        <x:v>자동으로 결정을 내린 35건의 검증 가능 여부 정확도는 91.4%입니다. 그러나 실제 검증가능 35건 중 표·항목·시점을 모두 맞힌 것은 4건(11.4%)뿐입니다. API 6/6 성공은 연결 기능이 정상이라는 뜻이며, 의미상 올바른 통계표를 선택했다는 뜻은 아닙니다. 따라서 현재 1,281건 수동검토 큐의 자동 확정 확대는 보류합니다.</x:v>
      </x:c>
      <x:c r="C16" s="483" t="str">
        <x:v>자동으로 결정을 내린 35건의 검증 가능 여부 정확도는 91.4%입니다. 그러나 실제 검증가능 35건 중 표·항목·시점을 모두 맞힌 것은 4건(11.4%)뿐입니다. API 6/6 성공은 연결 기능이 정상이라는 뜻이며, 의미상 올바른 통계표를 선택했다는 뜻은 아닙니다. 따라서 현재 1,281건 수동검토 큐의 자동 확정 확대는 보류합니다.</x:v>
      </x:c>
      <x:c r="D16" s="483" t="str">
        <x:v>자동으로 결정을 내린 35건의 검증 가능 여부 정확도는 91.4%입니다. 그러나 실제 검증가능 35건 중 표·항목·시점을 모두 맞힌 것은 4건(11.4%)뿐입니다. API 6/6 성공은 연결 기능이 정상이라는 뜻이며, 의미상 올바른 통계표를 선택했다는 뜻은 아닙니다. 따라서 현재 1,281건 수동검토 큐의 자동 확정 확대는 보류합니다.</x:v>
      </x:c>
      <x:c r="E16" s="483" t="str">
        <x:v>자동으로 결정을 내린 35건의 검증 가능 여부 정확도는 91.4%입니다. 그러나 실제 검증가능 35건 중 표·항목·시점을 모두 맞힌 것은 4건(11.4%)뿐입니다. API 6/6 성공은 연결 기능이 정상이라는 뜻이며, 의미상 올바른 통계표를 선택했다는 뜻은 아닙니다. 따라서 현재 1,281건 수동검토 큐의 자동 확정 확대는 보류합니다.</x:v>
      </x:c>
      <x:c r="F16" s="483" t="str">
        <x:v>자동으로 결정을 내린 35건의 검증 가능 여부 정확도는 91.4%입니다. 그러나 실제 검증가능 35건 중 표·항목·시점을 모두 맞힌 것은 4건(11.4%)뿐입니다. API 6/6 성공은 연결 기능이 정상이라는 뜻이며, 의미상 올바른 통계표를 선택했다는 뜻은 아닙니다. 따라서 현재 1,281건 수동검토 큐의 자동 확정 확대는 보류합니다.</x:v>
      </x:c>
      <x:c r="G16" s="483" t="str">
        <x:v>자동으로 결정을 내린 35건의 검증 가능 여부 정확도는 91.4%입니다. 그러나 실제 검증가능 35건 중 표·항목·시점을 모두 맞힌 것은 4건(11.4%)뿐입니다. API 6/6 성공은 연결 기능이 정상이라는 뜻이며, 의미상 올바른 통계표를 선택했다는 뜻은 아닙니다. 따라서 현재 1,281건 수동검토 큐의 자동 확정 확대는 보류합니다.</x:v>
      </x:c>
      <x:c r="H16" s="484" t="str">
        <x:v>자동으로 결정을 내린 35건의 검증 가능 여부 정확도는 91.4%입니다. 그러나 실제 검증가능 35건 중 표·항목·시점을 모두 맞힌 것은 4건(11.4%)뿐입니다. API 6/6 성공은 연결 기능이 정상이라는 뜻이며, 의미상 올바른 통계표를 선택했다는 뜻은 아닙니다. 따라서 현재 1,281건 수동검토 큐의 자동 확정 확대는 보류합니다.</x:v>
      </x:c>
    </x:row>
    <x:row r="17" ht="31" customHeight="1">
      <x:c r="A17" s="485" t="str">
        <x:v>자동으로 결정을 내린 35건의 검증 가능 여부 정확도는 91.4%입니다. 그러나 실제 검증가능 35건 중 표·항목·시점을 모두 맞힌 것은 4건(11.4%)뿐입니다. API 6/6 성공은 연결 기능이 정상이라는 뜻이며, 의미상 올바른 통계표를 선택했다는 뜻은 아닙니다. 따라서 현재 1,281건 수동검토 큐의 자동 확정 확대는 보류합니다.</x:v>
      </x:c>
      <x:c r="B17" s="486" t="str">
        <x:v>자동으로 결정을 내린 35건의 검증 가능 여부 정확도는 91.4%입니다. 그러나 실제 검증가능 35건 중 표·항목·시점을 모두 맞힌 것은 4건(11.4%)뿐입니다. API 6/6 성공은 연결 기능이 정상이라는 뜻이며, 의미상 올바른 통계표를 선택했다는 뜻은 아닙니다. 따라서 현재 1,281건 수동검토 큐의 자동 확정 확대는 보류합니다.</x:v>
      </x:c>
      <x:c r="C17" s="486" t="str">
        <x:v>자동으로 결정을 내린 35건의 검증 가능 여부 정확도는 91.4%입니다. 그러나 실제 검증가능 35건 중 표·항목·시점을 모두 맞힌 것은 4건(11.4%)뿐입니다. API 6/6 성공은 연결 기능이 정상이라는 뜻이며, 의미상 올바른 통계표를 선택했다는 뜻은 아닙니다. 따라서 현재 1,281건 수동검토 큐의 자동 확정 확대는 보류합니다.</x:v>
      </x:c>
      <x:c r="D17" s="486" t="str">
        <x:v>자동으로 결정을 내린 35건의 검증 가능 여부 정확도는 91.4%입니다. 그러나 실제 검증가능 35건 중 표·항목·시점을 모두 맞힌 것은 4건(11.4%)뿐입니다. API 6/6 성공은 연결 기능이 정상이라는 뜻이며, 의미상 올바른 통계표를 선택했다는 뜻은 아닙니다. 따라서 현재 1,281건 수동검토 큐의 자동 확정 확대는 보류합니다.</x:v>
      </x:c>
      <x:c r="E17" s="486" t="str">
        <x:v>자동으로 결정을 내린 35건의 검증 가능 여부 정확도는 91.4%입니다. 그러나 실제 검증가능 35건 중 표·항목·시점을 모두 맞힌 것은 4건(11.4%)뿐입니다. API 6/6 성공은 연결 기능이 정상이라는 뜻이며, 의미상 올바른 통계표를 선택했다는 뜻은 아닙니다. 따라서 현재 1,281건 수동검토 큐의 자동 확정 확대는 보류합니다.</x:v>
      </x:c>
      <x:c r="F17" s="486" t="str">
        <x:v>자동으로 결정을 내린 35건의 검증 가능 여부 정확도는 91.4%입니다. 그러나 실제 검증가능 35건 중 표·항목·시점을 모두 맞힌 것은 4건(11.4%)뿐입니다. API 6/6 성공은 연결 기능이 정상이라는 뜻이며, 의미상 올바른 통계표를 선택했다는 뜻은 아닙니다. 따라서 현재 1,281건 수동검토 큐의 자동 확정 확대는 보류합니다.</x:v>
      </x:c>
      <x:c r="G17" s="486" t="str">
        <x:v>자동으로 결정을 내린 35건의 검증 가능 여부 정확도는 91.4%입니다. 그러나 실제 검증가능 35건 중 표·항목·시점을 모두 맞힌 것은 4건(11.4%)뿐입니다. API 6/6 성공은 연결 기능이 정상이라는 뜻이며, 의미상 올바른 통계표를 선택했다는 뜻은 아닙니다. 따라서 현재 1,281건 수동검토 큐의 자동 확정 확대는 보류합니다.</x:v>
      </x:c>
      <x:c r="H17" s="487" t="str">
        <x:v>자동으로 결정을 내린 35건의 검증 가능 여부 정확도는 91.4%입니다. 그러나 실제 검증가능 35건 중 표·항목·시점을 모두 맞힌 것은 4건(11.4%)뿐입니다. API 6/6 성공은 연결 기능이 정상이라는 뜻이며, 의미상 올바른 통계표를 선택했다는 뜻은 아닙니다. 따라서 현재 1,281건 수동검토 큐의 자동 확정 확대는 보류합니다.</x:v>
      </x:c>
    </x:row>
    <x:row r="18" ht="31" customHeight="1">
      <x:c r="A18" s="488" t="str">
        <x:v>자동으로 결정을 내린 35건의 검증 가능 여부 정확도는 91.4%입니다. 그러나 실제 검증가능 35건 중 표·항목·시점을 모두 맞힌 것은 4건(11.4%)뿐입니다. API 6/6 성공은 연결 기능이 정상이라는 뜻이며, 의미상 올바른 통계표를 선택했다는 뜻은 아닙니다. 따라서 현재 1,281건 수동검토 큐의 자동 확정 확대는 보류합니다.</x:v>
      </x:c>
      <x:c r="B18" s="489" t="str">
        <x:v>자동으로 결정을 내린 35건의 검증 가능 여부 정확도는 91.4%입니다. 그러나 실제 검증가능 35건 중 표·항목·시점을 모두 맞힌 것은 4건(11.4%)뿐입니다. API 6/6 성공은 연결 기능이 정상이라는 뜻이며, 의미상 올바른 통계표를 선택했다는 뜻은 아닙니다. 따라서 현재 1,281건 수동검토 큐의 자동 확정 확대는 보류합니다.</x:v>
      </x:c>
      <x:c r="C18" s="489" t="str">
        <x:v>자동으로 결정을 내린 35건의 검증 가능 여부 정확도는 91.4%입니다. 그러나 실제 검증가능 35건 중 표·항목·시점을 모두 맞힌 것은 4건(11.4%)뿐입니다. API 6/6 성공은 연결 기능이 정상이라는 뜻이며, 의미상 올바른 통계표를 선택했다는 뜻은 아닙니다. 따라서 현재 1,281건 수동검토 큐의 자동 확정 확대는 보류합니다.</x:v>
      </x:c>
      <x:c r="D18" s="489" t="str">
        <x:v>자동으로 결정을 내린 35건의 검증 가능 여부 정확도는 91.4%입니다. 그러나 실제 검증가능 35건 중 표·항목·시점을 모두 맞힌 것은 4건(11.4%)뿐입니다. API 6/6 성공은 연결 기능이 정상이라는 뜻이며, 의미상 올바른 통계표를 선택했다는 뜻은 아닙니다. 따라서 현재 1,281건 수동검토 큐의 자동 확정 확대는 보류합니다.</x:v>
      </x:c>
      <x:c r="E18" s="489" t="str">
        <x:v>자동으로 결정을 내린 35건의 검증 가능 여부 정확도는 91.4%입니다. 그러나 실제 검증가능 35건 중 표·항목·시점을 모두 맞힌 것은 4건(11.4%)뿐입니다. API 6/6 성공은 연결 기능이 정상이라는 뜻이며, 의미상 올바른 통계표를 선택했다는 뜻은 아닙니다. 따라서 현재 1,281건 수동검토 큐의 자동 확정 확대는 보류합니다.</x:v>
      </x:c>
      <x:c r="F18" s="489" t="str">
        <x:v>자동으로 결정을 내린 35건의 검증 가능 여부 정확도는 91.4%입니다. 그러나 실제 검증가능 35건 중 표·항목·시점을 모두 맞힌 것은 4건(11.4%)뿐입니다. API 6/6 성공은 연결 기능이 정상이라는 뜻이며, 의미상 올바른 통계표를 선택했다는 뜻은 아닙니다. 따라서 현재 1,281건 수동검토 큐의 자동 확정 확대는 보류합니다.</x:v>
      </x:c>
      <x:c r="G18" s="489" t="str">
        <x:v>자동으로 결정을 내린 35건의 검증 가능 여부 정확도는 91.4%입니다. 그러나 실제 검증가능 35건 중 표·항목·시점을 모두 맞힌 것은 4건(11.4%)뿐입니다. API 6/6 성공은 연결 기능이 정상이라는 뜻이며, 의미상 올바른 통계표를 선택했다는 뜻은 아닙니다. 따라서 현재 1,281건 수동검토 큐의 자동 확정 확대는 보류합니다.</x:v>
      </x:c>
      <x:c r="H18" s="490" t="str">
        <x:v>자동으로 결정을 내린 35건의 검증 가능 여부 정확도는 91.4%입니다. 그러나 실제 검증가능 35건 중 표·항목·시점을 모두 맞힌 것은 4건(11.4%)뿐입니다. API 6/6 성공은 연결 기능이 정상이라는 뜻이며, 의미상 올바른 통계표를 선택했다는 뜻은 아닙니다. 따라서 현재 1,281건 수동검토 큐의 자동 확정 확대는 보류합니다.</x:v>
      </x:c>
    </x:row>
    <x:row r="19">
      <x:c r="A19" s="444"/>
      <x:c r="B19" s="444"/>
      <x:c r="C19" s="444"/>
      <x:c r="D19" s="444"/>
      <x:c r="E19" s="444"/>
      <x:c r="F19" s="444"/>
      <x:c r="G19" s="444"/>
      <x:c r="H19" s="444"/>
    </x:row>
    <x:row r="20">
      <x:c r="A20" s="481" t="str">
        <x:v>분야별 성능</x:v>
      </x:c>
      <x:c r="B20" s="481" t="str">
        <x:v>분야별 성능</x:v>
      </x:c>
      <x:c r="C20" s="481" t="str">
        <x:v>분야별 성능</x:v>
      </x:c>
      <x:c r="D20" s="481" t="str">
        <x:v>분야별 성능</x:v>
      </x:c>
      <x:c r="E20" s="481" t="str">
        <x:v>분야별 성능</x:v>
      </x:c>
      <x:c r="F20" s="481" t="str">
        <x:v>분야별 성능</x:v>
      </x:c>
      <x:c r="G20" s="481" t="str">
        <x:v>분야별 성능</x:v>
      </x:c>
      <x:c r="H20" s="481" t="str">
        <x:v>분야별 성능</x:v>
      </x:c>
    </x:row>
    <x:row r="21">
      <x:c r="A21" s="491" t="str">
        <x:v>분야</x:v>
      </x:c>
      <x:c r="B21" s="492" t="str">
        <x:v>표본</x:v>
      </x:c>
      <x:c r="C21" s="492" t="str">
        <x:v>골드 가능</x:v>
      </x:c>
      <x:c r="D21" s="492" t="str">
        <x:v>자동결정</x:v>
      </x:c>
      <x:c r="E21" s="492" t="str">
        <x:v>결정 커버리지</x:v>
      </x:c>
      <x:c r="F21" s="492" t="str">
        <x:v>가능여부 엄격</x:v>
      </x:c>
      <x:c r="G21" s="493" t="str">
        <x:v>항목·시점 엄격</x:v>
      </x:c>
      <x:c r="H21" s="444"/>
    </x:row>
    <x:row r="22">
      <x:c r="A22" s="494" t="str">
        <x:f>'분야별지표'!A2</x:f>
        <x:v>물가</x:v>
      </x:c>
      <x:c r="B22" s="495" t="n">
        <x:f>'분야별지표'!B2</x:f>
        <x:v>20</x:v>
      </x:c>
      <x:c r="C22" s="495" t="n">
        <x:f>'분야별지표'!C2</x:f>
        <x:v>6</x:v>
      </x:c>
      <x:c r="D22" s="495" t="n">
        <x:f>'분야별지표'!E2</x:f>
        <x:v>12</x:v>
      </x:c>
      <x:c r="E22" s="496" t="n">
        <x:f>'분야별지표'!G2</x:f>
        <x:v>0.6</x:v>
      </x:c>
      <x:c r="F22" s="496" t="n">
        <x:f>'분야별지표'!H2</x:f>
        <x:v>0.5</x:v>
      </x:c>
      <x:c r="G22" s="497" t="n">
        <x:f>'분야별지표'!K2</x:f>
        <x:v>0.16666666666666666</x:v>
      </x:c>
      <x:c r="H22" s="444"/>
    </x:row>
    <x:row r="23">
      <x:c r="A23" s="498" t="str">
        <x:f>'분야별지표'!A3</x:f>
        <x:v>고용</x:v>
      </x:c>
      <x:c r="B23" s="499" t="n">
        <x:f>'분야별지표'!B3</x:f>
        <x:v>20</x:v>
      </x:c>
      <x:c r="C23" s="499" t="n">
        <x:f>'분야별지표'!C3</x:f>
        <x:v>7</x:v>
      </x:c>
      <x:c r="D23" s="499" t="n">
        <x:f>'분야별지표'!E3</x:f>
        <x:v>8</x:v>
      </x:c>
      <x:c r="E23" s="500" t="n">
        <x:f>'분야별지표'!G3</x:f>
        <x:v>0.4</x:v>
      </x:c>
      <x:c r="F23" s="500" t="n">
        <x:f>'분야별지표'!H3</x:f>
        <x:v>0.4</x:v>
      </x:c>
      <x:c r="G23" s="501" t="n">
        <x:f>'분야별지표'!K3</x:f>
        <x:v>0</x:v>
      </x:c>
      <x:c r="H23" s="444"/>
    </x:row>
    <x:row r="24">
      <x:c r="A24" s="498" t="str">
        <x:f>'분야별지표'!A4</x:f>
        <x:v>무역</x:v>
      </x:c>
      <x:c r="B24" s="499" t="n">
        <x:f>'분야별지표'!B4</x:f>
        <x:v>20</x:v>
      </x:c>
      <x:c r="C24" s="499" t="n">
        <x:f>'분야별지표'!C4</x:f>
        <x:v>5</x:v>
      </x:c>
      <x:c r="D24" s="499" t="n">
        <x:f>'분야별지표'!E4</x:f>
        <x:v>4</x:v>
      </x:c>
      <x:c r="E24" s="500" t="n">
        <x:f>'분야별지표'!G4</x:f>
        <x:v>0.2</x:v>
      </x:c>
      <x:c r="F24" s="500" t="n">
        <x:f>'분야별지표'!H4</x:f>
        <x:v>0.2</x:v>
      </x:c>
      <x:c r="G24" s="501" t="n">
        <x:f>'분야별지표'!K4</x:f>
        <x:v>0</x:v>
      </x:c>
      <x:c r="H24" s="444"/>
    </x:row>
    <x:row r="25">
      <x:c r="A25" s="498" t="str">
        <x:f>'분야별지표'!A5</x:f>
        <x:v>인구</x:v>
      </x:c>
      <x:c r="B25" s="499" t="n">
        <x:f>'분야별지표'!B5</x:f>
        <x:v>20</x:v>
      </x:c>
      <x:c r="C25" s="499" t="n">
        <x:f>'분야별지표'!C5</x:f>
        <x:v>10</x:v>
      </x:c>
      <x:c r="D25" s="499" t="n">
        <x:f>'분야별지표'!E5</x:f>
        <x:v>1</x:v>
      </x:c>
      <x:c r="E25" s="500" t="n">
        <x:f>'분야별지표'!G5</x:f>
        <x:v>0.05</x:v>
      </x:c>
      <x:c r="F25" s="500" t="n">
        <x:f>'분야별지표'!H5</x:f>
        <x:v>0.05</x:v>
      </x:c>
      <x:c r="G25" s="501" t="n">
        <x:f>'분야별지표'!K5</x:f>
        <x:v>0</x:v>
      </x:c>
      <x:c r="H25" s="444"/>
    </x:row>
    <x:row r="26">
      <x:c r="A26" s="502" t="str">
        <x:f>'분야별지표'!A6</x:f>
        <x:v>소매</x:v>
      </x:c>
      <x:c r="B26" s="503" t="n">
        <x:f>'분야별지표'!B6</x:f>
        <x:v>20</x:v>
      </x:c>
      <x:c r="C26" s="503" t="n">
        <x:f>'분야별지표'!C6</x:f>
        <x:v>7</x:v>
      </x:c>
      <x:c r="D26" s="503" t="n">
        <x:f>'분야별지표'!E6</x:f>
        <x:v>10</x:v>
      </x:c>
      <x:c r="E26" s="504" t="n">
        <x:f>'분야별지표'!G6</x:f>
        <x:v>0.5</x:v>
      </x:c>
      <x:c r="F26" s="504" t="n">
        <x:f>'분야별지표'!H6</x:f>
        <x:v>0.45</x:v>
      </x:c>
      <x:c r="G26" s="505" t="n">
        <x:f>'분야별지표'!K6</x:f>
        <x:v>0.42857142857142855</x:v>
      </x:c>
      <x:c r="H26" s="444"/>
    </x:row>
    <x:row r="27">
      <x:c r="A27" s="444"/>
      <x:c r="B27" s="444"/>
      <x:c r="C27" s="444"/>
      <x:c r="D27" s="444"/>
      <x:c r="E27" s="444"/>
      <x:c r="F27" s="444"/>
      <x:c r="G27" s="444"/>
      <x:c r="H27" s="444"/>
    </x:row>
    <x:row r="28">
      <x:c r="A28" s="481" t="str">
        <x:v>바로 이어서 할 작업</x:v>
      </x:c>
      <x:c r="B28" s="481" t="str">
        <x:v>바로 이어서 할 작업</x:v>
      </x:c>
      <x:c r="C28" s="481" t="str">
        <x:v>바로 이어서 할 작업</x:v>
      </x:c>
      <x:c r="D28" s="481" t="str">
        <x:v>바로 이어서 할 작업</x:v>
      </x:c>
      <x:c r="E28" s="481" t="str">
        <x:v>바로 이어서 할 작업</x:v>
      </x:c>
      <x:c r="F28" s="481" t="str">
        <x:v>바로 이어서 할 작업</x:v>
      </x:c>
      <x:c r="G28" s="481" t="str">
        <x:v>바로 이어서 할 작업</x:v>
      </x:c>
      <x:c r="H28" s="481" t="str">
        <x:v>바로 이어서 할 작업</x:v>
      </x:c>
    </x:row>
    <x:row r="29" ht="25" customHeight="1">
      <x:c r="A29" s="506" t="str">
        <x:v>1. 검증가능 보류 30건을 분야별 반복 지표 코드북 v3 후보로 변환</x:v>
      </x:c>
      <x:c r="B29" s="506" t="str">
        <x:v>1. 검증가능 보류 30건을 분야별 반복 지표 코드북 v3 후보로 변환</x:v>
      </x:c>
      <x:c r="C29" s="506" t="str">
        <x:v>1. 검증가능 보류 30건을 분야별 반복 지표 코드북 v3 후보로 변환</x:v>
      </x:c>
      <x:c r="D29" s="506" t="str">
        <x:v>1. 검증가능 보류 30건을 분야별 반복 지표 코드북 v3 후보로 변환</x:v>
      </x:c>
      <x:c r="E29" s="506" t="str">
        <x:v>1. 검증가능 보류 30건을 분야별 반복 지표 코드북 v3 후보로 변환</x:v>
      </x:c>
      <x:c r="F29" s="506" t="str">
        <x:v>1. 검증가능 보류 30건을 분야별 반복 지표 코드북 v3 후보로 변환</x:v>
      </x:c>
      <x:c r="G29" s="506" t="str">
        <x:v>1. 검증가능 보류 30건을 분야별 반복 지표 코드북 v3 후보로 변환</x:v>
      </x:c>
      <x:c r="H29" s="506" t="str">
        <x:v>1. 검증가능 보류 30건을 분야별 반복 지표 코드북 v3 후보로 변환</x:v>
      </x:c>
    </x:row>
    <x:row r="30" ht="25" customHeight="1">
      <x:c r="A30" s="507" t="str">
        <x:v>2. 검증불가 보류 35건을 사유별 자동 분류 규칙으로 분리</x:v>
      </x:c>
      <x:c r="B30" s="507" t="str">
        <x:v>2. 검증불가 보류 35건을 사유별 자동 분류 규칙으로 분리</x:v>
      </x:c>
      <x:c r="C30" s="507" t="str">
        <x:v>2. 검증불가 보류 35건을 사유별 자동 분류 규칙으로 분리</x:v>
      </x:c>
      <x:c r="D30" s="507" t="str">
        <x:v>2. 검증불가 보류 35건을 사유별 자동 분류 규칙으로 분리</x:v>
      </x:c>
      <x:c r="E30" s="507" t="str">
        <x:v>2. 검증불가 보류 35건을 사유별 자동 분류 규칙으로 분리</x:v>
      </x:c>
      <x:c r="F30" s="507" t="str">
        <x:v>2. 검증불가 보류 35건을 사유별 자동 분류 규칙으로 분리</x:v>
      </x:c>
      <x:c r="G30" s="507" t="str">
        <x:v>2. 검증불가 보류 35건을 사유별 자동 분류 규칙으로 분리</x:v>
      </x:c>
      <x:c r="H30" s="507" t="str">
        <x:v>2. 검증불가 보류 35건을 사유별 자동 분류 규칙으로 분리</x:v>
      </x:c>
    </x:row>
    <x:row r="31" ht="25" customHeight="1">
      <x:c r="A31" s="506" t="str">
        <x:v>3. v3 전체 회귀 테스트 및 개발셋 재평가(독립 성능과 구분)</x:v>
      </x:c>
      <x:c r="B31" s="506" t="str">
        <x:v>3. v3 전체 회귀 테스트 및 개발셋 재평가(독립 성능과 구분)</x:v>
      </x:c>
      <x:c r="C31" s="506" t="str">
        <x:v>3. v3 전체 회귀 테스트 및 개발셋 재평가(독립 성능과 구분)</x:v>
      </x:c>
      <x:c r="D31" s="506" t="str">
        <x:v>3. v3 전체 회귀 테스트 및 개발셋 재평가(독립 성능과 구분)</x:v>
      </x:c>
      <x:c r="E31" s="506" t="str">
        <x:v>3. v3 전체 회귀 테스트 및 개발셋 재평가(독립 성능과 구분)</x:v>
      </x:c>
      <x:c r="F31" s="506" t="str">
        <x:v>3. v3 전체 회귀 테스트 및 개발셋 재평가(독립 성능과 구분)</x:v>
      </x:c>
      <x:c r="G31" s="506" t="str">
        <x:v>3. v3 전체 회귀 테스트 및 개발셋 재평가(독립 성능과 구분)</x:v>
      </x:c>
      <x:c r="H31" s="506" t="str">
        <x:v>3. v3 전체 회귀 테스트 및 개발셋 재평가(독립 성능과 구분)</x:v>
      </x:c>
    </x:row>
    <x:row r="32" ht="25" customHeight="1">
      <x:c r="A32" s="507" t="str">
        <x:v>4. v3 동결 후 기존 300건과 겹치지 않는 세 번째 독립 100건 평가</x:v>
      </x:c>
      <x:c r="B32" s="507" t="str">
        <x:v>4. v3 동결 후 기존 300건과 겹치지 않는 세 번째 독립 100건 평가</x:v>
      </x:c>
      <x:c r="C32" s="507" t="str">
        <x:v>4. v3 동결 후 기존 300건과 겹치지 않는 세 번째 독립 100건 평가</x:v>
      </x:c>
      <x:c r="D32" s="507" t="str">
        <x:v>4. v3 동결 후 기존 300건과 겹치지 않는 세 번째 독립 100건 평가</x:v>
      </x:c>
      <x:c r="E32" s="507" t="str">
        <x:v>4. v3 동결 후 기존 300건과 겹치지 않는 세 번째 독립 100건 평가</x:v>
      </x:c>
      <x:c r="F32" s="507" t="str">
        <x:v>4. v3 동결 후 기존 300건과 겹치지 않는 세 번째 독립 100건 평가</x:v>
      </x:c>
      <x:c r="G32" s="507" t="str">
        <x:v>4. v3 동결 후 기존 300건과 겹치지 않는 세 번째 독립 100건 평가</x:v>
      </x:c>
      <x:c r="H32" s="507" t="str">
        <x:v>4. v3 동결 후 기존 300건과 겹치지 않는 세 번째 독립 100건 평가</x:v>
      </x:c>
    </x:row>
  </x:sheetData>
  <x:mergeCells>
    <x:mergeCell ref="A1:H2"/>
    <x:mergeCell ref="A3:H3"/>
    <x:mergeCell ref="A5:B5"/>
    <x:mergeCell ref="A6:B7"/>
    <x:mergeCell ref="C5:D5"/>
    <x:mergeCell ref="C6:D7"/>
    <x:mergeCell ref="E5:F5"/>
    <x:mergeCell ref="E6:F7"/>
    <x:mergeCell ref="G5:H5"/>
    <x:mergeCell ref="G6:H7"/>
    <x:mergeCell ref="A9:B9"/>
    <x:mergeCell ref="A10:B11"/>
    <x:mergeCell ref="C9:D9"/>
    <x:mergeCell ref="C10:D11"/>
    <x:mergeCell ref="E9:F9"/>
    <x:mergeCell ref="E10:F11"/>
    <x:mergeCell ref="G9:H9"/>
    <x:mergeCell ref="G10:H11"/>
    <x:mergeCell ref="C13:H13"/>
    <x:mergeCell ref="A15:H15"/>
    <x:mergeCell ref="A16:H18"/>
    <x:mergeCell ref="A20:H20"/>
    <x:mergeCell ref="A28:H28"/>
    <x:mergeCell ref="A29:H29"/>
    <x:mergeCell ref="A30:H30"/>
    <x:mergeCell ref="A31:H31"/>
    <x:mergeCell ref="A32:H32"/>
  </x:mergeCells>
  <x:conditionalFormatting sqref="E22:G26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4" hidden="0" customWidth="1"/>
    <x:col min="4" max="4" width="13" hidden="0" customWidth="1"/>
    <x:col min="5" max="5" width="52" hidden="0" customWidth="1"/>
  </x:cols>
  <x:sheetData>
    <x:row r="1">
      <x:c r="A1" s="491" t="str">
        <x:v>지표</x:v>
      </x:c>
      <x:c r="B1" s="492" t="str">
        <x:v>정답/성공</x:v>
      </x:c>
      <x:c r="C1" s="492" t="str">
        <x:v>분모</x:v>
      </x:c>
      <x:c r="D1" s="492" t="str">
        <x:v>비율</x:v>
      </x:c>
      <x:c r="E1" s="493" t="str">
        <x:v>정의</x:v>
      </x:c>
    </x:row>
    <x:row r="2" ht="28" customHeight="1">
      <x:c r="A2" s="574" t="str">
        <x:v>홀드아웃 전체</x:v>
      </x:c>
      <x:c r="B2" s="574" t="n">
        <x:v>100</x:v>
      </x:c>
      <x:c r="C2" s="574" t="n">
        <x:v>100</x:v>
      </x:c>
      <x:c r="D2" s="592" t="n">
        <x:v>1</x:v>
      </x:c>
      <x:c r="E2" s="594" t="str">
        <x:v>개발 골드·첫 홀드아웃과 claim/article 중복 0, 분야별 20건</x:v>
      </x:c>
    </x:row>
    <x:row r="3" ht="28" customHeight="1">
      <x:c r="A3" s="574" t="str">
        <x:v>자동결정 커버리지</x:v>
      </x:c>
      <x:c r="B3" s="574" t="n">
        <x:v>35</x:v>
      </x:c>
      <x:c r="C3" s="574" t="n">
        <x:v>100</x:v>
      </x:c>
      <x:c r="D3" s="592" t="n">
        <x:v>0.35</x:v>
      </x:c>
      <x:c r="E3" s="594" t="str">
        <x:v>검증가능 또는 검증불가 자동 결정; 보류 제외</x:v>
      </x:c>
    </x:row>
    <x:row r="4" ht="28" customHeight="1">
      <x:c r="A4" s="574" t="str">
        <x:v>검증 가능 여부 엄격 정확도</x:v>
      </x:c>
      <x:c r="B4" s="574" t="n">
        <x:v>32</x:v>
      </x:c>
      <x:c r="C4" s="574" t="n">
        <x:v>100</x:v>
      </x:c>
      <x:c r="D4" s="592" t="n">
        <x:v>0.32</x:v>
      </x:c>
      <x:c r="E4" s="594" t="str">
        <x:v>보류를 오답으로 포함</x:v>
      </x:c>
    </x:row>
    <x:row r="5" ht="28" customHeight="1">
      <x:c r="A5" s="574" t="str">
        <x:v>검증 가능 여부 결정구간 정확도</x:v>
      </x:c>
      <x:c r="B5" s="574" t="n">
        <x:v>32</x:v>
      </x:c>
      <x:c r="C5" s="574" t="n">
        <x:v>35</x:v>
      </x:c>
      <x:c r="D5" s="592" t="n">
        <x:v>0.9142857142857143</x:v>
      </x:c>
      <x:c r="E5" s="594" t="str">
        <x:v>자동 결정한 행만 평가</x:v>
      </x:c>
    </x:row>
    <x:row r="6" ht="28" customHeight="1">
      <x:c r="A6" s="574" t="str">
        <x:v>통계표 매핑 엄격 정확도</x:v>
      </x:c>
      <x:c r="B6" s="574" t="n">
        <x:v>4</x:v>
      </x:c>
      <x:c r="C6" s="574" t="n">
        <x:v>35</x:v>
      </x:c>
      <x:c r="D6" s="592" t="n">
        <x:v>0.11428571428571428</x:v>
      </x:c>
      <x:c r="E6" s="594" t="str">
        <x:v>골드 검증가능 전체가 분모</x:v>
      </x:c>
    </x:row>
    <x:row r="7" ht="28" customHeight="1">
      <x:c r="A7" s="574" t="str">
        <x:v>항목 매핑 엄격 정확도</x:v>
      </x:c>
      <x:c r="B7" s="574" t="n">
        <x:v>4</x:v>
      </x:c>
      <x:c r="C7" s="574" t="n">
        <x:v>35</x:v>
      </x:c>
      <x:c r="D7" s="592" t="n">
        <x:v>0.11428571428571428</x:v>
      </x:c>
      <x:c r="E7" s="594" t="str">
        <x:v>obj_l1+obj_l2+itm_id</x:v>
      </x:c>
    </x:row>
    <x:row r="8" ht="28" customHeight="1">
      <x:c r="A8" s="574" t="str">
        <x:v>시점 매핑 엄격 정확도</x:v>
      </x:c>
      <x:c r="B8" s="574" t="n">
        <x:v>4</x:v>
      </x:c>
      <x:c r="C8" s="574" t="n">
        <x:v>35</x:v>
      </x:c>
      <x:c r="D8" s="592" t="n">
        <x:v>0.11428571428571428</x:v>
      </x:c>
      <x:c r="E8" s="594" t="str">
        <x:v>주기+목표 시점+이전 시점</x:v>
      </x:c>
    </x:row>
    <x:row r="9" ht="28" customHeight="1">
      <x:c r="A9" s="574" t="str">
        <x:v>주장 수치 추출 엄격 정확도</x:v>
      </x:c>
      <x:c r="B9" s="574" t="n">
        <x:v>4</x:v>
      </x:c>
      <x:c r="C9" s="574" t="n">
        <x:v>35</x:v>
      </x:c>
      <x:c r="D9" s="592" t="n">
        <x:v>0.11428571428571428</x:v>
      </x:c>
      <x:c r="E9" s="594" t="str">
        <x:v>검증 대상 수치 선택</x:v>
      </x:c>
    </x:row>
    <x:row r="10" ht="28" customHeight="1">
      <x:c r="A10" s="574" t="str">
        <x:v>비교 방식 엄격 정확도</x:v>
      </x:c>
      <x:c r="B10" s="574" t="n">
        <x:v>4</x:v>
      </x:c>
      <x:c r="C10" s="574" t="n">
        <x:v>35</x:v>
      </x:c>
      <x:c r="D10" s="592" t="n">
        <x:v>0.11428571428571428</x:v>
      </x:c>
      <x:c r="E10" s="594" t="str">
        <x:v>LEVEL·ABS_TO_ABS 등 검증 방식</x:v>
      </x:c>
    </x:row>
    <x:row r="11" ht="28" customHeight="1">
      <x:c r="A11" s="574" t="str">
        <x:v>항목·시점 결합 엄격 정확도</x:v>
      </x:c>
      <x:c r="B11" s="574" t="n">
        <x:v>4</x:v>
      </x:c>
      <x:c r="C11" s="574" t="n">
        <x:v>35</x:v>
      </x:c>
      <x:c r="D11" s="592" t="n">
        <x:v>0.11428571428571428</x:v>
      </x:c>
      <x:c r="E11" s="594" t="str">
        <x:v>독립 80% 품질 게이트</x:v>
      </x:c>
    </x:row>
    <x:row r="12" ht="28" customHeight="1">
      <x:c r="A12" s="574" t="str">
        <x:v>전체 매핑 엄격 정확도</x:v>
      </x:c>
      <x:c r="B12" s="574" t="n">
        <x:v>4</x:v>
      </x:c>
      <x:c r="C12" s="574" t="n">
        <x:v>35</x:v>
      </x:c>
      <x:c r="D12" s="592" t="n">
        <x:v>0.11428571428571428</x:v>
      </x:c>
      <x:c r="E12" s="594" t="str">
        <x:v>표+항목+시점+수치+비교방식</x:v>
      </x:c>
    </x:row>
    <x:row r="13" ht="28" customHeight="1">
      <x:c r="A13" s="574" t="str">
        <x:v>자동매핑 전체 정밀도</x:v>
      </x:c>
      <x:c r="B13" s="574" t="n">
        <x:v>4</x:v>
      </x:c>
      <x:c r="C13" s="574" t="n">
        <x:v>6</x:v>
      </x:c>
      <x:c r="D13" s="592" t="n">
        <x:v>0.6666666666666666</x:v>
      </x:c>
      <x:c r="E13" s="594" t="str">
        <x:v>자동 검증가능 6건 중 완전한 매핑</x:v>
      </x:c>
    </x:row>
    <x:row r="14" ht="28" customHeight="1">
      <x:c r="A14" s="574" t="str">
        <x:v>자동매핑 API 성공률</x:v>
      </x:c>
      <x:c r="B14" s="574" t="n">
        <x:v>6</x:v>
      </x:c>
      <x:c r="C14" s="574" t="n">
        <x:v>6</x:v>
      </x:c>
      <x:c r="D14" s="592" t="n">
        <x:v>1</x:v>
      </x:c>
      <x:c r="E14" s="594" t="str">
        <x:v>자동 검증가능 행의 기술적 조회 성공</x:v>
      </x:c>
    </x:row>
    <x:row r="15" ht="28" customHeight="1">
      <x:c r="A15" s="574" t="str">
        <x:v>검증가능 최종판정 엄격 일치율</x:v>
      </x:c>
      <x:c r="B15" s="574" t="n">
        <x:v>4</x:v>
      </x:c>
      <x:c r="C15" s="574" t="n">
        <x:v>35</x:v>
      </x:c>
      <x:c r="D15" s="592" t="n">
        <x:v>0.11428571428571428</x:v>
      </x:c>
      <x:c r="E15" s="594" t="str">
        <x:v>골드 검증가능 전체에서 최종 일치/불일치 판정</x:v>
      </x:c>
    </x:row>
  </x:sheetData>
  <x:pageMargins left="0.7" right="0.7" top="0.75" bottom="0.75" header="0.3" footer="0.3"/>
  <x:tableParts count="1">
    <x:tablePart xmlns:r="http://schemas.openxmlformats.org/officeDocument/2006/relationships" r:id="Rd2a0a58d2254438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7" hidden="0" customWidth="1"/>
    <x:col min="8" max="8" width="17" hidden="0" customWidth="1"/>
    <x:col min="9" max="9" width="17" hidden="0" customWidth="1"/>
    <x:col min="10" max="10" width="15" hidden="0" customWidth="1"/>
    <x:col min="11" max="11" width="18" hidden="0" customWidth="1"/>
    <x:col min="12" max="12" width="17" hidden="0" customWidth="1"/>
    <x:col min="13" max="13" width="18" hidden="0" customWidth="1"/>
  </x:cols>
  <x:sheetData>
    <x:row r="1">
      <x:c r="A1" s="491" t="str">
        <x:v>분야</x:v>
      </x:c>
      <x:c r="B1" s="492" t="str">
        <x:v>표본</x:v>
      </x:c>
      <x:c r="C1" s="492" t="str">
        <x:v>골드 가능</x:v>
      </x:c>
      <x:c r="D1" s="492" t="str">
        <x:v>골드 불가</x:v>
      </x:c>
      <x:c r="E1" s="492" t="str">
        <x:v>자동결정</x:v>
      </x:c>
      <x:c r="F1" s="492" t="str">
        <x:v>자동매핑</x:v>
      </x:c>
      <x:c r="G1" s="492" t="str">
        <x:v>결정 커버리지</x:v>
      </x:c>
      <x:c r="H1" s="492" t="str">
        <x:v>가능여부 엄격</x:v>
      </x:c>
      <x:c r="I1" s="492" t="str">
        <x:v>결정구간 정확도</x:v>
      </x:c>
      <x:c r="J1" s="492" t="str">
        <x:v>통계표 엄격</x:v>
      </x:c>
      <x:c r="K1" s="492" t="str">
        <x:v>항목·시점 엄격</x:v>
      </x:c>
      <x:c r="L1" s="492" t="str">
        <x:v>전체매핑 엄격</x:v>
      </x:c>
      <x:c r="M1" s="493" t="str">
        <x:v>자동매핑 정밀도</x:v>
      </x:c>
    </x:row>
    <x:row r="2" ht="26" customHeight="1">
      <x:c r="A2" s="574" t="str">
        <x:v>물가</x:v>
      </x:c>
      <x:c r="B2" s="574" t="n">
        <x:v>20</x:v>
      </x:c>
      <x:c r="C2" s="574" t="n">
        <x:v>6</x:v>
      </x:c>
      <x:c r="D2" s="574" t="n">
        <x:v>14</x:v>
      </x:c>
      <x:c r="E2" s="574" t="n">
        <x:v>12</x:v>
      </x:c>
      <x:c r="F2" s="574" t="n">
        <x:v>2</x:v>
      </x:c>
      <x:c r="G2" s="592" t="n">
        <x:v>0.6</x:v>
      </x:c>
      <x:c r="H2" s="592" t="n">
        <x:v>0.5</x:v>
      </x:c>
      <x:c r="I2" s="592" t="n">
        <x:v>0.8333333333333334</x:v>
      </x:c>
      <x:c r="J2" s="592" t="n">
        <x:v>0.16666666666666666</x:v>
      </x:c>
      <x:c r="K2" s="592" t="n">
        <x:v>0.16666666666666666</x:v>
      </x:c>
      <x:c r="L2" s="592" t="n">
        <x:v>0.16666666666666666</x:v>
      </x:c>
      <x:c r="M2" s="592" t="n">
        <x:v>0.5</x:v>
      </x:c>
    </x:row>
    <x:row r="3" ht="26" customHeight="1">
      <x:c r="A3" s="574" t="str">
        <x:v>고용</x:v>
      </x:c>
      <x:c r="B3" s="574" t="n">
        <x:v>20</x:v>
      </x:c>
      <x:c r="C3" s="574" t="n">
        <x:v>7</x:v>
      </x:c>
      <x:c r="D3" s="574" t="n">
        <x:v>13</x:v>
      </x:c>
      <x:c r="E3" s="574" t="n">
        <x:v>8</x:v>
      </x:c>
      <x:c r="F3" s="574" t="n">
        <x:v>0</x:v>
      </x:c>
      <x:c r="G3" s="592" t="n">
        <x:v>0.4</x:v>
      </x:c>
      <x:c r="H3" s="592" t="n">
        <x:v>0.4</x:v>
      </x:c>
      <x:c r="I3" s="592" t="n">
        <x:v>1</x:v>
      </x:c>
      <x:c r="J3" s="592" t="n">
        <x:v>0</x:v>
      </x:c>
      <x:c r="K3" s="592" t="n">
        <x:v>0</x:v>
      </x:c>
      <x:c r="L3" s="592" t="n">
        <x:v>0</x:v>
      </x:c>
      <x:c r="M3" s="592" t="n">
        <x:v>0</x:v>
      </x:c>
    </x:row>
    <x:row r="4" ht="26" customHeight="1">
      <x:c r="A4" s="574" t="str">
        <x:v>무역</x:v>
      </x:c>
      <x:c r="B4" s="574" t="n">
        <x:v>20</x:v>
      </x:c>
      <x:c r="C4" s="574" t="n">
        <x:v>5</x:v>
      </x:c>
      <x:c r="D4" s="574" t="n">
        <x:v>15</x:v>
      </x:c>
      <x:c r="E4" s="574" t="n">
        <x:v>4</x:v>
      </x:c>
      <x:c r="F4" s="574" t="n">
        <x:v>0</x:v>
      </x:c>
      <x:c r="G4" s="592" t="n">
        <x:v>0.2</x:v>
      </x:c>
      <x:c r="H4" s="592" t="n">
        <x:v>0.2</x:v>
      </x:c>
      <x:c r="I4" s="592" t="n">
        <x:v>1</x:v>
      </x:c>
      <x:c r="J4" s="592" t="n">
        <x:v>0</x:v>
      </x:c>
      <x:c r="K4" s="592" t="n">
        <x:v>0</x:v>
      </x:c>
      <x:c r="L4" s="592" t="n">
        <x:v>0</x:v>
      </x:c>
      <x:c r="M4" s="592" t="n">
        <x:v>0</x:v>
      </x:c>
    </x:row>
    <x:row r="5" ht="26" customHeight="1">
      <x:c r="A5" s="574" t="str">
        <x:v>인구</x:v>
      </x:c>
      <x:c r="B5" s="574" t="n">
        <x:v>20</x:v>
      </x:c>
      <x:c r="C5" s="574" t="n">
        <x:v>10</x:v>
      </x:c>
      <x:c r="D5" s="574" t="n">
        <x:v>10</x:v>
      </x:c>
      <x:c r="E5" s="574" t="n">
        <x:v>1</x:v>
      </x:c>
      <x:c r="F5" s="574" t="n">
        <x:v>0</x:v>
      </x:c>
      <x:c r="G5" s="592" t="n">
        <x:v>0.05</x:v>
      </x:c>
      <x:c r="H5" s="592" t="n">
        <x:v>0.05</x:v>
      </x:c>
      <x:c r="I5" s="592" t="n">
        <x:v>1</x:v>
      </x:c>
      <x:c r="J5" s="592" t="n">
        <x:v>0</x:v>
      </x:c>
      <x:c r="K5" s="592" t="n">
        <x:v>0</x:v>
      </x:c>
      <x:c r="L5" s="592" t="n">
        <x:v>0</x:v>
      </x:c>
      <x:c r="M5" s="592" t="n">
        <x:v>0</x:v>
      </x:c>
    </x:row>
    <x:row r="6" ht="26" customHeight="1">
      <x:c r="A6" s="574" t="str">
        <x:v>소매</x:v>
      </x:c>
      <x:c r="B6" s="574" t="n">
        <x:v>20</x:v>
      </x:c>
      <x:c r="C6" s="574" t="n">
        <x:v>7</x:v>
      </x:c>
      <x:c r="D6" s="574" t="n">
        <x:v>13</x:v>
      </x:c>
      <x:c r="E6" s="574" t="n">
        <x:v>10</x:v>
      </x:c>
      <x:c r="F6" s="574" t="n">
        <x:v>4</x:v>
      </x:c>
      <x:c r="G6" s="592" t="n">
        <x:v>0.5</x:v>
      </x:c>
      <x:c r="H6" s="592" t="n">
        <x:v>0.45</x:v>
      </x:c>
      <x:c r="I6" s="592" t="n">
        <x:v>0.9</x:v>
      </x:c>
      <x:c r="J6" s="592" t="n">
        <x:v>0.42857142857142855</x:v>
      </x:c>
      <x:c r="K6" s="592" t="n">
        <x:v>0.42857142857142855</x:v>
      </x:c>
      <x:c r="L6" s="592" t="n">
        <x:v>0.42857142857142855</x:v>
      </x:c>
      <x:c r="M6" s="592" t="n">
        <x:v>0.75</x:v>
      </x:c>
    </x:row>
  </x:sheetData>
  <x:pageMargins left="0.7" right="0.7" top="0.75" bottom="0.75" header="0.3" footer="0.3"/>
  <x:tableParts count="1">
    <x:tablePart xmlns:r="http://schemas.openxmlformats.org/officeDocument/2006/relationships" r:id="R06d50255cbe34fa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2" hidden="0" customWidth="1"/>
    <x:col min="3" max="3" width="24" hidden="0" customWidth="1"/>
    <x:col min="4" max="4" width="20" hidden="0" customWidth="1"/>
    <x:col min="5" max="5" width="24" hidden="0" customWidth="1"/>
    <x:col min="6" max="6" width="38" hidden="0" customWidth="1"/>
    <x:col min="7" max="7" width="14" hidden="0" customWidth="1"/>
    <x:col min="8" max="8" width="14" hidden="0" customWidth="1"/>
    <x:col min="9" max="9" width="36" hidden="0" customWidth="1"/>
    <x:col min="10" max="10" width="14" hidden="0" customWidth="1"/>
    <x:col min="11" max="11" width="42" hidden="0" customWidth="1"/>
    <x:col min="12" max="12" width="60" hidden="0" customWidth="1"/>
  </x:cols>
  <x:sheetData>
    <x:row r="1" ht="38" customHeight="1">
      <x:c r="A1" s="491" t="str">
        <x:v>﻿holdout_no</x:v>
      </x:c>
      <x:c r="B1" s="492" t="str">
        <x:v>holdout_domain</x:v>
      </x:c>
      <x:c r="C1" s="492" t="str">
        <x:v>selection_reason</x:v>
      </x:c>
      <x:c r="D1" s="492" t="str">
        <x:v>selection_bucket</x:v>
      </x:c>
      <x:c r="E1" s="492" t="str">
        <x:v>source_status</x:v>
      </x:c>
      <x:c r="F1" s="492" t="str">
        <x:v>source_dataset</x:v>
      </x:c>
      <x:c r="G1" s="492" t="str">
        <x:v>claim_id</x:v>
      </x:c>
      <x:c r="H1" s="492" t="str">
        <x:v>article_id</x:v>
      </x:c>
      <x:c r="I1" s="492" t="str">
        <x:v>title</x:v>
      </x:c>
      <x:c r="J1" s="492" t="str">
        <x:v>date</x:v>
      </x:c>
      <x:c r="K1" s="492" t="str">
        <x:v>url</x:v>
      </x:c>
      <x:c r="L1" s="492" t="str">
        <x:v>prev_sentence</x:v>
      </x:c>
      <x:c r="M1" s="492" t="str">
        <x:v>claim_text</x:v>
      </x:c>
      <x:c r="N1" s="492" t="str">
        <x:v>next_sentence</x:v>
      </x:c>
      <x:c r="O1" s="492" t="str">
        <x:v>metric</x:v>
      </x:c>
      <x:c r="P1" s="492" t="str">
        <x:v>metric_all</x:v>
      </x:c>
      <x:c r="Q1" s="492" t="str">
        <x:v>numbers</x:v>
      </x:c>
      <x:c r="R1" s="492" t="str">
        <x:v>units</x:v>
      </x:c>
      <x:c r="S1" s="492" t="str">
        <x:v>year</x:v>
      </x:c>
      <x:c r="T1" s="492" t="str">
        <x:v>region</x:v>
      </x:c>
      <x:c r="U1" s="492" t="str">
        <x:v>population</x:v>
      </x:c>
      <x:c r="V1" s="492" t="str">
        <x:v>org_id</x:v>
      </x:c>
      <x:c r="W1" s="492" t="str">
        <x:v>tbl_id</x:v>
      </x:c>
      <x:c r="X1" s="492" t="str">
        <x:v>obj_l1</x:v>
      </x:c>
      <x:c r="Y1" s="492" t="str">
        <x:v>obj_l2</x:v>
      </x:c>
      <x:c r="Z1" s="492" t="str">
        <x:v>itm_id</x:v>
      </x:c>
      <x:c r="AA1" s="492" t="str">
        <x:v>prd_se</x:v>
      </x:c>
      <x:c r="AB1" s="492" t="str">
        <x:v>refined_claim_type</x:v>
      </x:c>
      <x:c r="AC1" s="492" t="str">
        <x:v>refined_claim_number</x:v>
      </x:c>
      <x:c r="AD1" s="492" t="str">
        <x:v>actual_period</x:v>
      </x:c>
      <x:c r="AE1" s="492" t="str">
        <x:v>actual_prev_period</x:v>
      </x:c>
      <x:c r="AF1" s="492" t="str">
        <x:v>refined_actual_number</x:v>
      </x:c>
      <x:c r="AG1" s="492" t="str">
        <x:v>refined_verdict</x:v>
      </x:c>
      <x:c r="AH1" s="492" t="str">
        <x:v>api_error</x:v>
      </x:c>
      <x:c r="AI1" s="492" t="str">
        <x:v>reviewer_note</x:v>
      </x:c>
      <x:c r="AJ1" s="492" t="str">
        <x:v>auto_decision</x:v>
      </x:c>
      <x:c r="AK1" s="492" t="str">
        <x:v>auto_exclusion_reason</x:v>
      </x:c>
      <x:c r="AL1" s="492" t="str">
        <x:v>auto_org_id</x:v>
      </x:c>
      <x:c r="AM1" s="492" t="str">
        <x:v>auto_tbl_id</x:v>
      </x:c>
      <x:c r="AN1" s="492" t="str">
        <x:v>auto_obj_l1</x:v>
      </x:c>
      <x:c r="AO1" s="492" t="str">
        <x:v>auto_obj_l2</x:v>
      </x:c>
      <x:c r="AP1" s="492" t="str">
        <x:v>auto_itm_id</x:v>
      </x:c>
      <x:c r="AQ1" s="492" t="str">
        <x:v>auto_prd_se</x:v>
      </x:c>
      <x:c r="AR1" s="492" t="str">
        <x:v>auto_target_number</x:v>
      </x:c>
      <x:c r="AS1" s="492" t="str">
        <x:v>auto_target_period</x:v>
      </x:c>
      <x:c r="AT1" s="492" t="str">
        <x:v>auto_prev_period</x:v>
      </x:c>
      <x:c r="AU1" s="492" t="str">
        <x:v>auto_mode</x:v>
      </x:c>
      <x:c r="AV1" s="492" t="str">
        <x:v>auto_note</x:v>
      </x:c>
      <x:c r="AW1" s="492" t="str">
        <x:v>auto_api_success</x:v>
      </x:c>
      <x:c r="AX1" s="492" t="str">
        <x:v>auto_actual_number</x:v>
      </x:c>
      <x:c r="AY1" s="492" t="str">
        <x:v>auto_current_value</x:v>
      </x:c>
      <x:c r="AZ1" s="492" t="str">
        <x:v>auto_previous_value</x:v>
      </x:c>
      <x:c r="BA1" s="492" t="str">
        <x:v>auto_unit</x:v>
      </x:c>
      <x:c r="BB1" s="492" t="str">
        <x:v>auto_verdict</x:v>
      </x:c>
      <x:c r="BC1" s="492" t="str">
        <x:v>auto_api_error</x:v>
      </x:c>
      <x:c r="BD1" s="492" t="str">
        <x:v>gold_verifiable</x:v>
      </x:c>
      <x:c r="BE1" s="492" t="str">
        <x:v>gold_exclusion_reason</x:v>
      </x:c>
      <x:c r="BF1" s="492" t="str">
        <x:v>gold_org_id</x:v>
      </x:c>
      <x:c r="BG1" s="492" t="str">
        <x:v>gold_tbl_id</x:v>
      </x:c>
      <x:c r="BH1" s="492" t="str">
        <x:v>gold_obj_l1</x:v>
      </x:c>
      <x:c r="BI1" s="492" t="str">
        <x:v>gold_obj_l2</x:v>
      </x:c>
      <x:c r="BJ1" s="492" t="str">
        <x:v>gold_itm_id</x:v>
      </x:c>
      <x:c r="BK1" s="492" t="str">
        <x:v>gold_prd_se</x:v>
      </x:c>
      <x:c r="BL1" s="492" t="str">
        <x:v>gold_target_number</x:v>
      </x:c>
      <x:c r="BM1" s="492" t="str">
        <x:v>gold_target_period</x:v>
      </x:c>
      <x:c r="BN1" s="492" t="str">
        <x:v>gold_prev_period</x:v>
      </x:c>
      <x:c r="BO1" s="492" t="str">
        <x:v>gold_mode</x:v>
      </x:c>
      <x:c r="BP1" s="492" t="str">
        <x:v>gold_verdict</x:v>
      </x:c>
      <x:c r="BQ1" s="492" t="str">
        <x:v>gold_evidence</x:v>
      </x:c>
      <x:c r="BR1" s="492" t="str">
        <x:v>gold_reviewer_note</x:v>
      </x:c>
      <x:c r="BS1" s="492" t="str">
        <x:v>eligibility_expected</x:v>
      </x:c>
      <x:c r="BT1" s="492" t="str">
        <x:v>eligibility_correct</x:v>
      </x:c>
      <x:c r="BU1" s="492" t="str">
        <x:v>table_correct</x:v>
      </x:c>
      <x:c r="BV1" s="492" t="str">
        <x:v>item_correct</x:v>
      </x:c>
      <x:c r="BW1" s="492" t="str">
        <x:v>period_correct</x:v>
      </x:c>
      <x:c r="BX1" s="492" t="str">
        <x:v>target_number_correct</x:v>
      </x:c>
      <x:c r="BY1" s="492" t="str">
        <x:v>mode_correct</x:v>
      </x:c>
      <x:c r="BZ1" s="492" t="str">
        <x:v>item_period_correct</x:v>
      </x:c>
      <x:c r="CA1" s="492" t="str">
        <x:v>full_mapping_correct</x:v>
      </x:c>
      <x:c r="CB1" s="492" t="str">
        <x:v>verdict_correct</x:v>
      </x:c>
      <x:c r="CC1" s="492" t="str">
        <x:v>error_types</x:v>
      </x:c>
      <x:c r="CD1" s="493" t="str">
        <x:v>error_cause</x:v>
      </x:c>
    </x:row>
    <x:row r="2" ht="38" customHeight="1">
      <x:c r="A2" s="444" t="str">
        <x:v>1</x:v>
      </x:c>
      <x:c r="B2" s="444" t="str">
        <x:v>물가</x:v>
      </x:c>
      <x:c r="C2" s="614" t="str">
        <x:v>독립층화:수준값재검토</x:v>
      </x:c>
      <x:c r="D2" s="614" t="str">
        <x:v>수준값재검토</x:v>
      </x:c>
      <x:c r="E2" s="614" t="str">
        <x:v>재검토필요_수준값불일치</x:v>
      </x:c>
      <x:c r="F2" s="614" t="str">
        <x:v>outputs\bteam_review\final_verified_filled_2001_remapped_v6.csv</x:v>
      </x:c>
      <x:c r="G2" s="444" t="str">
        <x:v>C06536</x:v>
      </x:c>
      <x:c r="H2" s="444" t="str">
        <x:v>822</x:v>
      </x:c>
      <x:c r="I2" s="614" t="str">
        <x:v>韓銀 “높은 물가 경험하면 주택 수요 늘어”</x:v>
      </x:c>
      <x:c r="J2" s="614" t="str">
        <x:v>2025-03-05</x:v>
      </x:c>
      <x:c r="K2" s="614" t="str">
        <x:v>https://www.chosun.com/economy/economy_general/2025/03/05/6DSMQOPJUJCORAWYIUBUVZ4A2I</x:v>
      </x:c>
      <x:c r="L2" s="614" t="str">
        <x:v>물가가 오르는 인플레이션 현상을 경험하면, 화폐 자산은 가치가 줄어드는 반면 부동산과 같은 실물 자산은 인플레이션을 반영해 가격이 오를 것이라는 믿음이 생기기 때문이다.</x:v>
      </x:c>
      <x:c r="M2" s="444" t="str">
        <x:v>특히 30대 이하 가구에서 체감 물가가 1%포인트 오를 때, 자가 주택 소유 확률이 7.4%포인트쯤 올라 주택 수요가 더 커지는 것으로 나타났다.</x:v>
      </x:c>
      <x:c r="N2" s="444" t="str">
        <x:v>보고서를 작성한 최영준 한국은행 경제연구원 연구위원은 “30대 이하에서 ‘영끌’ 현상이 나타나는 데는 부동산 정책 기조 등도 영향을 미쳤지만, 과거 (인플레이션) 경험도 영향을 미친 것으로 분석된다”고 했다.</x:v>
      </x:c>
      <x:c r="O2" s="444" t="str">
        <x:v>비율·증감률</x:v>
      </x:c>
      <x:c r="P2" s="444" t="str">
        <x:v>비율·증감률</x:v>
      </x:c>
      <x:c r="Q2" s="444" t="str">
        <x:v>[1, 7.4]</x:v>
      </x:c>
      <x:c r="R2" s="444" t="str">
        <x:v>['%', '%']</x:v>
      </x:c>
      <x:c r="S2" s="444" t="str">
        <x:v>[]</x:v>
      </x:c>
      <x:c r="T2" s="444" t="str">
        <x:v>[]</x:v>
      </x:c>
      <x:c r="U2" s="444" t="str">
        <x:v>30대</x:v>
      </x:c>
      <x:c r="V2" s="444" t="str">
        <x:v>101</x:v>
      </x:c>
      <x:c r="W2" s="444" t="str">
        <x:v>DT_1J22003</x:v>
      </x:c>
      <x:c r="X2" s="444" t="str">
        <x:v>T10</x:v>
      </x:c>
      <x:c r="Y2" s="444" t="str"/>
      <x:c r="Z2" s="444" t="str">
        <x:v>T</x:v>
      </x:c>
      <x:c r="AA2" s="444" t="str">
        <x:v>Y</x:v>
      </x:c>
      <x:c r="AB2" s="444" t="str">
        <x:v>ABS_TO_ABS</x:v>
      </x:c>
      <x:c r="AC2" s="444" t="str">
        <x:v>7.4</x:v>
      </x:c>
      <x:c r="AD2" s="444" t="str">
        <x:v>2025</x:v>
      </x:c>
      <x:c r="AE2" s="444" t="str">
        <x:v>2024</x:v>
      </x:c>
      <x:c r="AF2" s="444" t="str">
        <x:v>116.61</x:v>
      </x:c>
      <x:c r="AG2" s="444" t="str">
        <x:v>불일치</x:v>
      </x:c>
      <x:c r="AH2" s="444" t="str"/>
      <x:c r="AI2" s="444" t="str">
        <x:v>소비자물가지수 후보 선택. 지역/품목 코드 확인 필요 | obj_l1/itm_id 자동 후보 입력</x:v>
      </x:c>
      <x:c r="AJ2" s="444" t="str">
        <x:v>보류</x:v>
      </x:c>
      <x:c r="AK2" s="444" t="str"/>
      <x:c r="AL2" s="444" t="str"/>
      <x:c r="AM2" s="444" t="str"/>
      <x:c r="AN2" s="444" t="str"/>
      <x:c r="AO2" s="444" t="str"/>
      <x:c r="AP2" s="444" t="str"/>
      <x:c r="AQ2" s="444" t="str"/>
      <x:c r="AR2" s="444" t="str"/>
      <x:c r="AS2" s="444" t="str"/>
      <x:c r="AT2" s="444" t="str"/>
      <x:c r="AU2" s="444" t="str"/>
      <x:c r="AV2" s="444" t="str"/>
      <x:c r="AW2" s="444" t="str">
        <x:v>N/A</x:v>
      </x:c>
      <x:c r="AX2" s="444" t="str"/>
      <x:c r="AY2" s="444" t="str"/>
      <x:c r="AZ2" s="444" t="str"/>
      <x:c r="BA2" s="444" t="str"/>
      <x:c r="BB2" s="444" t="str"/>
      <x:c r="BC2" s="444" t="str"/>
      <x:c r="BD2" s="444" t="str">
        <x:v>N</x:v>
      </x:c>
      <x:c r="BE2" s="444" t="str">
        <x:v>KOSIS 미제공</x:v>
      </x:c>
      <x:c r="BF2" s="444" t="str"/>
      <x:c r="BG2" s="444" t="str"/>
      <x:c r="BH2" s="444" t="str"/>
      <x:c r="BI2" s="444" t="str"/>
      <x:c r="BJ2" s="444" t="str"/>
      <x:c r="BK2" s="444" t="str"/>
      <x:c r="BL2" s="444" t="str"/>
      <x:c r="BM2" s="444" t="str"/>
      <x:c r="BN2" s="444" t="str"/>
      <x:c r="BO2" s="444" t="str"/>
      <x:c r="BP2" s="444" t="str"/>
      <x:c r="BQ2" s="444" t="str">
        <x:v>한국은행 연구보고서의 체감물가와 주택소유확률 간 회귀분석 결과로 KOSIS 공식 관측 통계표에서 동일 추정치를 제공하지 않음</x:v>
      </x:c>
      <x:c r="BR2" s="444" t="str">
        <x:v>수동확정_검증불가</x:v>
      </x:c>
      <x:c r="BS2" s="444" t="str">
        <x:v>검증불가</x:v>
      </x:c>
      <x:c r="BT2" s="444" t="str">
        <x:v>N</x:v>
      </x:c>
      <x:c r="BU2" s="444" t="str">
        <x:v>N/A</x:v>
      </x:c>
      <x:c r="BV2" s="444" t="str">
        <x:v>N/A</x:v>
      </x:c>
      <x:c r="BW2" s="444" t="str">
        <x:v>N/A</x:v>
      </x:c>
      <x:c r="BX2" s="444" t="str">
        <x:v>N/A</x:v>
      </x:c>
      <x:c r="BY2" s="444" t="str">
        <x:v>N/A</x:v>
      </x:c>
      <x:c r="BZ2" s="444" t="str">
        <x:v>N/A</x:v>
      </x:c>
      <x:c r="CA2" s="444" t="str">
        <x:v>N/A</x:v>
      </x:c>
      <x:c r="CB2" s="444" t="str">
        <x:v>N/A</x:v>
      </x:c>
      <x:c r="CC2" s="444" t="str">
        <x:v>검증가능여부</x:v>
      </x:c>
      <x:c r="CD2" s="444" t="str">
        <x:v>검증불가 사유를 자동 분류하지 못해 보류</x:v>
      </x:c>
    </x:row>
    <x:row r="3" ht="38" customHeight="1">
      <x:c r="A3" s="444" t="str">
        <x:v>2</x:v>
      </x:c>
      <x:c r="B3" s="444" t="str">
        <x:v>물가</x:v>
      </x:c>
      <x:c r="C3" s="614" t="str">
        <x:v>독립층화:수준값재검토</x:v>
      </x:c>
      <x:c r="D3" s="614" t="str">
        <x:v>수준값재검토</x:v>
      </x:c>
      <x:c r="E3" s="614" t="str">
        <x:v>재검토필요_수준값불일치</x:v>
      </x:c>
      <x:c r="F3" s="614" t="str">
        <x:v>outputs\bteam_review\final_verified_filled_2001_remapped_v6.csv</x:v>
      </x:c>
      <x:c r="G3" s="444" t="str">
        <x:v>C07989</x:v>
      </x:c>
      <x:c r="H3" s="444" t="str">
        <x:v>1026</x:v>
      </x:c>
      <x:c r="I3" s="614" t="str">
        <x:v>일본은행, 기준금리 0.5% 수준으로 동결</x:v>
      </x:c>
      <x:c r="J3" s="614" t="str">
        <x:v>2025-03-20</x:v>
      </x:c>
      <x:c r="K3" s="614" t="str">
        <x:v>https://www.chosun.com/economy/economy_general/2025/03/20/VGS3HQ4C7BHR3C4DQV4LZOSVZE</x:v>
      </x:c>
      <x:c r="L3" s="614" t="str">
        <x:v>물가만 보면 금리 인상 쪽에 유력하다.</x:v>
      </x:c>
      <x:c r="M3" s="444" t="str">
        <x:v>1월 소비자물가는 전년보다 4% 올라, 2년 만의 최고치였다.</x:v>
      </x:c>
      <x:c r="N3" s="444" t="str">
        <x:v>최대 노동조합 조직인 ‘렌고(일본노동조합총연합회)’에 따르면 봄철 임금 협상에서 평균 임금 인상률이 5.5%로 집계됐다.</x:v>
      </x:c>
      <x:c r="O3" s="444" t="str">
        <x:v>물가지표</x:v>
      </x:c>
      <x:c r="P3" s="444" t="str">
        <x:v>물가지표; 비율·증감률; 날짜·시간</x:v>
      </x:c>
      <x:c r="Q3" s="444" t="str">
        <x:v>[1, 4, 2]</x:v>
      </x:c>
      <x:c r="R3" s="444" t="str">
        <x:v>['월', '%', '년']</x:v>
      </x:c>
      <x:c r="S3" s="444" t="str">
        <x:v>[]</x:v>
      </x:c>
      <x:c r="T3" s="444" t="str">
        <x:v>[]</x:v>
      </x:c>
      <x:c r="U3" s="444" t="str"/>
      <x:c r="V3" s="444" t="str">
        <x:v>101</x:v>
      </x:c>
      <x:c r="W3" s="444" t="str">
        <x:v>DT_1J22003</x:v>
      </x:c>
      <x:c r="X3" s="444" t="str">
        <x:v>T10</x:v>
      </x:c>
      <x:c r="Y3" s="444" t="str"/>
      <x:c r="Z3" s="444" t="str">
        <x:v>T</x:v>
      </x:c>
      <x:c r="AA3" s="444" t="str">
        <x:v>M</x:v>
      </x:c>
      <x:c r="AB3" s="444" t="str">
        <x:v>LEVEL</x:v>
      </x:c>
      <x:c r="AC3" s="444" t="str">
        <x:v>4</x:v>
      </x:c>
      <x:c r="AD3" s="444" t="str">
        <x:v>202401</x:v>
      </x:c>
      <x:c r="AE3" s="444" t="str">
        <x:v>202312</x:v>
      </x:c>
      <x:c r="AF3" s="444" t="str">
        <x:v>113.17</x:v>
      </x:c>
      <x:c r="AG3" s="444" t="str">
        <x:v>불일치</x:v>
      </x:c>
      <x:c r="AH3" s="444" t="str"/>
      <x:c r="AI3" s="444" t="str">
        <x:v>소비자물가지수 후보 선택. 지역/품목 코드 확인 필요 | obj_l1/itm_id 자동 후보 입력</x:v>
      </x:c>
      <x:c r="AJ3" s="444" t="str">
        <x:v>검증불가</x:v>
      </x:c>
      <x:c r="AK3" s="444" t="str">
        <x:v>KOSIS 미제공</x:v>
      </x:c>
      <x:c r="AL3" s="444" t="str"/>
      <x:c r="AM3" s="444" t="str"/>
      <x:c r="AN3" s="444" t="str"/>
      <x:c r="AO3" s="444" t="str"/>
      <x:c r="AP3" s="444" t="str"/>
      <x:c r="AQ3" s="444" t="str"/>
      <x:c r="AR3" s="444" t="str"/>
      <x:c r="AS3" s="444" t="str"/>
      <x:c r="AT3" s="444" t="str"/>
      <x:c r="AU3" s="444" t="str"/>
      <x:c r="AV3" s="444" t="str"/>
      <x:c r="AW3" s="444" t="str">
        <x:v>N/A</x:v>
      </x:c>
      <x:c r="AX3" s="444" t="str"/>
      <x:c r="AY3" s="444" t="str"/>
      <x:c r="AZ3" s="444" t="str"/>
      <x:c r="BA3" s="444" t="str"/>
      <x:c r="BB3" s="444" t="str">
        <x:v>판단불가</x:v>
      </x:c>
      <x:c r="BC3" s="444" t="str">
        <x:v>대한민국 KOSIS 범위 밖의 해외 통계</x:v>
      </x:c>
      <x:c r="BD3" s="444" t="str">
        <x:v>N</x:v>
      </x:c>
      <x:c r="BE3" s="444" t="str">
        <x:v>KOSIS 미제공</x:v>
      </x:c>
      <x:c r="BF3" s="444" t="str"/>
      <x:c r="BG3" s="444" t="str"/>
      <x:c r="BH3" s="444" t="str"/>
      <x:c r="BI3" s="444" t="str"/>
      <x:c r="BJ3" s="444" t="str"/>
      <x:c r="BK3" s="444" t="str"/>
      <x:c r="BL3" s="444" t="str"/>
      <x:c r="BM3" s="444" t="str"/>
      <x:c r="BN3" s="444" t="str"/>
      <x:c r="BO3" s="444" t="str"/>
      <x:c r="BP3" s="444" t="str"/>
      <x:c r="BQ3" s="444" t="str">
        <x:v>일본 1월 소비자물가 상승률로, 대한민국 국내통계 중심의 KOSIS 직접 검증 범위가 아님</x:v>
      </x:c>
      <x:c r="BR3" s="444" t="str">
        <x:v>수동확정_검증불가</x:v>
      </x:c>
      <x:c r="BS3" s="444" t="str">
        <x:v>검증불가</x:v>
      </x:c>
      <x:c r="BT3" s="444" t="str">
        <x:v>Y</x:v>
      </x:c>
      <x:c r="BU3" s="444" t="str">
        <x:v>N/A</x:v>
      </x:c>
      <x:c r="BV3" s="444" t="str">
        <x:v>N/A</x:v>
      </x:c>
      <x:c r="BW3" s="444" t="str">
        <x:v>N/A</x:v>
      </x:c>
      <x:c r="BX3" s="444" t="str">
        <x:v>N/A</x:v>
      </x:c>
      <x:c r="BY3" s="444" t="str">
        <x:v>N/A</x:v>
      </x:c>
      <x:c r="BZ3" s="444" t="str">
        <x:v>N/A</x:v>
      </x:c>
      <x:c r="CA3" s="444" t="str">
        <x:v>N/A</x:v>
      </x:c>
      <x:c r="CB3" s="444" t="str">
        <x:v>N/A</x:v>
      </x:c>
      <x:c r="CC3" s="444" t="str"/>
      <x:c r="CD3" s="444" t="str"/>
    </x:row>
    <x:row r="4" ht="38" customHeight="1">
      <x:c r="A4" s="444" t="str">
        <x:v>3</x:v>
      </x:c>
      <x:c r="B4" s="444" t="str">
        <x:v>물가</x:v>
      </x:c>
      <x:c r="C4" s="614" t="str">
        <x:v>독립층화:판단불가</x:v>
      </x:c>
      <x:c r="D4" s="614" t="str">
        <x:v>판단불가</x:v>
      </x:c>
      <x:c r="E4" s="614" t="str"/>
      <x:c r="F4" s="614" t="str">
        <x:v>outputs\archive\bteam_poc_20260714\bteam_verification\bteam_kosis_review_manual_prioritized_4403.csv</x:v>
      </x:c>
      <x:c r="G4" s="444" t="str">
        <x:v>C09199</x:v>
      </x:c>
      <x:c r="H4" s="444" t="str">
        <x:v>1190</x:v>
      </x:c>
      <x:c r="I4" s="614" t="str">
        <x:v>물가상승률 석 달째 2%대...업체들 줄인상에 가공식품·외식 가격 ↑</x:v>
      </x:c>
      <x:c r="J4" s="614" t="str">
        <x:v>2025-04-02</x:v>
      </x:c>
      <x:c r="K4" s="614" t="str">
        <x:v>https://www.chosun.com/economy/economy_general/2025/04/02/EZEOHOZC5NBBHKNEXYWAAYWO24</x:v>
      </x:c>
      <x:c r="L4" s="614" t="str">
        <x:v>0 지난달 소비자물가가 전년 동월 대비 2.1% 오르며 3개월 연속 2%대 물가상승률을 보였다.</x:v>
      </x:c>
      <x:c r="M4" s="444" t="str">
        <x:v>2%는 한국은행이 물가상승률 목표로 제시한 수치다.</x:v>
      </x:c>
      <x:c r="N4" s="444" t="str">
        <x:v>연초 국제 원료 가격 인상과 정치적 혼란 등으로 식품업체들이 가격을 줄지어 인상했던 게 전체 물가를 끌어올렸다는 지적이다.</x:v>
      </x:c>
      <x:c r="O4" s="444" t="str">
        <x:v>물가지표</x:v>
      </x:c>
      <x:c r="P4" s="444" t="str">
        <x:v>물가지표; 비율·증감률</x:v>
      </x:c>
      <x:c r="Q4" s="444" t="str">
        <x:v>[2]</x:v>
      </x:c>
      <x:c r="R4" s="444" t="str">
        <x:v>['%']</x:v>
      </x:c>
      <x:c r="S4" s="444" t="str">
        <x:v>[]</x:v>
      </x:c>
      <x:c r="T4" s="444" t="str">
        <x:v>[]</x:v>
      </x:c>
      <x:c r="U4" s="444" t="str"/>
      <x:c r="V4" s="444" t="str"/>
      <x:c r="W4" s="444" t="str"/>
      <x:c r="X4" s="444" t="str"/>
      <x:c r="Y4" s="444" t="str"/>
      <x:c r="Z4" s="444" t="str"/>
      <x:c r="AA4" s="444" t="str"/>
      <x:c r="AB4" s="444" t="str"/>
      <x:c r="AC4" s="444" t="str"/>
      <x:c r="AD4" s="444" t="str"/>
      <x:c r="AE4" s="444" t="str"/>
      <x:c r="AF4" s="444" t="str"/>
      <x:c r="AG4" s="444" t="str"/>
      <x:c r="AH4" s="444" t="str"/>
      <x:c r="AI4" s="444" t="str">
        <x:v>KOSIS 검증 대상 아님 또는 후순위: 정책/제도/전망 수치</x:v>
      </x:c>
      <x:c r="AJ4" s="444" t="str">
        <x:v>검증불가</x:v>
      </x:c>
      <x:c r="AK4" s="444" t="str">
        <x:v>정보 부족</x:v>
      </x:c>
      <x:c r="AL4" s="444" t="str"/>
      <x:c r="AM4" s="444" t="str"/>
      <x:c r="AN4" s="444" t="str"/>
      <x:c r="AO4" s="444" t="str"/>
      <x:c r="AP4" s="444" t="str"/>
      <x:c r="AQ4" s="444" t="str"/>
      <x:c r="AR4" s="444" t="str"/>
      <x:c r="AS4" s="444" t="str"/>
      <x:c r="AT4" s="444" t="str"/>
      <x:c r="AU4" s="444" t="str"/>
      <x:c r="AV4" s="444" t="str"/>
      <x:c r="AW4" s="444" t="str">
        <x:v>N/A</x:v>
      </x:c>
      <x:c r="AX4" s="444" t="str"/>
      <x:c r="AY4" s="444" t="str"/>
      <x:c r="AZ4" s="444" t="str"/>
      <x:c r="BA4" s="444" t="str"/>
      <x:c r="BB4" s="444" t="str">
        <x:v>판단불가</x:v>
      </x:c>
      <x:c r="BC4" s="444" t="str">
        <x:v>관측 실적이 아닌 전망·목표 문장</x:v>
      </x:c>
      <x:c r="BD4" s="444" t="str">
        <x:v>N</x:v>
      </x:c>
      <x:c r="BE4" s="444" t="str">
        <x:v>정보 부족</x:v>
      </x:c>
      <x:c r="BF4" s="444" t="str"/>
      <x:c r="BG4" s="444" t="str"/>
      <x:c r="BH4" s="444" t="str"/>
      <x:c r="BI4" s="444" t="str"/>
      <x:c r="BJ4" s="444" t="str"/>
      <x:c r="BK4" s="444" t="str"/>
      <x:c r="BL4" s="444" t="str"/>
      <x:c r="BM4" s="444" t="str"/>
      <x:c r="BN4" s="444" t="str"/>
      <x:c r="BO4" s="444" t="str"/>
      <x:c r="BP4" s="444" t="str"/>
      <x:c r="BQ4" s="444" t="str">
        <x:v>한국은행의 물가상승률 정책목표 2%를 설명한 문장으로, 특정 관측시점의 실제 통계값 주장이 아님</x:v>
      </x:c>
      <x:c r="BR4" s="444" t="str">
        <x:v>수동확정_검증불가</x:v>
      </x:c>
      <x:c r="BS4" s="444" t="str">
        <x:v>검증불가</x:v>
      </x:c>
      <x:c r="BT4" s="444" t="str">
        <x:v>Y</x:v>
      </x:c>
      <x:c r="BU4" s="444" t="str">
        <x:v>N/A</x:v>
      </x:c>
      <x:c r="BV4" s="444" t="str">
        <x:v>N/A</x:v>
      </x:c>
      <x:c r="BW4" s="444" t="str">
        <x:v>N/A</x:v>
      </x:c>
      <x:c r="BX4" s="444" t="str">
        <x:v>N/A</x:v>
      </x:c>
      <x:c r="BY4" s="444" t="str">
        <x:v>N/A</x:v>
      </x:c>
      <x:c r="BZ4" s="444" t="str">
        <x:v>N/A</x:v>
      </x:c>
      <x:c r="CA4" s="444" t="str">
        <x:v>N/A</x:v>
      </x:c>
      <x:c r="CB4" s="444" t="str">
        <x:v>N/A</x:v>
      </x:c>
      <x:c r="CC4" s="444" t="str"/>
      <x:c r="CD4" s="444" t="str"/>
    </x:row>
    <x:row r="5" ht="38" customHeight="1">
      <x:c r="A5" s="444" t="str">
        <x:v>4</x:v>
      </x:c>
      <x:c r="B5" s="444" t="str">
        <x:v>물가</x:v>
      </x:c>
      <x:c r="C5" s="614" t="str">
        <x:v>독립층화:판단불가</x:v>
      </x:c>
      <x:c r="D5" s="614" t="str">
        <x:v>판단불가</x:v>
      </x:c>
      <x:c r="E5" s="614" t="str"/>
      <x:c r="F5" s="614" t="str">
        <x:v>outputs\archive\bteam_poc_20260714\bteam_verification\bteam_kosis_review_manual_prioritized_4403.csv</x:v>
      </x:c>
      <x:c r="G5" s="444" t="str">
        <x:v>C09603</x:v>
      </x:c>
      <x:c r="H5" s="444" t="str">
        <x:v>1242</x:v>
      </x:c>
      <x:c r="I5" s="614" t="str">
        <x:v>[주간증시전망] 美 상호관세 여진 있지만… 정치 불확실성 해소에 반등 기회도</x:v>
      </x:c>
      <x:c r="J5" s="614" t="str">
        <x:v>2025-04-06</x:v>
      </x:c>
      <x:c r="K5" s="614" t="str">
        <x:v>https://www.chosun.com/economy/money/2025/04/06/4NTOH2YJEVXYO2QSGKQJZJEVXE</x:v>
      </x:c>
      <x:c r="L5" s="614" t="str">
        <x:v>진보정당 중심으로는 신재생에너지와 미디어·엔터 등 문화콘텐츠 산업이, 보수정당으로는 원자력에너지, 우주산업, 금융업 등이 상대적으로 수혜가 클 것으로 예상된다.</x:v>
      </x:c>
      <x:c r="M5" s="444" t="str">
        <x:v>한국 시각으로 오는 10일과 11일 발표되는 미국의 3월 소비자물가지수(CPI)·생산자물가지수(PPI)와 미국 중앙은행 연방준비제도(Fed·연준) 인사 연설 등도 주목할 필요가 있다.</x:v>
      </x:c>
      <x:c r="N5" s="444" t="str">
        <x:v>아직 관세 영향이 본격화하진 않았지만, 기업들이 관세를 예상하고 선제적으로 가격을 올리거나, 일부 관세가 부과된 품목의 가격 상승이 나타날 수 있다.</x:v>
      </x:c>
      <x:c r="O5" s="444" t="str">
        <x:v>물가지표</x:v>
      </x:c>
      <x:c r="P5" s="444" t="str">
        <x:v>물가지표; 날짜·시간</x:v>
      </x:c>
      <x:c r="Q5" s="444" t="str">
        <x:v>[10, 11, 3]</x:v>
      </x:c>
      <x:c r="R5" s="444" t="str">
        <x:v>['일', '일', '월']</x:v>
      </x:c>
      <x:c r="S5" s="444" t="str">
        <x:v>[]</x:v>
      </x:c>
      <x:c r="T5" s="444" t="str">
        <x:v>[]</x:v>
      </x:c>
      <x:c r="U5" s="444" t="str"/>
      <x:c r="V5" s="444" t="str"/>
      <x:c r="W5" s="444" t="str"/>
      <x:c r="X5" s="444" t="str"/>
      <x:c r="Y5" s="444" t="str"/>
      <x:c r="Z5" s="444" t="str"/>
      <x:c r="AA5" s="444" t="str"/>
      <x:c r="AB5" s="444" t="str"/>
      <x:c r="AC5" s="444" t="str"/>
      <x:c r="AD5" s="444" t="str"/>
      <x:c r="AE5" s="444" t="str"/>
      <x:c r="AF5" s="444" t="str"/>
      <x:c r="AG5" s="444" t="str"/>
      <x:c r="AH5" s="444" t="str"/>
      <x:c r="AI5" s="444" t="str">
        <x:v>KOSIS 검증 대상 아님: 증시/시장 가격 지표</x:v>
      </x:c>
      <x:c r="AJ5" s="444" t="str">
        <x:v>검증불가</x:v>
      </x:c>
      <x:c r="AK5" s="444" t="str">
        <x:v>KOSIS 미제공</x:v>
      </x:c>
      <x:c r="AL5" s="444" t="str"/>
      <x:c r="AM5" s="444" t="str"/>
      <x:c r="AN5" s="444" t="str"/>
      <x:c r="AO5" s="444" t="str"/>
      <x:c r="AP5" s="444" t="str"/>
      <x:c r="AQ5" s="444" t="str"/>
      <x:c r="AR5" s="444" t="str"/>
      <x:c r="AS5" s="444" t="str"/>
      <x:c r="AT5" s="444" t="str"/>
      <x:c r="AU5" s="444" t="str"/>
      <x:c r="AV5" s="444" t="str"/>
      <x:c r="AW5" s="444" t="str">
        <x:v>N/A</x:v>
      </x:c>
      <x:c r="AX5" s="444" t="str"/>
      <x:c r="AY5" s="444" t="str"/>
      <x:c r="AZ5" s="444" t="str"/>
      <x:c r="BA5" s="444" t="str"/>
      <x:c r="BB5" s="444" t="str">
        <x:v>판단불가</x:v>
      </x:c>
      <x:c r="BC5" s="444" t="str">
        <x:v>대한민국 KOSIS 범위 밖의 해외 통계</x:v>
      </x:c>
      <x:c r="BD5" s="444" t="str">
        <x:v>N</x:v>
      </x:c>
      <x:c r="BE5" s="444" t="str">
        <x:v>정보 부족</x:v>
      </x:c>
      <x:c r="BF5" s="444" t="str"/>
      <x:c r="BG5" s="444" t="str"/>
      <x:c r="BH5" s="444" t="str"/>
      <x:c r="BI5" s="444" t="str"/>
      <x:c r="BJ5" s="444" t="str"/>
      <x:c r="BK5" s="444" t="str"/>
      <x:c r="BL5" s="444" t="str"/>
      <x:c r="BM5" s="444" t="str"/>
      <x:c r="BN5" s="444" t="str"/>
      <x:c r="BO5" s="444" t="str"/>
      <x:c r="BP5" s="444" t="str"/>
      <x:c r="BQ5" s="444" t="str">
        <x:v>미국 CPI·PPI 발표 예정일을 설명한 문장으로, 검증할 실제 발표 수치가 제시되지 않음</x:v>
      </x:c>
      <x:c r="BR5" s="444" t="str">
        <x:v>수동확정_검증불가</x:v>
      </x:c>
      <x:c r="BS5" s="444" t="str">
        <x:v>검증불가</x:v>
      </x:c>
      <x:c r="BT5" s="444" t="str">
        <x:v>Y</x:v>
      </x:c>
      <x:c r="BU5" s="444" t="str">
        <x:v>N/A</x:v>
      </x:c>
      <x:c r="BV5" s="444" t="str">
        <x:v>N/A</x:v>
      </x:c>
      <x:c r="BW5" s="444" t="str">
        <x:v>N/A</x:v>
      </x:c>
      <x:c r="BX5" s="444" t="str">
        <x:v>N/A</x:v>
      </x:c>
      <x:c r="BY5" s="444" t="str">
        <x:v>N/A</x:v>
      </x:c>
      <x:c r="BZ5" s="444" t="str">
        <x:v>N/A</x:v>
      </x:c>
      <x:c r="CA5" s="444" t="str">
        <x:v>N/A</x:v>
      </x:c>
      <x:c r="CB5" s="444" t="str">
        <x:v>N/A</x:v>
      </x:c>
      <x:c r="CC5" s="444" t="str"/>
      <x:c r="CD5" s="444" t="str"/>
    </x:row>
    <x:row r="6" ht="38" customHeight="1">
      <x:c r="A6" s="444" t="str">
        <x:v>5</x:v>
      </x:c>
      <x:c r="B6" s="444" t="str">
        <x:v>물가</x:v>
      </x:c>
      <x:c r="C6" s="614" t="str">
        <x:v>독립층화:판단불가</x:v>
      </x:c>
      <x:c r="D6" s="614" t="str">
        <x:v>판단불가</x:v>
      </x:c>
      <x:c r="E6" s="614" t="str">
        <x:v>판단불가_API조회실패</x:v>
      </x:c>
      <x:c r="F6" s="614" t="str">
        <x:v>outputs\bteam_review\final_verified_filled_2001_remapped_v6.csv</x:v>
      </x:c>
      <x:c r="G6" s="444" t="str">
        <x:v>C10263</x:v>
      </x:c>
      <x:c r="H6" s="444" t="str">
        <x:v>1322</x:v>
      </x:c>
      <x:c r="I6" s="614" t="str">
        <x:v>[주간코인시황] 널뛰기 했던 비트코인… “금리인하가 회복 전환점”</x:v>
      </x:c>
      <x:c r="J6" s="614" t="str">
        <x:v>2025-04-12</x:v>
      </x:c>
      <x:c r="K6" s="614" t="str">
        <x:v>https://www.chosun.com/economy/money/2025/04/12/FSU7PAU5OZ4KJWPBQHL7DREXPI</x:v>
      </x:c>
      <x:c r="L6" s="614" t="str">
        <x:v>시장에서는 점차 완화적 통화정책 전환에 대한 기대감을 높이고 있다.</x:v>
      </x:c>
      <x:c r="M6" s="444" t="str">
        <x:v>미국의 3월 소비자물가지수(CPI)는 시장 예상치를 하회해 인플레이션 가능성은 여전히 낮다는 평가가 나온다.</x:v>
      </x:c>
      <x:c r="N6" s="444" t="str">
        <x:v>이에 따라 오는 6월 첫 기준금리 인하 가능성은 62.6%까지 상승했다.</x:v>
      </x:c>
      <x:c r="O6" s="444" t="str">
        <x:v>물가지표</x:v>
      </x:c>
      <x:c r="P6" s="444" t="str">
        <x:v>물가지표; 날짜·시간</x:v>
      </x:c>
      <x:c r="Q6" s="444" t="str">
        <x:v>[3]</x:v>
      </x:c>
      <x:c r="R6" s="444" t="str">
        <x:v>['월']</x:v>
      </x:c>
      <x:c r="S6" s="444" t="str">
        <x:v>[]</x:v>
      </x:c>
      <x:c r="T6" s="444" t="str">
        <x:v>[]</x:v>
      </x:c>
      <x:c r="U6" s="444" t="str"/>
      <x:c r="V6" s="444" t="str">
        <x:v>101</x:v>
      </x:c>
      <x:c r="W6" s="444" t="str">
        <x:v>DT_1J22003</x:v>
      </x:c>
      <x:c r="X6" s="444" t="str">
        <x:v>T10</x:v>
      </x:c>
      <x:c r="Y6" s="444" t="str"/>
      <x:c r="Z6" s="444" t="str">
        <x:v>T</x:v>
      </x:c>
      <x:c r="AA6" s="444" t="str">
        <x:v>M</x:v>
      </x:c>
      <x:c r="AB6" s="444" t="str">
        <x:v>LEVEL</x:v>
      </x:c>
      <x:c r="AC6" s="444" t="str"/>
      <x:c r="AD6" s="444" t="str">
        <x:v>202606</x:v>
      </x:c>
      <x:c r="AE6" s="444" t="str">
        <x:v>202605</x:v>
      </x:c>
      <x:c r="AF6" s="444" t="str">
        <x:v>119.99</x:v>
      </x:c>
      <x:c r="AG6" s="444" t="str">
        <x:v>판단불가</x:v>
      </x:c>
      <x:c r="AH6" s="444" t="str"/>
      <x:c r="AI6" s="444" t="str">
        <x:v>소비자물가지수 후보 선택. 지역/품목 코드 확인 필요 | obj_l1/itm_id 자동 후보 입력</x:v>
      </x:c>
      <x:c r="AJ6" s="444" t="str">
        <x:v>검증불가</x:v>
      </x:c>
      <x:c r="AK6" s="444" t="str">
        <x:v>정보 부족</x:v>
      </x:c>
      <x:c r="AL6" s="444" t="str"/>
      <x:c r="AM6" s="444" t="str"/>
      <x:c r="AN6" s="444" t="str"/>
      <x:c r="AO6" s="444" t="str"/>
      <x:c r="AP6" s="444" t="str"/>
      <x:c r="AQ6" s="444" t="str"/>
      <x:c r="AR6" s="444" t="str"/>
      <x:c r="AS6" s="444" t="str"/>
      <x:c r="AT6" s="444" t="str"/>
      <x:c r="AU6" s="444" t="str"/>
      <x:c r="AV6" s="444" t="str"/>
      <x:c r="AW6" s="444" t="str">
        <x:v>N/A</x:v>
      </x:c>
      <x:c r="AX6" s="444" t="str"/>
      <x:c r="AY6" s="444" t="str"/>
      <x:c r="AZ6" s="444" t="str"/>
      <x:c r="BA6" s="444" t="str"/>
      <x:c r="BB6" s="444" t="str">
        <x:v>판단불가</x:v>
      </x:c>
      <x:c r="BC6" s="444" t="str">
        <x:v>관측 실적이 아닌 전망·목표 문장</x:v>
      </x:c>
      <x:c r="BD6" s="444" t="str">
        <x:v>N</x:v>
      </x:c>
      <x:c r="BE6" s="444" t="str">
        <x:v>정보 부족</x:v>
      </x:c>
      <x:c r="BF6" s="444" t="str"/>
      <x:c r="BG6" s="444" t="str"/>
      <x:c r="BH6" s="444" t="str"/>
      <x:c r="BI6" s="444" t="str"/>
      <x:c r="BJ6" s="444" t="str"/>
      <x:c r="BK6" s="444" t="str"/>
      <x:c r="BL6" s="444" t="str"/>
      <x:c r="BM6" s="444" t="str"/>
      <x:c r="BN6" s="444" t="str"/>
      <x:c r="BO6" s="444" t="str"/>
      <x:c r="BP6" s="444" t="str"/>
      <x:c r="BQ6" s="444" t="str">
        <x:v>미국 CPI가 시장 예상치를 하회했다는 정성적 주장으로 실제값과 예상치 수치가 제시되지 않음</x:v>
      </x:c>
      <x:c r="BR6" s="444" t="str">
        <x:v>수동확정_검증불가</x:v>
      </x:c>
      <x:c r="BS6" s="444" t="str">
        <x:v>검증불가</x:v>
      </x:c>
      <x:c r="BT6" s="444" t="str">
        <x:v>Y</x:v>
      </x:c>
      <x:c r="BU6" s="444" t="str">
        <x:v>N/A</x:v>
      </x:c>
      <x:c r="BV6" s="444" t="str">
        <x:v>N/A</x:v>
      </x:c>
      <x:c r="BW6" s="444" t="str">
        <x:v>N/A</x:v>
      </x:c>
      <x:c r="BX6" s="444" t="str">
        <x:v>N/A</x:v>
      </x:c>
      <x:c r="BY6" s="444" t="str">
        <x:v>N/A</x:v>
      </x:c>
      <x:c r="BZ6" s="444" t="str">
        <x:v>N/A</x:v>
      </x:c>
      <x:c r="CA6" s="444" t="str">
        <x:v>N/A</x:v>
      </x:c>
      <x:c r="CB6" s="444" t="str">
        <x:v>N/A</x:v>
      </x:c>
      <x:c r="CC6" s="444" t="str"/>
      <x:c r="CD6" s="444" t="str"/>
    </x:row>
    <x:row r="7" ht="38" customHeight="1">
      <x:c r="A7" s="444" t="str">
        <x:v>6</x:v>
      </x:c>
      <x:c r="B7" s="444" t="str">
        <x:v>물가</x:v>
      </x:c>
      <x:c r="C7" s="614" t="str">
        <x:v>독립층화:수준값재검토</x:v>
      </x:c>
      <x:c r="D7" s="614" t="str">
        <x:v>수준값재검토</x:v>
      </x:c>
      <x:c r="E7" s="614" t="str">
        <x:v>재검토필요_수준값불일치</x:v>
      </x:c>
      <x:c r="F7" s="614" t="str">
        <x:v>outputs\bteam_review\final_verified_filled_2001_remapped_v6.csv</x:v>
      </x:c>
      <x:c r="G7" s="444" t="str">
        <x:v>C12152</x:v>
      </x:c>
      <x:c r="H7" s="444" t="str">
        <x:v>1584</x:v>
      </x:c>
      <x:c r="I7" s="614" t="str">
        <x:v>물가 상승률 4개월 째 2%대...근원물가 13개월 만 가장 많이 올라</x:v>
      </x:c>
      <x:c r="J7" s="614" t="str">
        <x:v>2025-05-02</x:v>
      </x:c>
      <x:c r="K7" s="614" t="str">
        <x:v>https://www.chosun.com/economy/economy_general/2025/05/02/SSY7QNJ4L5DGFGPEGDWAOOA7HE</x:v>
      </x:c>
      <x:c r="L7" s="614" t="str">
        <x:v>2%는 한국은행이 물가상승률 목표로 제시한 수치다.</x:v>
      </x:c>
      <x:c r="M7" s="444" t="str">
        <x:v>연초 미국의 석유 증산 등으로 국제 유가가 떨어졌던 게 시차를 두고 반영되면서, 지난달 석유류 가격은 1.7% 떨어졌다.</x:v>
      </x:c>
      <x:c r="N7" s="444" t="str">
        <x:v>휘발유(-2.4%)와 경유(-2.9%) 등 가격이 전년 동월 대비 일제히 감소했는데, 이는 작년 11월에 각각 3.4%, 10.4%씩 하락한 이후 5개월 만이다.</x:v>
      </x:c>
      <x:c r="O7" s="444" t="str">
        <x:v>비율·증감률</x:v>
      </x:c>
      <x:c r="P7" s="444" t="str">
        <x:v>비율·증감률</x:v>
      </x:c>
      <x:c r="Q7" s="444" t="str">
        <x:v>[1.7]</x:v>
      </x:c>
      <x:c r="R7" s="444" t="str">
        <x:v>['%']</x:v>
      </x:c>
      <x:c r="S7" s="444" t="str">
        <x:v>[]</x:v>
      </x:c>
      <x:c r="T7" s="444" t="str">
        <x:v>[]</x:v>
      </x:c>
      <x:c r="U7" s="444" t="str"/>
      <x:c r="V7" s="444" t="str">
        <x:v>101</x:v>
      </x:c>
      <x:c r="W7" s="444" t="str">
        <x:v>DT_1J22042</x:v>
      </x:c>
      <x:c r="X7" s="444" t="str">
        <x:v>0</x:v>
      </x:c>
      <x:c r="Y7" s="444" t="str"/>
      <x:c r="Z7" s="444" t="str">
        <x:v>T03</x:v>
      </x:c>
      <x:c r="AA7" s="444" t="str">
        <x:v>M</x:v>
      </x:c>
      <x:c r="AB7" s="444" t="str">
        <x:v>LEVEL</x:v>
      </x:c>
      <x:c r="AC7" s="444" t="str">
        <x:v>1.7</x:v>
      </x:c>
      <x:c r="AD7" s="444" t="str">
        <x:v>202504</x:v>
      </x:c>
      <x:c r="AE7" s="444" t="str">
        <x:v>202503</x:v>
      </x:c>
      <x:c r="AF7" s="444" t="str">
        <x:v>2.1</x:v>
      </x:c>
      <x:c r="AG7" s="444" t="str">
        <x:v>불일치</x:v>
      </x:c>
      <x:c r="AH7" s="444" t="str"/>
      <x:c r="AI7" s="444" t="str">
        <x:v>소비자물가 등락률 후보 선택. 지역/품목/월별 코드 확인 필요 | obj_l1/itm_id 자동 후보 입력</x:v>
      </x:c>
      <x:c r="AJ7" s="444" t="str">
        <x:v>검증불가</x:v>
      </x:c>
      <x:c r="AK7" s="444" t="str">
        <x:v>KOSIS 미제공</x:v>
      </x:c>
      <x:c r="AL7" s="444" t="str"/>
      <x:c r="AM7" s="444" t="str"/>
      <x:c r="AN7" s="444" t="str"/>
      <x:c r="AO7" s="444" t="str"/>
      <x:c r="AP7" s="444" t="str"/>
      <x:c r="AQ7" s="444" t="str"/>
      <x:c r="AR7" s="444" t="str"/>
      <x:c r="AS7" s="444" t="str"/>
      <x:c r="AT7" s="444" t="str"/>
      <x:c r="AU7" s="444" t="str"/>
      <x:c r="AV7" s="444" t="str"/>
      <x:c r="AW7" s="444" t="str">
        <x:v>N/A</x:v>
      </x:c>
      <x:c r="AX7" s="444" t="str"/>
      <x:c r="AY7" s="444" t="str"/>
      <x:c r="AZ7" s="444" t="str"/>
      <x:c r="BA7" s="444" t="str"/>
      <x:c r="BB7" s="444" t="str">
        <x:v>판단불가</x:v>
      </x:c>
      <x:c r="BC7" s="444" t="str">
        <x:v>대한민국 KOSIS 범위 밖의 해외 통계</x:v>
      </x:c>
      <x:c r="BD7" s="444" t="str">
        <x:v>Y</x:v>
      </x:c>
      <x:c r="BE7" s="444" t="str"/>
      <x:c r="BF7" s="444" t="str">
        <x:v>101</x:v>
      </x:c>
      <x:c r="BG7" s="444" t="str">
        <x:v>DT_1J22112</x:v>
      </x:c>
      <x:c r="BH7" s="444" t="str">
        <x:v>T10</x:v>
      </x:c>
      <x:c r="BI7" s="444" t="str">
        <x:v>B05</x:v>
      </x:c>
      <x:c r="BJ7" s="444" t="str">
        <x:v>T</x:v>
      </x:c>
      <x:c r="BK7" s="444" t="str">
        <x:v>M</x:v>
      </x:c>
      <x:c r="BL7" s="444" t="str">
        <x:v>-1.7</x:v>
      </x:c>
      <x:c r="BM7" s="444" t="str">
        <x:v>202504</x:v>
      </x:c>
      <x:c r="BN7" s="444" t="str">
        <x:v>202404</x:v>
      </x:c>
      <x:c r="BO7" s="444" t="str">
        <x:v>CHANGE_RATE</x:v>
      </x:c>
      <x:c r="BP7" s="444" t="str">
        <x:v>일치</x:v>
      </x:c>
      <x:c r="BQ7" s="444" t="str">
        <x:v>석유류지수 202504=124.37, 202404=126.46, 전년동월비 -1.653%로 기사 주장 -1.7%와 일치</x:v>
      </x:c>
      <x:c r="BR7" s="444" t="str">
        <x:v>수동확정_석유류재매핑</x:v>
      </x:c>
      <x:c r="BS7" s="444" t="str">
        <x:v>검증가능</x:v>
      </x:c>
      <x:c r="BT7" s="444" t="str">
        <x:v>N</x:v>
      </x:c>
      <x:c r="BU7" s="444" t="str">
        <x:v>N</x:v>
      </x:c>
      <x:c r="BV7" s="444" t="str">
        <x:v>N</x:v>
      </x:c>
      <x:c r="BW7" s="444" t="str">
        <x:v>N</x:v>
      </x:c>
      <x:c r="BX7" s="444" t="str">
        <x:v>N</x:v>
      </x:c>
      <x:c r="BY7" s="444" t="str">
        <x:v>N</x:v>
      </x:c>
      <x:c r="BZ7" s="444" t="str">
        <x:v>N</x:v>
      </x:c>
      <x:c r="CA7" s="444" t="str">
        <x:v>N</x:v>
      </x:c>
      <x:c r="CB7" s="444" t="str">
        <x:v>N</x:v>
      </x:c>
      <x:c r="CC7" s="444" t="str">
        <x:v>검증가능여부;통계표;항목;시점;주장수치;비교방식;최종판정</x:v>
      </x:c>
      <x:c r="CD7" s="444" t="str">
        <x:v>검증가능 지표를 비검증 대상으로 과배제</x:v>
      </x:c>
    </x:row>
    <x:row r="8" ht="38" customHeight="1">
      <x:c r="A8" s="444" t="str">
        <x:v>7</x:v>
      </x:c>
      <x:c r="B8" s="444" t="str">
        <x:v>물가</x:v>
      </x:c>
      <x:c r="C8" s="614" t="str">
        <x:v>독립층화:증감률재검토</x:v>
      </x:c>
      <x:c r="D8" s="614" t="str">
        <x:v>증감률재검토</x:v>
      </x:c>
      <x:c r="E8" s="614" t="str">
        <x:v>재검토필요_증감률불일치</x:v>
      </x:c>
      <x:c r="F8" s="614" t="str">
        <x:v>outputs\bteam_review\final_verified_filled_2001_remapped_v6.csv</x:v>
      </x:c>
      <x:c r="G8" s="444" t="str">
        <x:v>C12193</x:v>
      </x:c>
      <x:c r="H8" s="444" t="str">
        <x:v>1589</x:v>
      </x:c>
      <x:c r="I8" s="614" t="str">
        <x:v>소비자 물가 상승률 넉달째 2%대 유지</x:v>
      </x:c>
      <x:c r="J8" s="614" t="str">
        <x:v>2025-05-03</x:v>
      </x:c>
      <x:c r="K8" s="614" t="str">
        <x:v>https://www.chosun.com/economy/economy_general/2025/05/03/3WY7RFA5YZGAVFW5HHYZY6PD7Y</x:v>
      </x:c>
      <x:c r="L8" s="614" t="str">
        <x:v>지난 1월(2.2%)과 2월(2.0%), 3월(2.1%)에 이어 4개월째 2%대다.</x:v>
      </x:c>
      <x:c r="M8" s="444" t="str">
        <x:v>지난달 석유류 가격은 1.7% 하락했다.</x:v>
      </x:c>
      <x:c r="N8" s="444" t="str">
        <x:v>연초 미국과 중동 산유국들이 원유 생산을 늘리면서 국제 유가가 떨어졌던 게 시차를 두고 국내 유가에 반영됐다.</x:v>
      </x:c>
      <x:c r="O8" s="444" t="str">
        <x:v>비율·증감률</x:v>
      </x:c>
      <x:c r="P8" s="444" t="str">
        <x:v>비율·증감률</x:v>
      </x:c>
      <x:c r="Q8" s="444" t="str">
        <x:v>[1.7]</x:v>
      </x:c>
      <x:c r="R8" s="444" t="str">
        <x:v>['%']</x:v>
      </x:c>
      <x:c r="S8" s="444" t="str">
        <x:v>[]</x:v>
      </x:c>
      <x:c r="T8" s="444" t="str">
        <x:v>[]</x:v>
      </x:c>
      <x:c r="U8" s="444" t="str"/>
      <x:c r="V8" s="444" t="str">
        <x:v>101</x:v>
      </x:c>
      <x:c r="W8" s="444" t="str">
        <x:v>DT_1J22042</x:v>
      </x:c>
      <x:c r="X8" s="444" t="str">
        <x:v>0</x:v>
      </x:c>
      <x:c r="Y8" s="444" t="str"/>
      <x:c r="Z8" s="444" t="str">
        <x:v>T03</x:v>
      </x:c>
      <x:c r="AA8" s="444" t="str">
        <x:v>M</x:v>
      </x:c>
      <x:c r="AB8" s="444" t="str">
        <x:v>CHANGE_RATE</x:v>
      </x:c>
      <x:c r="AC8" s="444" t="str">
        <x:v>1.7</x:v>
      </x:c>
      <x:c r="AD8" s="444" t="str">
        <x:v>202504</x:v>
      </x:c>
      <x:c r="AE8" s="444" t="str">
        <x:v>202503</x:v>
      </x:c>
      <x:c r="AF8" s="444" t="str">
        <x:v>0</x:v>
      </x:c>
      <x:c r="AG8" s="444" t="str">
        <x:v>불일치</x:v>
      </x:c>
      <x:c r="AH8" s="444" t="str"/>
      <x:c r="AI8" s="444" t="str">
        <x:v>소비자물가 등락률 후보 선택. 지역/품목/월별 코드 확인 필요 | obj_l1/itm_id 자동 후보 입력</x:v>
      </x:c>
      <x:c r="AJ8" s="444" t="str">
        <x:v>보류</x:v>
      </x:c>
      <x:c r="AK8" s="444" t="str"/>
      <x:c r="AL8" s="444" t="str"/>
      <x:c r="AM8" s="444" t="str"/>
      <x:c r="AN8" s="444" t="str"/>
      <x:c r="AO8" s="444" t="str"/>
      <x:c r="AP8" s="444" t="str"/>
      <x:c r="AQ8" s="444" t="str"/>
      <x:c r="AR8" s="444" t="str"/>
      <x:c r="AS8" s="444" t="str"/>
      <x:c r="AT8" s="444" t="str"/>
      <x:c r="AU8" s="444" t="str"/>
      <x:c r="AV8" s="444" t="str"/>
      <x:c r="AW8" s="444" t="str">
        <x:v>N/A</x:v>
      </x:c>
      <x:c r="AX8" s="444" t="str"/>
      <x:c r="AY8" s="444" t="str"/>
      <x:c r="AZ8" s="444" t="str"/>
      <x:c r="BA8" s="444" t="str"/>
      <x:c r="BB8" s="444" t="str"/>
      <x:c r="BC8" s="444" t="str"/>
      <x:c r="BD8" s="444" t="str">
        <x:v>Y</x:v>
      </x:c>
      <x:c r="BE8" s="444" t="str"/>
      <x:c r="BF8" s="444" t="str">
        <x:v>101</x:v>
      </x:c>
      <x:c r="BG8" s="444" t="str">
        <x:v>DT_1J22112</x:v>
      </x:c>
      <x:c r="BH8" s="444" t="str">
        <x:v>T10</x:v>
      </x:c>
      <x:c r="BI8" s="444" t="str">
        <x:v>B05</x:v>
      </x:c>
      <x:c r="BJ8" s="444" t="str">
        <x:v>T</x:v>
      </x:c>
      <x:c r="BK8" s="444" t="str">
        <x:v>M</x:v>
      </x:c>
      <x:c r="BL8" s="444" t="str">
        <x:v>-1.7</x:v>
      </x:c>
      <x:c r="BM8" s="444" t="str">
        <x:v>202504</x:v>
      </x:c>
      <x:c r="BN8" s="444" t="str">
        <x:v>202404</x:v>
      </x:c>
      <x:c r="BO8" s="444" t="str">
        <x:v>CHANGE_RATE</x:v>
      </x:c>
      <x:c r="BP8" s="444" t="str">
        <x:v>일치</x:v>
      </x:c>
      <x:c r="BQ8" s="444" t="str">
        <x:v>석유류지수 202504=124.37, 202404=126.46, 전년동월비 -1.653%로 기사 주장 -1.7%와 일치</x:v>
      </x:c>
      <x:c r="BR8" s="444" t="str">
        <x:v>수동확정_석유류재매핑</x:v>
      </x:c>
      <x:c r="BS8" s="444" t="str">
        <x:v>검증가능</x:v>
      </x:c>
      <x:c r="BT8" s="444" t="str">
        <x:v>N</x:v>
      </x:c>
      <x:c r="BU8" s="444" t="str">
        <x:v>N</x:v>
      </x:c>
      <x:c r="BV8" s="444" t="str">
        <x:v>N</x:v>
      </x:c>
      <x:c r="BW8" s="444" t="str">
        <x:v>N</x:v>
      </x:c>
      <x:c r="BX8" s="444" t="str">
        <x:v>N</x:v>
      </x:c>
      <x:c r="BY8" s="444" t="str">
        <x:v>N</x:v>
      </x:c>
      <x:c r="BZ8" s="444" t="str">
        <x:v>N</x:v>
      </x:c>
      <x:c r="CA8" s="444" t="str">
        <x:v>N</x:v>
      </x:c>
      <x:c r="CB8" s="444" t="str">
        <x:v>N</x:v>
      </x:c>
      <x:c r="CC8" s="444" t="str">
        <x:v>검증가능여부;통계표;항목;시점;주장수치;비교방식;최종판정</x:v>
      </x:c>
      <x:c r="CD8" s="444" t="str">
        <x:v>검증가능 지표를 코드북이 지원하지 않아 보류</x:v>
      </x:c>
    </x:row>
    <x:row r="9" ht="38" customHeight="1">
      <x:c r="A9" s="444" t="str">
        <x:v>8</x:v>
      </x:c>
      <x:c r="B9" s="444" t="str">
        <x:v>물가</x:v>
      </x:c>
      <x:c r="C9" s="614" t="str">
        <x:v>독립층화:수준값재검토</x:v>
      </x:c>
      <x:c r="D9" s="614" t="str">
        <x:v>수준값재검토</x:v>
      </x:c>
      <x:c r="E9" s="614" t="str">
        <x:v>재검토필요_수준값불일치</x:v>
      </x:c>
      <x:c r="F9" s="614" t="str">
        <x:v>outputs\bteam_review\final_verified_filled_2001_remapped_v6.csv</x:v>
      </x:c>
      <x:c r="G9" s="444" t="str">
        <x:v>C12850</x:v>
      </x:c>
      <x:c r="H9" s="444" t="str">
        <x:v>1683</x:v>
      </x:c>
      <x:c r="I9" s="614" t="str">
        <x:v>中 4월 소비자물가 작년比 0.1% 내려...3개월 연속 하락세</x:v>
      </x:c>
      <x:c r="J9" s="614" t="str">
        <x:v>2025-05-10</x:v>
      </x:c>
      <x:c r="K9" s="614" t="str">
        <x:v>https://www.chosun.com/economy/economy_general/2025/05/10/RY6HA23AKRAQ5ESOCKE4275KFQ</x:v>
      </x:c>
      <x:c r="L9" s="614" t="str"/>
      <x:c r="M9" s="444" t="str">
        <x:v>1 중국의 4월 소비자물가지수(CPI)가 지난해 동월 대비 0.1% 내려갔다.</x:v>
      </x:c>
      <x:c r="N9" s="444" t="str">
        <x:v>지난 2월부터 3개월 연속 하락세다.</x:v>
      </x:c>
      <x:c r="O9" s="444" t="str">
        <x:v>물가지표</x:v>
      </x:c>
      <x:c r="P9" s="444" t="str">
        <x:v>물가지표; 비율·증감률; 날짜·시간</x:v>
      </x:c>
      <x:c r="Q9" s="444" t="str">
        <x:v>[4, 0.1]</x:v>
      </x:c>
      <x:c r="R9" s="444" t="str">
        <x:v>['월', '%']</x:v>
      </x:c>
      <x:c r="S9" s="444" t="str">
        <x:v>[]</x:v>
      </x:c>
      <x:c r="T9" s="444" t="str">
        <x:v>[]</x:v>
      </x:c>
      <x:c r="U9" s="444" t="str"/>
      <x:c r="V9" s="444" t="str">
        <x:v>101</x:v>
      </x:c>
      <x:c r="W9" s="444" t="str">
        <x:v>DT_1J22003</x:v>
      </x:c>
      <x:c r="X9" s="444" t="str">
        <x:v>T10</x:v>
      </x:c>
      <x:c r="Y9" s="444" t="str"/>
      <x:c r="Z9" s="444" t="str">
        <x:v>T</x:v>
      </x:c>
      <x:c r="AA9" s="444" t="str">
        <x:v>M</x:v>
      </x:c>
      <x:c r="AB9" s="444" t="str">
        <x:v>LEVEL</x:v>
      </x:c>
      <x:c r="AC9" s="444" t="str">
        <x:v>0.1</x:v>
      </x:c>
      <x:c r="AD9" s="444" t="str">
        <x:v>202404</x:v>
      </x:c>
      <x:c r="AE9" s="444" t="str">
        <x:v>202403</x:v>
      </x:c>
      <x:c r="AF9" s="444" t="str">
        <x:v>114.01</x:v>
      </x:c>
      <x:c r="AG9" s="444" t="str">
        <x:v>불일치</x:v>
      </x:c>
      <x:c r="AH9" s="444" t="str"/>
      <x:c r="AI9" s="444" t="str">
        <x:v>소비자물가지수 후보 선택. 지역/품목 코드 확인 필요 | obj_l1/itm_id 자동 후보 입력</x:v>
      </x:c>
      <x:c r="AJ9" s="444" t="str">
        <x:v>검증불가</x:v>
      </x:c>
      <x:c r="AK9" s="444" t="str">
        <x:v>KOSIS 미제공</x:v>
      </x:c>
      <x:c r="AL9" s="444" t="str"/>
      <x:c r="AM9" s="444" t="str"/>
      <x:c r="AN9" s="444" t="str"/>
      <x:c r="AO9" s="444" t="str"/>
      <x:c r="AP9" s="444" t="str"/>
      <x:c r="AQ9" s="444" t="str"/>
      <x:c r="AR9" s="444" t="str"/>
      <x:c r="AS9" s="444" t="str"/>
      <x:c r="AT9" s="444" t="str"/>
      <x:c r="AU9" s="444" t="str"/>
      <x:c r="AV9" s="444" t="str"/>
      <x:c r="AW9" s="444" t="str">
        <x:v>N/A</x:v>
      </x:c>
      <x:c r="AX9" s="444" t="str"/>
      <x:c r="AY9" s="444" t="str"/>
      <x:c r="AZ9" s="444" t="str"/>
      <x:c r="BA9" s="444" t="str"/>
      <x:c r="BB9" s="444" t="str">
        <x:v>판단불가</x:v>
      </x:c>
      <x:c r="BC9" s="444" t="str">
        <x:v>대한민국 KOSIS 범위 밖의 해외 통계</x:v>
      </x:c>
      <x:c r="BD9" s="444" t="str">
        <x:v>N</x:v>
      </x:c>
      <x:c r="BE9" s="444" t="str">
        <x:v>KOSIS 미제공</x:v>
      </x:c>
      <x:c r="BF9" s="444" t="str"/>
      <x:c r="BG9" s="444" t="str"/>
      <x:c r="BH9" s="444" t="str"/>
      <x:c r="BI9" s="444" t="str"/>
      <x:c r="BJ9" s="444" t="str"/>
      <x:c r="BK9" s="444" t="str"/>
      <x:c r="BL9" s="444" t="str"/>
      <x:c r="BM9" s="444" t="str"/>
      <x:c r="BN9" s="444" t="str"/>
      <x:c r="BO9" s="444" t="str"/>
      <x:c r="BP9" s="444" t="str"/>
      <x:c r="BQ9" s="444" t="str">
        <x:v>중국 4월 소비자물가 상승률로, 대한민국 국내통계 중심의 KOSIS 직접 검증 범위가 아님</x:v>
      </x:c>
      <x:c r="BR9" s="444" t="str">
        <x:v>수동확정_검증불가</x:v>
      </x:c>
      <x:c r="BS9" s="444" t="str">
        <x:v>검증불가</x:v>
      </x:c>
      <x:c r="BT9" s="444" t="str">
        <x:v>Y</x:v>
      </x:c>
      <x:c r="BU9" s="444" t="str">
        <x:v>N/A</x:v>
      </x:c>
      <x:c r="BV9" s="444" t="str">
        <x:v>N/A</x:v>
      </x:c>
      <x:c r="BW9" s="444" t="str">
        <x:v>N/A</x:v>
      </x:c>
      <x:c r="BX9" s="444" t="str">
        <x:v>N/A</x:v>
      </x:c>
      <x:c r="BY9" s="444" t="str">
        <x:v>N/A</x:v>
      </x:c>
      <x:c r="BZ9" s="444" t="str">
        <x:v>N/A</x:v>
      </x:c>
      <x:c r="CA9" s="444" t="str">
        <x:v>N/A</x:v>
      </x:c>
      <x:c r="CB9" s="444" t="str">
        <x:v>N/A</x:v>
      </x:c>
      <x:c r="CC9" s="444" t="str"/>
      <x:c r="CD9" s="444" t="str"/>
    </x:row>
    <x:row r="10" ht="38" customHeight="1">
      <x:c r="A10" s="444" t="str">
        <x:v>9</x:v>
      </x:c>
      <x:c r="B10" s="444" t="str">
        <x:v>물가</x:v>
      </x:c>
      <x:c r="C10" s="614" t="str">
        <x:v>독립층화:수준값재검토</x:v>
      </x:c>
      <x:c r="D10" s="614" t="str">
        <x:v>수준값재검토</x:v>
      </x:c>
      <x:c r="E10" s="614" t="str">
        <x:v>재검토필요_수준값불일치</x:v>
      </x:c>
      <x:c r="F10" s="614" t="str">
        <x:v>outputs\bteam_review\final_verified_filled_2001_remapped_v6.csv</x:v>
      </x:c>
      <x:c r="G10" s="444" t="str">
        <x:v>C12854</x:v>
      </x:c>
      <x:c r="H10" s="444" t="str">
        <x:v>1683</x:v>
      </x:c>
      <x:c r="I10" s="614" t="str">
        <x:v>中 4월 소비자물가 작년比 0.1% 내려...3개월 연속 하락세</x:v>
      </x:c>
      <x:c r="J10" s="614" t="str">
        <x:v>2025-05-10</x:v>
      </x:c>
      <x:c r="K10" s="614" t="str">
        <x:v>https://www.chosun.com/economy/economy_general/2025/05/10/RY6HA23AKRAQ5ESOCKE4275KFQ</x:v>
      </x:c>
      <x:c r="L10" s="614" t="str">
        <x:v>중국 당국은 올해 내수 부양 의지를 보이며 각종 정책을 발표했으나 지난해 8월 이후 둔화하던 CPI 상승률은 중국의 설 명절이 있던 1월 0.5%로 한 차례 상승세를 보인 것을 제외하면 지속적으로 하락하고 있다.</x:v>
      </x:c>
      <x:c r="M10" s="444" t="str">
        <x:v>2월에는 -0.7%, 3월에는 -0.1%를 기록했다.</x:v>
      </x:c>
      <x:c r="N10" s="444" t="str">
        <x:v>다만 전월에 대비하면 4월 CPI는 0.1% 올랐다.</x:v>
      </x:c>
      <x:c r="O10" s="444" t="str">
        <x:v>비율·증감률</x:v>
      </x:c>
      <x:c r="P10" s="444" t="str">
        <x:v>비율·증감률; 날짜·시간</x:v>
      </x:c>
      <x:c r="Q10" s="444" t="str">
        <x:v>[2, 0.7, 3, 0.1]</x:v>
      </x:c>
      <x:c r="R10" s="444" t="str">
        <x:v>['월', '%', '월', '%']</x:v>
      </x:c>
      <x:c r="S10" s="444" t="str">
        <x:v>[]</x:v>
      </x:c>
      <x:c r="T10" s="444" t="str">
        <x:v>[]</x:v>
      </x:c>
      <x:c r="U10" s="444" t="str"/>
      <x:c r="V10" s="444" t="str">
        <x:v>101</x:v>
      </x:c>
      <x:c r="W10" s="444" t="str">
        <x:v>DT_1J22003</x:v>
      </x:c>
      <x:c r="X10" s="444" t="str">
        <x:v>T10</x:v>
      </x:c>
      <x:c r="Y10" s="444" t="str"/>
      <x:c r="Z10" s="444" t="str">
        <x:v>T</x:v>
      </x:c>
      <x:c r="AA10" s="444" t="str">
        <x:v>M</x:v>
      </x:c>
      <x:c r="AB10" s="444" t="str">
        <x:v>LEVEL</x:v>
      </x:c>
      <x:c r="AC10" s="444" t="str">
        <x:v>-0.1</x:v>
      </x:c>
      <x:c r="AD10" s="444" t="str">
        <x:v>202606</x:v>
      </x:c>
      <x:c r="AE10" s="444" t="str">
        <x:v>202605</x:v>
      </x:c>
      <x:c r="AF10" s="444" t="str">
        <x:v>119.99</x:v>
      </x:c>
      <x:c r="AG10" s="444" t="str">
        <x:v>불일치</x:v>
      </x:c>
      <x:c r="AH10" s="444" t="str"/>
      <x:c r="AI10" s="444" t="str">
        <x:v>소비자물가지수 후보 선택. 지역/품목 코드 확인 필요 | obj_l1/itm_id 자동 후보 입력</x:v>
      </x:c>
      <x:c r="AJ10" s="444" t="str">
        <x:v>보류</x:v>
      </x:c>
      <x:c r="AK10" s="444" t="str"/>
      <x:c r="AL10" s="444" t="str"/>
      <x:c r="AM10" s="444" t="str"/>
      <x:c r="AN10" s="444" t="str"/>
      <x:c r="AO10" s="444" t="str"/>
      <x:c r="AP10" s="444" t="str"/>
      <x:c r="AQ10" s="444" t="str"/>
      <x:c r="AR10" s="444" t="str"/>
      <x:c r="AS10" s="444" t="str"/>
      <x:c r="AT10" s="444" t="str"/>
      <x:c r="AU10" s="444" t="str"/>
      <x:c r="AV10" s="444" t="str"/>
      <x:c r="AW10" s="444" t="str">
        <x:v>N/A</x:v>
      </x:c>
      <x:c r="AX10" s="444" t="str"/>
      <x:c r="AY10" s="444" t="str"/>
      <x:c r="AZ10" s="444" t="str"/>
      <x:c r="BA10" s="444" t="str"/>
      <x:c r="BB10" s="444" t="str"/>
      <x:c r="BC10" s="444" t="str"/>
      <x:c r="BD10" s="444" t="str">
        <x:v>N</x:v>
      </x:c>
      <x:c r="BE10" s="444" t="str">
        <x:v>KOSIS 미제공</x:v>
      </x:c>
      <x:c r="BF10" s="444" t="str"/>
      <x:c r="BG10" s="444" t="str"/>
      <x:c r="BH10" s="444" t="str"/>
      <x:c r="BI10" s="444" t="str"/>
      <x:c r="BJ10" s="444" t="str"/>
      <x:c r="BK10" s="444" t="str"/>
      <x:c r="BL10" s="444" t="str"/>
      <x:c r="BM10" s="444" t="str"/>
      <x:c r="BN10" s="444" t="str"/>
      <x:c r="BO10" s="444" t="str"/>
      <x:c r="BP10" s="444" t="str"/>
      <x:c r="BQ10" s="444" t="str">
        <x:v>중국 2월·3월 소비자물가 상승률로 대한민국 국내통계 중심의 KOSIS 직접 검증 범위가 아님</x:v>
      </x:c>
      <x:c r="BR10" s="444" t="str">
        <x:v>수동확정_검증불가</x:v>
      </x:c>
      <x:c r="BS10" s="444" t="str">
        <x:v>검증불가</x:v>
      </x:c>
      <x:c r="BT10" s="444" t="str">
        <x:v>N</x:v>
      </x:c>
      <x:c r="BU10" s="444" t="str">
        <x:v>N/A</x:v>
      </x:c>
      <x:c r="BV10" s="444" t="str">
        <x:v>N/A</x:v>
      </x:c>
      <x:c r="BW10" s="444" t="str">
        <x:v>N/A</x:v>
      </x:c>
      <x:c r="BX10" s="444" t="str">
        <x:v>N/A</x:v>
      </x:c>
      <x:c r="BY10" s="444" t="str">
        <x:v>N/A</x:v>
      </x:c>
      <x:c r="BZ10" s="444" t="str">
        <x:v>N/A</x:v>
      </x:c>
      <x:c r="CA10" s="444" t="str">
        <x:v>N/A</x:v>
      </x:c>
      <x:c r="CB10" s="444" t="str">
        <x:v>N/A</x:v>
      </x:c>
      <x:c r="CC10" s="444" t="str">
        <x:v>검증가능여부</x:v>
      </x:c>
      <x:c r="CD10" s="444" t="str">
        <x:v>검증불가 사유를 자동 분류하지 못해 보류</x:v>
      </x:c>
    </x:row>
    <x:row r="11" ht="38" customHeight="1">
      <x:c r="A11" s="444" t="str">
        <x:v>10</x:v>
      </x:c>
      <x:c r="B11" s="444" t="str">
        <x:v>물가</x:v>
      </x:c>
      <x:c r="C11" s="614" t="str">
        <x:v>독립층화:판단불가</x:v>
      </x:c>
      <x:c r="D11" s="614" t="str">
        <x:v>판단불가</x:v>
      </x:c>
      <x:c r="E11" s="614" t="str">
        <x:v>판단불가_정확시점조회실패</x:v>
      </x:c>
      <x:c r="F11" s="614" t="str">
        <x:v>outputs\bteam_review\final_verified_filled_2001_remapped_v6.csv</x:v>
      </x:c>
      <x:c r="G11" s="444" t="str">
        <x:v>C13392</x:v>
      </x:c>
      <x:c r="H11" s="444" t="str">
        <x:v>1750</x:v>
      </x:c>
      <x:c r="I11" s="614" t="str">
        <x:v>美 물가 상승 폭 둔화됐지만… 연준, 금리 인하 늦출 듯</x:v>
      </x:c>
      <x:c r="J11" s="614" t="str">
        <x:v>2025-05-15</x:v>
      </x:c>
      <x:c r="K11" s="614" t="str">
        <x:v>https://www.chosun.com/economy/economy_general/2025/05/15/T5SEC3MXMFAAXOCCY7CU6CUOQE</x:v>
      </x:c>
      <x:c r="L11" s="614" t="str">
        <x:v>트럼프는 취임사에서 ‘국가 에너지 비상사태’를 선포하며 “채굴하고, 또 채굴하라(drill, baby, drill)”고 외쳤다.</x:v>
      </x:c>
      <x:c r="M11" s="444" t="str">
        <x:v>미 에너지정보청에 따르면 5월 첫 주 미국의 하루 원유 채굴량은 1343만배럴로 작년 같은 기간보다 2.6% 늘었다.</x:v>
      </x:c>
      <x:c r="N11" s="444" t="str">
        <x:v>트럼프 관세의 불확실성도 유가를 끌어내렸다는 분석이다.</x:v>
      </x:c>
      <x:c r="O11" s="444" t="str">
        <x:v>비율·증감률</x:v>
      </x:c>
      <x:c r="P11" s="444" t="str">
        <x:v>비율·증감률; 날짜·시간</x:v>
      </x:c>
      <x:c r="Q11" s="444" t="str">
        <x:v>[5, 2.6]</x:v>
      </x:c>
      <x:c r="R11" s="444" t="str">
        <x:v>['월', '%']</x:v>
      </x:c>
      <x:c r="S11" s="444" t="str">
        <x:v>[]</x:v>
      </x:c>
      <x:c r="T11" s="444" t="str">
        <x:v>[]</x:v>
      </x:c>
      <x:c r="U11" s="444" t="str"/>
      <x:c r="V11" s="444" t="str">
        <x:v>101</x:v>
      </x:c>
      <x:c r="W11" s="444" t="str">
        <x:v>DT_1J22003</x:v>
      </x:c>
      <x:c r="X11" s="444" t="str">
        <x:v>T10</x:v>
      </x:c>
      <x:c r="Y11" s="444" t="str"/>
      <x:c r="Z11" s="444" t="str">
        <x:v>T</x:v>
      </x:c>
      <x:c r="AA11" s="444" t="str">
        <x:v>M</x:v>
      </x:c>
      <x:c r="AB11" s="444" t="str">
        <x:v>CHANGE_RATE</x:v>
      </x:c>
      <x:c r="AC11" s="444" t="str">
        <x:v>2.6</x:v>
      </x:c>
      <x:c r="AD11" s="444" t="str">
        <x:v>202405</x:v>
      </x:c>
      <x:c r="AE11" s="444" t="str">
        <x:v>202305</x:v>
      </x:c>
      <x:c r="AF11" s="444" t="str">
        <x:v>2.672545667</x:v>
      </x:c>
      <x:c r="AG11" s="444" t="str">
        <x:v>일치</x:v>
      </x:c>
      <x:c r="AH11" s="444" t="str"/>
      <x:c r="AI11" s="444" t="str">
        <x:v>소비자물가지수 후보 선택. 지역/품목 코드 확인 필요 | obj_l1/itm_id 자동 후보 입력</x:v>
      </x:c>
      <x:c r="AJ11" s="444" t="str">
        <x:v>검증불가</x:v>
      </x:c>
      <x:c r="AK11" s="444" t="str">
        <x:v>KOSIS 미제공</x:v>
      </x:c>
      <x:c r="AL11" s="444" t="str"/>
      <x:c r="AM11" s="444" t="str"/>
      <x:c r="AN11" s="444" t="str"/>
      <x:c r="AO11" s="444" t="str"/>
      <x:c r="AP11" s="444" t="str"/>
      <x:c r="AQ11" s="444" t="str"/>
      <x:c r="AR11" s="444" t="str"/>
      <x:c r="AS11" s="444" t="str"/>
      <x:c r="AT11" s="444" t="str"/>
      <x:c r="AU11" s="444" t="str"/>
      <x:c r="AV11" s="444" t="str"/>
      <x:c r="AW11" s="444" t="str">
        <x:v>N/A</x:v>
      </x:c>
      <x:c r="AX11" s="444" t="str"/>
      <x:c r="AY11" s="444" t="str"/>
      <x:c r="AZ11" s="444" t="str"/>
      <x:c r="BA11" s="444" t="str"/>
      <x:c r="BB11" s="444" t="str">
        <x:v>판단불가</x:v>
      </x:c>
      <x:c r="BC11" s="444" t="str">
        <x:v>대한민국 KOSIS 범위 밖의 해외 통계</x:v>
      </x:c>
      <x:c r="BD11" s="444" t="str">
        <x:v>N</x:v>
      </x:c>
      <x:c r="BE11" s="444" t="str">
        <x:v>KOSIS 미제공</x:v>
      </x:c>
      <x:c r="BF11" s="444" t="str"/>
      <x:c r="BG11" s="444" t="str"/>
      <x:c r="BH11" s="444" t="str"/>
      <x:c r="BI11" s="444" t="str"/>
      <x:c r="BJ11" s="444" t="str"/>
      <x:c r="BK11" s="444" t="str"/>
      <x:c r="BL11" s="444" t="str"/>
      <x:c r="BM11" s="444" t="str"/>
      <x:c r="BN11" s="444" t="str"/>
      <x:c r="BO11" s="444" t="str"/>
      <x:c r="BP11" s="444" t="str"/>
      <x:c r="BQ11" s="444" t="str">
        <x:v>미국 에너지정보청의 미국 원유 생산량 통계로 KOSIS 국내 통계표에서 동일 관측값을 제공하지 않음</x:v>
      </x:c>
      <x:c r="BR11" s="444" t="str">
        <x:v>수동확정_검증불가</x:v>
      </x:c>
      <x:c r="BS11" s="444" t="str">
        <x:v>검증불가</x:v>
      </x:c>
      <x:c r="BT11" s="444" t="str">
        <x:v>Y</x:v>
      </x:c>
      <x:c r="BU11" s="444" t="str">
        <x:v>N/A</x:v>
      </x:c>
      <x:c r="BV11" s="444" t="str">
        <x:v>N/A</x:v>
      </x:c>
      <x:c r="BW11" s="444" t="str">
        <x:v>N/A</x:v>
      </x:c>
      <x:c r="BX11" s="444" t="str">
        <x:v>N/A</x:v>
      </x:c>
      <x:c r="BY11" s="444" t="str">
        <x:v>N/A</x:v>
      </x:c>
      <x:c r="BZ11" s="444" t="str">
        <x:v>N/A</x:v>
      </x:c>
      <x:c r="CA11" s="444" t="str">
        <x:v>N/A</x:v>
      </x:c>
      <x:c r="CB11" s="444" t="str">
        <x:v>N/A</x:v>
      </x:c>
      <x:c r="CC11" s="444" t="str"/>
      <x:c r="CD11" s="444" t="str"/>
    </x:row>
    <x:row r="12" ht="38" customHeight="1">
      <x:c r="A12" s="444" t="str">
        <x:v>11</x:v>
      </x:c>
      <x:c r="B12" s="444" t="str">
        <x:v>물가</x:v>
      </x:c>
      <x:c r="C12" s="614" t="str">
        <x:v>독립층화:수준값재검토</x:v>
      </x:c>
      <x:c r="D12" s="614" t="str">
        <x:v>수준값재검토</x:v>
      </x:c>
      <x:c r="E12" s="614" t="str">
        <x:v>재검토필요_수준값불일치</x:v>
      </x:c>
      <x:c r="F12" s="614" t="str">
        <x:v>outputs\bteam_review\final_verified_filled_2001_remapped_v6.csv</x:v>
      </x:c>
      <x:c r="G12" s="444" t="str">
        <x:v>C13396</x:v>
      </x:c>
      <x:c r="H12" s="444" t="str">
        <x:v>1750</x:v>
      </x:c>
      <x:c r="I12" s="614" t="str">
        <x:v>美 물가 상승 폭 둔화됐지만… 연준, 금리 인하 늦출 듯</x:v>
      </x:c>
      <x:c r="J12" s="614" t="str">
        <x:v>2025-05-15</x:v>
      </x:c>
      <x:c r="K12" s="614" t="str">
        <x:v>https://www.chosun.com/economy/economy_general/2025/05/15/T5SEC3MXMFAAXOCCY7CU6CUOQE</x:v>
      </x:c>
      <x:c r="L12" s="614" t="str">
        <x:v>골드만삭스는 “비즈니스, 관광, 정부 출장 수요가 부진했기 때문”이라고 했다.</x:v>
      </x:c>
      <x:c r="M12" s="444" t="str">
        <x:v>신차(0.3%)나 중고차(1.5%) 가격도 예상만큼 많이 오르지 않았다.</x:v>
      </x:c>
      <x:c r="N12" s="444" t="str">
        <x:v>노무라증권은 “수요 감소 등으로 인해 관세가 물가에 미치는 영향이 제한적이었다”고 했다.</x:v>
      </x:c>
      <x:c r="O12" s="444" t="str">
        <x:v>비율·증감률</x:v>
      </x:c>
      <x:c r="P12" s="444" t="str">
        <x:v>비율·증감률</x:v>
      </x:c>
      <x:c r="Q12" s="444" t="str">
        <x:v>[0.3, 1.5]</x:v>
      </x:c>
      <x:c r="R12" s="444" t="str">
        <x:v>['%', '%']</x:v>
      </x:c>
      <x:c r="S12" s="444" t="str">
        <x:v>[]</x:v>
      </x:c>
      <x:c r="T12" s="444" t="str">
        <x:v>[]</x:v>
      </x:c>
      <x:c r="U12" s="444" t="str"/>
      <x:c r="V12" s="444" t="str">
        <x:v>101</x:v>
      </x:c>
      <x:c r="W12" s="444" t="str">
        <x:v>DT_1J22003</x:v>
      </x:c>
      <x:c r="X12" s="444" t="str">
        <x:v>T10</x:v>
      </x:c>
      <x:c r="Y12" s="444" t="str"/>
      <x:c r="Z12" s="444" t="str">
        <x:v>T</x:v>
      </x:c>
      <x:c r="AA12" s="444" t="str">
        <x:v>Y</x:v>
      </x:c>
      <x:c r="AB12" s="444" t="str">
        <x:v>LEVEL</x:v>
      </x:c>
      <x:c r="AC12" s="444" t="str">
        <x:v>1.5</x:v>
      </x:c>
      <x:c r="AD12" s="444" t="str">
        <x:v>2025</x:v>
      </x:c>
      <x:c r="AE12" s="444" t="str">
        <x:v>2024</x:v>
      </x:c>
      <x:c r="AF12" s="444" t="str">
        <x:v>116.61</x:v>
      </x:c>
      <x:c r="AG12" s="444" t="str">
        <x:v>불일치</x:v>
      </x:c>
      <x:c r="AH12" s="444" t="str"/>
      <x:c r="AI12" s="444" t="str">
        <x:v>소비자물가지수 후보 선택. 지역/품목 코드 확인 필요 | obj_l1/itm_id 자동 후보 입력</x:v>
      </x:c>
      <x:c r="AJ12" s="444" t="str">
        <x:v>검증불가</x:v>
      </x:c>
      <x:c r="AK12" s="444" t="str">
        <x:v>정보 부족</x:v>
      </x:c>
      <x:c r="AL12" s="444" t="str"/>
      <x:c r="AM12" s="444" t="str"/>
      <x:c r="AN12" s="444" t="str"/>
      <x:c r="AO12" s="444" t="str"/>
      <x:c r="AP12" s="444" t="str"/>
      <x:c r="AQ12" s="444" t="str"/>
      <x:c r="AR12" s="444" t="str"/>
      <x:c r="AS12" s="444" t="str"/>
      <x:c r="AT12" s="444" t="str"/>
      <x:c r="AU12" s="444" t="str"/>
      <x:c r="AV12" s="444" t="str"/>
      <x:c r="AW12" s="444" t="str">
        <x:v>N/A</x:v>
      </x:c>
      <x:c r="AX12" s="444" t="str"/>
      <x:c r="AY12" s="444" t="str"/>
      <x:c r="AZ12" s="444" t="str"/>
      <x:c r="BA12" s="444" t="str"/>
      <x:c r="BB12" s="444" t="str">
        <x:v>판단불가</x:v>
      </x:c>
      <x:c r="BC12" s="444" t="str">
        <x:v>관측 실적이 아닌 전망·목표 문장</x:v>
      </x:c>
      <x:c r="BD12" s="444" t="str">
        <x:v>N</x:v>
      </x:c>
      <x:c r="BE12" s="444" t="str">
        <x:v>KOSIS 미제공</x:v>
      </x:c>
      <x:c r="BF12" s="444" t="str"/>
      <x:c r="BG12" s="444" t="str"/>
      <x:c r="BH12" s="444" t="str"/>
      <x:c r="BI12" s="444" t="str"/>
      <x:c r="BJ12" s="444" t="str"/>
      <x:c r="BK12" s="444" t="str"/>
      <x:c r="BL12" s="444" t="str"/>
      <x:c r="BM12" s="444" t="str"/>
      <x:c r="BN12" s="444" t="str"/>
      <x:c r="BO12" s="444" t="str"/>
      <x:c r="BP12" s="444" t="str"/>
      <x:c r="BQ12" s="444" t="str">
        <x:v>미국 신차·중고차 가격 변동률로 KOSIS 국내 소비자물가 품목과 국가·정의가 다름</x:v>
      </x:c>
      <x:c r="BR12" s="444" t="str">
        <x:v>수동확정_검증불가</x:v>
      </x:c>
      <x:c r="BS12" s="444" t="str">
        <x:v>검증불가</x:v>
      </x:c>
      <x:c r="BT12" s="444" t="str">
        <x:v>Y</x:v>
      </x:c>
      <x:c r="BU12" s="444" t="str">
        <x:v>N/A</x:v>
      </x:c>
      <x:c r="BV12" s="444" t="str">
        <x:v>N/A</x:v>
      </x:c>
      <x:c r="BW12" s="444" t="str">
        <x:v>N/A</x:v>
      </x:c>
      <x:c r="BX12" s="444" t="str">
        <x:v>N/A</x:v>
      </x:c>
      <x:c r="BY12" s="444" t="str">
        <x:v>N/A</x:v>
      </x:c>
      <x:c r="BZ12" s="444" t="str">
        <x:v>N/A</x:v>
      </x:c>
      <x:c r="CA12" s="444" t="str">
        <x:v>N/A</x:v>
      </x:c>
      <x:c r="CB12" s="444" t="str">
        <x:v>N/A</x:v>
      </x:c>
      <x:c r="CC12" s="444" t="str"/>
      <x:c r="CD12" s="444" t="str"/>
    </x:row>
    <x:row r="13" ht="38" customHeight="1">
      <x:c r="A13" s="444" t="str">
        <x:v>12</x:v>
      </x:c>
      <x:c r="B13" s="444" t="str">
        <x:v>물가</x:v>
      </x:c>
      <x:c r="C13" s="444" t="str">
        <x:v>독립층화:증감률재검토</x:v>
      </x:c>
      <x:c r="D13" s="444" t="str">
        <x:v>증감률재검토</x:v>
      </x:c>
      <x:c r="E13" s="444" t="str">
        <x:v>재검토필요_증감률불일치</x:v>
      </x:c>
      <x:c r="F13" s="444" t="str">
        <x:v>outputs\bteam_review\final_verified_filled_2001_remapped_v6.csv</x:v>
      </x:c>
      <x:c r="G13" s="444" t="str">
        <x:v>C13400</x:v>
      </x:c>
      <x:c r="H13" s="444" t="str">
        <x:v>1750</x:v>
      </x:c>
      <x:c r="I13" s="444" t="str">
        <x:v>美 물가 상승 폭 둔화됐지만… 연준, 금리 인하 늦출 듯</x:v>
      </x:c>
      <x:c r="J13" s="444" t="str">
        <x:v>2025-05-15</x:v>
      </x:c>
      <x:c r="K13" s="444" t="str">
        <x:v>https://www.chosun.com/economy/economy_general/2025/05/15/T5SEC3MXMFAAXOCCY7CU6CUOQE</x:v>
      </x:c>
      <x:c r="L13" s="444" t="str">
        <x:v>실제 JP모건과 바클레이스는 올해 안에 연준이 기준금리를 한 차례(0.25%포인트)만 인하할 것이라고 했다.</x:v>
      </x:c>
      <x:c r="M13" s="444" t="str">
        <x:v>종전에는 JP모건은 세 차례(0.75%포인트), 바클레이스는 두 차례(0.5%포인트) 인하할 것으로 예상했는데, 연준이 관세 정책이 인플레이션에 미치는 영향이 명확해질 때까지 기다려 좀 더 신중하게 움직일 것으로 전망을 바꾼 것이다.</x:v>
      </x:c>
      <x:c r="N13" s="444" t="str"/>
      <x:c r="O13" s="444" t="str">
        <x:v>물가지표</x:v>
      </x:c>
      <x:c r="P13" s="444" t="str">
        <x:v>물가지표; 무역지표; 비율·증감률</x:v>
      </x:c>
      <x:c r="Q13" s="444" t="str">
        <x:v>[0.75, 0.5]</x:v>
      </x:c>
      <x:c r="R13" s="444" t="str">
        <x:v>['%', '%']</x:v>
      </x:c>
      <x:c r="S13" s="444" t="str">
        <x:v>[]</x:v>
      </x:c>
      <x:c r="T13" s="444" t="str">
        <x:v>[]</x:v>
      </x:c>
      <x:c r="U13" s="444" t="str"/>
      <x:c r="V13" s="444" t="str">
        <x:v>101</x:v>
      </x:c>
      <x:c r="W13" s="444" t="str">
        <x:v>DT_1J22003</x:v>
      </x:c>
      <x:c r="X13" s="444" t="str">
        <x:v>T10</x:v>
      </x:c>
      <x:c r="Y13" s="444" t="str"/>
      <x:c r="Z13" s="444" t="str">
        <x:v>T</x:v>
      </x:c>
      <x:c r="AA13" s="444" t="str">
        <x:v>Y</x:v>
      </x:c>
      <x:c r="AB13" s="444" t="str">
        <x:v>POINT_CHANGE</x:v>
      </x:c>
      <x:c r="AC13" s="444" t="str">
        <x:v>0.5</x:v>
      </x:c>
      <x:c r="AD13" s="444" t="str">
        <x:v>2025</x:v>
      </x:c>
      <x:c r="AE13" s="444" t="str">
        <x:v>2024</x:v>
      </x:c>
      <x:c r="AF13" s="444" t="str">
        <x:v>2.43</x:v>
      </x:c>
      <x:c r="AG13" s="444" t="str">
        <x:v>불일치</x:v>
      </x:c>
      <x:c r="AH13" s="444" t="str"/>
      <x:c r="AI13" s="444" t="str">
        <x:v>소비자물가지수 후보 선택. 지역/품목 코드 확인 필요 | obj_l1/itm_id 자동 후보 입력</x:v>
      </x:c>
      <x:c r="AJ13" s="444" t="str">
        <x:v>검증불가</x:v>
      </x:c>
      <x:c r="AK13" s="444" t="str">
        <x:v>정보 부족</x:v>
      </x:c>
      <x:c r="AL13" s="444" t="str"/>
      <x:c r="AM13" s="444" t="str"/>
      <x:c r="AN13" s="444" t="str"/>
      <x:c r="AO13" s="444" t="str"/>
      <x:c r="AP13" s="444" t="str"/>
      <x:c r="AQ13" s="444" t="str"/>
      <x:c r="AR13" s="444" t="str"/>
      <x:c r="AS13" s="444" t="str"/>
      <x:c r="AT13" s="444" t="str"/>
      <x:c r="AU13" s="444" t="str"/>
      <x:c r="AV13" s="444" t="str"/>
      <x:c r="AW13" s="444" t="str">
        <x:v>N/A</x:v>
      </x:c>
      <x:c r="AX13" s="444" t="str"/>
      <x:c r="AY13" s="444" t="str"/>
      <x:c r="AZ13" s="444" t="str"/>
      <x:c r="BA13" s="444" t="str"/>
      <x:c r="BB13" s="444" t="str">
        <x:v>판단불가</x:v>
      </x:c>
      <x:c r="BC13" s="444" t="str">
        <x:v>관측 실적이 아닌 전망·목표 문장</x:v>
      </x:c>
      <x:c r="BD13" s="444" t="str">
        <x:v>N</x:v>
      </x:c>
      <x:c r="BE13" s="444" t="str">
        <x:v>정보 부족</x:v>
      </x:c>
      <x:c r="BF13" s="444" t="str"/>
      <x:c r="BG13" s="444" t="str"/>
      <x:c r="BH13" s="444" t="str"/>
      <x:c r="BI13" s="444" t="str"/>
      <x:c r="BJ13" s="444" t="str"/>
      <x:c r="BK13" s="444" t="str"/>
      <x:c r="BL13" s="444" t="str"/>
      <x:c r="BM13" s="444" t="str"/>
      <x:c r="BN13" s="444" t="str"/>
      <x:c r="BO13" s="444" t="str"/>
      <x:c r="BP13" s="444" t="str"/>
      <x:c r="BQ13" s="444" t="str">
        <x:v>JP모건과 바클레이스의 향후 금리 인하 전망으로, 이미 관측된 공식 통계값 주장이 아님</x:v>
      </x:c>
      <x:c r="BR13" s="444" t="str">
        <x:v>수동확정_검증불가</x:v>
      </x:c>
      <x:c r="BS13" s="444" t="str">
        <x:v>검증불가</x:v>
      </x:c>
      <x:c r="BT13" s="444" t="str">
        <x:v>Y</x:v>
      </x:c>
      <x:c r="BU13" s="444" t="str">
        <x:v>N/A</x:v>
      </x:c>
      <x:c r="BV13" s="444" t="str">
        <x:v>N/A</x:v>
      </x:c>
      <x:c r="BW13" s="444" t="str">
        <x:v>N/A</x:v>
      </x:c>
      <x:c r="BX13" s="444" t="str">
        <x:v>N/A</x:v>
      </x:c>
      <x:c r="BY13" s="444" t="str">
        <x:v>N/A</x:v>
      </x:c>
      <x:c r="BZ13" s="444" t="str">
        <x:v>N/A</x:v>
      </x:c>
      <x:c r="CA13" s="444" t="str">
        <x:v>N/A</x:v>
      </x:c>
      <x:c r="CB13" s="444" t="str">
        <x:v>N/A</x:v>
      </x:c>
      <x:c r="CC13" s="444" t="str"/>
      <x:c r="CD13" s="444" t="str"/>
    </x:row>
    <x:row r="14" ht="38" customHeight="1">
      <x:c r="A14" s="444" t="str">
        <x:v>13</x:v>
      </x:c>
      <x:c r="B14" s="444" t="str">
        <x:v>물가</x:v>
      </x:c>
      <x:c r="C14" s="444" t="str">
        <x:v>독립층화:판단불가</x:v>
      </x:c>
      <x:c r="D14" s="444" t="str">
        <x:v>판단불가</x:v>
      </x:c>
      <x:c r="E14" s="444" t="str"/>
      <x:c r="F14" s="444" t="str">
        <x:v>outputs\archive\bteam_poc_20260714\bteam_verification\bteam_kosis_review_manual_prioritized_4403.csv</x:v>
      </x:c>
      <x:c r="G14" s="444" t="str">
        <x:v>C14650</x:v>
      </x:c>
      <x:c r="H14" s="444" t="str">
        <x:v>1930</x:v>
      </x:c>
      <x:c r="I14" s="444" t="str">
        <x:v>한은, 올해 0%대 성장 전망…기준금리 2.5%로 내렸다</x:v>
      </x:c>
      <x:c r="J14" s="444" t="str">
        <x:v>2025-05-29</x:v>
      </x:c>
      <x:c r="K14" s="444" t="str">
        <x:v>https://www.chosun.com/economy/economy_general/2025/05/29/7W4XZWDXNVEFXBKKGONBEFNYNM</x:v>
      </x:c>
      <x:c r="L14" s="444" t="str">
        <x:v>올해 소비자물가 상승률은 지난 2월 전망치와 같은 1.9%이다.</x:v>
      </x:c>
      <x:c r="M14" s="444" t="str">
        <x:v>내년 소비자물가 상승률은 기존 전망치(1.9%)보다 소폭 낮은 1.8%로 예상했다.</x:v>
      </x:c>
      <x:c r="N14" s="444" t="str">
        <x:v>이날 한은은 금융통화위원회(금통위)를 열고 기준금리를 연 2.75%에서 0.25%포인트 내린 연 2.5%로 결정했다.</x:v>
      </x:c>
      <x:c r="O14" s="444" t="str">
        <x:v>물가지표</x:v>
      </x:c>
      <x:c r="P14" s="444" t="str">
        <x:v>물가지표; 비율·증감률</x:v>
      </x:c>
      <x:c r="Q14" s="444" t="str">
        <x:v>[1.9, 1.8]</x:v>
      </x:c>
      <x:c r="R14" s="444" t="str">
        <x:v>['%', '%']</x:v>
      </x:c>
      <x:c r="S14" s="444" t="str">
        <x:v>[]</x:v>
      </x:c>
      <x:c r="T14" s="444" t="str">
        <x:v>[]</x:v>
      </x:c>
      <x:c r="U14" s="444" t="str"/>
      <x:c r="V14" s="444" t="str"/>
      <x:c r="W14" s="444" t="str"/>
      <x:c r="X14" s="444" t="str"/>
      <x:c r="Y14" s="444" t="str"/>
      <x:c r="Z14" s="444" t="str"/>
      <x:c r="AA14" s="444" t="str"/>
      <x:c r="AB14" s="444" t="str"/>
      <x:c r="AC14" s="444" t="str"/>
      <x:c r="AD14" s="444" t="str"/>
      <x:c r="AE14" s="444" t="str"/>
      <x:c r="AF14" s="444" t="str"/>
      <x:c r="AG14" s="444" t="str"/>
      <x:c r="AH14" s="444" t="str"/>
      <x:c r="AI14" s="444" t="str">
        <x:v>KOSIS 검증 대상 아님 또는 후순위: 정책/제도/전망 수치</x:v>
      </x:c>
      <x:c r="AJ14" s="444" t="str">
        <x:v>검증불가</x:v>
      </x:c>
      <x:c r="AK14" s="444" t="str">
        <x:v>정보 부족</x:v>
      </x:c>
      <x:c r="AL14" s="444" t="str"/>
      <x:c r="AM14" s="444" t="str"/>
      <x:c r="AN14" s="444" t="str"/>
      <x:c r="AO14" s="444" t="str"/>
      <x:c r="AP14" s="444" t="str"/>
      <x:c r="AQ14" s="444" t="str"/>
      <x:c r="AR14" s="444" t="str"/>
      <x:c r="AS14" s="444" t="str"/>
      <x:c r="AT14" s="444" t="str"/>
      <x:c r="AU14" s="444" t="str"/>
      <x:c r="AV14" s="444" t="str"/>
      <x:c r="AW14" s="444" t="str">
        <x:v>N/A</x:v>
      </x:c>
      <x:c r="AX14" s="444" t="str"/>
      <x:c r="AY14" s="444" t="str"/>
      <x:c r="AZ14" s="444" t="str"/>
      <x:c r="BA14" s="444" t="str"/>
      <x:c r="BB14" s="444" t="str">
        <x:v>판단불가</x:v>
      </x:c>
      <x:c r="BC14" s="444" t="str">
        <x:v>관측 실적이 아닌 전망·목표 문장</x:v>
      </x:c>
      <x:c r="BD14" s="444" t="str">
        <x:v>N</x:v>
      </x:c>
      <x:c r="BE14" s="444" t="str">
        <x:v>KOSIS 미제공</x:v>
      </x:c>
      <x:c r="BF14" s="444" t="str"/>
      <x:c r="BG14" s="444" t="str"/>
      <x:c r="BH14" s="444" t="str"/>
      <x:c r="BI14" s="444" t="str"/>
      <x:c r="BJ14" s="444" t="str"/>
      <x:c r="BK14" s="444" t="str"/>
      <x:c r="BL14" s="444" t="str"/>
      <x:c r="BM14" s="444" t="str"/>
      <x:c r="BN14" s="444" t="str"/>
      <x:c r="BO14" s="444" t="str"/>
      <x:c r="BP14" s="444" t="str"/>
      <x:c r="BQ14" s="444" t="str">
        <x:v>한국은행의 향후 소비자물가 전망치로, KOSIS 관측 통계표의 실제값이 아님</x:v>
      </x:c>
      <x:c r="BR14" s="444" t="str">
        <x:v>수동확정_검증불가</x:v>
      </x:c>
      <x:c r="BS14" s="444" t="str">
        <x:v>검증불가</x:v>
      </x:c>
      <x:c r="BT14" s="444" t="str">
        <x:v>Y</x:v>
      </x:c>
      <x:c r="BU14" s="444" t="str">
        <x:v>N/A</x:v>
      </x:c>
      <x:c r="BV14" s="444" t="str">
        <x:v>N/A</x:v>
      </x:c>
      <x:c r="BW14" s="444" t="str">
        <x:v>N/A</x:v>
      </x:c>
      <x:c r="BX14" s="444" t="str">
        <x:v>N/A</x:v>
      </x:c>
      <x:c r="BY14" s="444" t="str">
        <x:v>N/A</x:v>
      </x:c>
      <x:c r="BZ14" s="444" t="str">
        <x:v>N/A</x:v>
      </x:c>
      <x:c r="CA14" s="444" t="str">
        <x:v>N/A</x:v>
      </x:c>
      <x:c r="CB14" s="444" t="str">
        <x:v>N/A</x:v>
      </x:c>
      <x:c r="CC14" s="444" t="str"/>
      <x:c r="CD14" s="444" t="str"/>
    </x:row>
    <x:row r="15" ht="38" customHeight="1">
      <x:c r="A15" s="444" t="str">
        <x:v>14</x:v>
      </x:c>
      <x:c r="B15" s="444" t="str">
        <x:v>물가</x:v>
      </x:c>
      <x:c r="C15" s="444" t="str">
        <x:v>독립층화:수준값재검토</x:v>
      </x:c>
      <x:c r="D15" s="444" t="str">
        <x:v>수준값재검토</x:v>
      </x:c>
      <x:c r="E15" s="444" t="str">
        <x:v>재검토필요_수준값불일치</x:v>
      </x:c>
      <x:c r="F15" s="444" t="str">
        <x:v>outputs\bteam_review\final_verified_filled_2001_remapped_v6.csv</x:v>
      </x:c>
      <x:c r="G15" s="444" t="str">
        <x:v>C16487</x:v>
      </x:c>
      <x:c r="H15" s="444" t="str">
        <x:v>2167</x:v>
      </x:c>
      <x:c r="I15" s="444" t="str">
        <x:v>사먹기도 해먹기도 겁나는 물가, OECD 2위</x:v>
      </x:c>
      <x:c r="J15" s="444" t="str">
        <x:v>2025-06-16</x:v>
      </x:c>
      <x:c r="K15" s="444" t="str">
        <x:v>https://www.chosun.com/economy/economy_general/2025/06/16/V5I4E7K4IFHELJ3BU7CFB3VPHU</x:v>
      </x:c>
      <x:c r="L15" s="444" t="str">
        <x:v>이와 더불어 지난해 말 이후 이어진 계엄·탄핵 정국에서 원화 환율 급등(원화 가치 하락), 수입 물가 상승, 식품 기업들의 가격 줄인상 등도 단기적으로 국내 음식료품 물가 상승에 영향을 줬다.</x:v>
      </x:c>
      <x:c r="M15" s="444" t="str">
        <x:v>◇5년 새 20% 이상 오른 외식 품목 30가지 음식료품 물가 중 외식 물가는 최근 특히 비상이다.</x:v>
      </x:c>
      <x:c r="N15" s="444" t="str">
        <x:v>15일 통계청 국가 통계 포털에 따르면, 지난달 외식 부문 물가를 5년 전인 2020년 5월과 비교하면 24.8% 상승했다.</x:v>
      </x:c>
      <x:c r="O15" s="444" t="str">
        <x:v>비율·증감률</x:v>
      </x:c>
      <x:c r="P15" s="444" t="str">
        <x:v>비율·증감률; 날짜·시간</x:v>
      </x:c>
      <x:c r="Q15" s="444" t="str">
        <x:v>[5, 20]</x:v>
      </x:c>
      <x:c r="R15" s="444" t="str">
        <x:v>['년', '%']</x:v>
      </x:c>
      <x:c r="S15" s="444" t="str">
        <x:v>[]</x:v>
      </x:c>
      <x:c r="T15" s="444" t="str">
        <x:v>[]</x:v>
      </x:c>
      <x:c r="U15" s="444" t="str"/>
      <x:c r="V15" s="444" t="str">
        <x:v>101</x:v>
      </x:c>
      <x:c r="W15" s="444" t="str">
        <x:v>DT_1J22003</x:v>
      </x:c>
      <x:c r="X15" s="444" t="str">
        <x:v>T10</x:v>
      </x:c>
      <x:c r="Y15" s="444" t="str"/>
      <x:c r="Z15" s="444" t="str">
        <x:v>T</x:v>
      </x:c>
      <x:c r="AA15" s="444" t="str">
        <x:v>Y</x:v>
      </x:c>
      <x:c r="AB15" s="444" t="str">
        <x:v>LEVEL</x:v>
      </x:c>
      <x:c r="AC15" s="444" t="str">
        <x:v>20</x:v>
      </x:c>
      <x:c r="AD15" s="444" t="str">
        <x:v>2025</x:v>
      </x:c>
      <x:c r="AE15" s="444" t="str">
        <x:v>2024</x:v>
      </x:c>
      <x:c r="AF15" s="444" t="str">
        <x:v>116.61</x:v>
      </x:c>
      <x:c r="AG15" s="444" t="str">
        <x:v>불일치</x:v>
      </x:c>
      <x:c r="AH15" s="444" t="str"/>
      <x:c r="AI15" s="444" t="str">
        <x:v>소비자물가지수 후보 선택. 지역/품목 코드 확인 필요 | obj_l1/itm_id 자동 후보 입력</x:v>
      </x:c>
      <x:c r="AJ15" s="444" t="str">
        <x:v>보류</x:v>
      </x:c>
      <x:c r="AK15" s="444" t="str"/>
      <x:c r="AL15" s="444" t="str"/>
      <x:c r="AM15" s="444" t="str"/>
      <x:c r="AN15" s="444" t="str"/>
      <x:c r="AO15" s="444" t="str"/>
      <x:c r="AP15" s="444" t="str"/>
      <x:c r="AQ15" s="444" t="str"/>
      <x:c r="AR15" s="444" t="str"/>
      <x:c r="AS15" s="444" t="str"/>
      <x:c r="AT15" s="444" t="str"/>
      <x:c r="AU15" s="444" t="str"/>
      <x:c r="AV15" s="444" t="str"/>
      <x:c r="AW15" s="444" t="str">
        <x:v>N/A</x:v>
      </x:c>
      <x:c r="AX15" s="444" t="str"/>
      <x:c r="AY15" s="444" t="str"/>
      <x:c r="AZ15" s="444" t="str"/>
      <x:c r="BA15" s="444" t="str"/>
      <x:c r="BB15" s="444" t="str"/>
      <x:c r="BC15" s="444" t="str"/>
      <x:c r="BD15" s="444" t="str">
        <x:v>N</x:v>
      </x:c>
      <x:c r="BE15" s="444" t="str">
        <x:v>정보 부족</x:v>
      </x:c>
      <x:c r="BF15" s="444" t="str"/>
      <x:c r="BG15" s="444" t="str"/>
      <x:c r="BH15" s="444" t="str"/>
      <x:c r="BI15" s="444" t="str"/>
      <x:c r="BJ15" s="444" t="str"/>
      <x:c r="BK15" s="444" t="str"/>
      <x:c r="BL15" s="444" t="str"/>
      <x:c r="BM15" s="444" t="str"/>
      <x:c r="BN15" s="444" t="str"/>
      <x:c r="BO15" s="444" t="str"/>
      <x:c r="BP15" s="444" t="str"/>
      <x:c r="BQ15" s="444" t="str">
        <x:v>문장 속 20%는 정확한 단일 관측값이 아니라 외식 품목 분류 기준이며, 검증할 품목·수치·시점이 이 문장에 특정되지 않음</x:v>
      </x:c>
      <x:c r="BR15" s="444" t="str">
        <x:v>수동확정_검증불가</x:v>
      </x:c>
      <x:c r="BS15" s="444" t="str">
        <x:v>검증불가</x:v>
      </x:c>
      <x:c r="BT15" s="444" t="str">
        <x:v>N</x:v>
      </x:c>
      <x:c r="BU15" s="444" t="str">
        <x:v>N/A</x:v>
      </x:c>
      <x:c r="BV15" s="444" t="str">
        <x:v>N/A</x:v>
      </x:c>
      <x:c r="BW15" s="444" t="str">
        <x:v>N/A</x:v>
      </x:c>
      <x:c r="BX15" s="444" t="str">
        <x:v>N/A</x:v>
      </x:c>
      <x:c r="BY15" s="444" t="str">
        <x:v>N/A</x:v>
      </x:c>
      <x:c r="BZ15" s="444" t="str">
        <x:v>N/A</x:v>
      </x:c>
      <x:c r="CA15" s="444" t="str">
        <x:v>N/A</x:v>
      </x:c>
      <x:c r="CB15" s="444" t="str">
        <x:v>N/A</x:v>
      </x:c>
      <x:c r="CC15" s="444" t="str">
        <x:v>검증가능여부</x:v>
      </x:c>
      <x:c r="CD15" s="444" t="str">
        <x:v>검증불가 사유를 자동 분류하지 못해 보류</x:v>
      </x:c>
    </x:row>
    <x:row r="16" ht="38" customHeight="1">
      <x:c r="A16" s="444" t="str">
        <x:v>15</x:v>
      </x:c>
      <x:c r="B16" s="444" t="str">
        <x:v>물가</x:v>
      </x:c>
      <x:c r="C16" s="444" t="str">
        <x:v>독립층화:증감률재검토</x:v>
      </x:c>
      <x:c r="D16" s="444" t="str">
        <x:v>증감률재검토</x:v>
      </x:c>
      <x:c r="E16" s="444" t="str">
        <x:v>재검토필요_증감률불일치</x:v>
      </x:c>
      <x:c r="F16" s="444" t="str">
        <x:v>outputs\bteam_review\final_verified_filled_2001_remapped_v6.csv</x:v>
      </x:c>
      <x:c r="G16" s="444" t="str">
        <x:v>C19826</x:v>
      </x:c>
      <x:c r="H16" s="444" t="str">
        <x:v>2616</x:v>
      </x:c>
      <x:c r="I16" s="444" t="str">
        <x:v>먹거리 물가 고공행진… 빵·과일 상승률 40% 육박</x:v>
      </x:c>
      <x:c r="J16" s="444" t="str">
        <x:v>2025-10-09</x:v>
      </x:c>
      <x:c r="K16" s="444" t="str">
        <x:v>https://www.chosun.com/economy/industry-company/2025/10/09/GMBIZP7ATNGJ3JGCY4ZXS267BU/</x:v>
      </x:c>
      <x:c r="L16" s="444" t="str">
        <x:v>국가데이터처에 따르면, 지난달 식료품·비주류 음료 물가는 5년 전(2020년 9월) 대비 22.9% 상승했다.</x:v>
      </x:c>
      <x:c r="M16" s="444" t="str">
        <x:v>빵(38.5%)과 과일(35.2%), 우유·치즈·계란(30.7%) 가격의 상승 폭이 컸고 과자·빙과류(27.8%), 라면(25.3%), 생수·청량음료·과채주스(22.7%), 육류(21.1%), 어류·수산(20%) 등도 상승률이 20% 이상이었다.</x:v>
      </x:c>
      <x:c r="N16" s="444" t="str"/>
      <x:c r="O16" s="444" t="str">
        <x:v>비율·증감률</x:v>
      </x:c>
      <x:c r="P16" s="444" t="str">
        <x:v>비율·증감률</x:v>
      </x:c>
      <x:c r="Q16" s="444" t="str">
        <x:v>[38.5, 35.2, 30.7, 27.8, 25.3, 22.7, 21.1, 20, 20]</x:v>
      </x:c>
      <x:c r="R16" s="444" t="str">
        <x:v>['%', '%', '%', '%', '%', '%', '%', '%', '%']</x:v>
      </x:c>
      <x:c r="S16" s="444" t="str">
        <x:v>[]</x:v>
      </x:c>
      <x:c r="T16" s="444" t="str">
        <x:v>[]</x:v>
      </x:c>
      <x:c r="U16" s="444" t="str"/>
      <x:c r="V16" s="444" t="str">
        <x:v>101</x:v>
      </x:c>
      <x:c r="W16" s="444" t="str">
        <x:v>DT_1J22042</x:v>
      </x:c>
      <x:c r="X16" s="444" t="str">
        <x:v>0</x:v>
      </x:c>
      <x:c r="Y16" s="444" t="str"/>
      <x:c r="Z16" s="444" t="str">
        <x:v>T03</x:v>
      </x:c>
      <x:c r="AA16" s="444" t="str">
        <x:v>Y</x:v>
      </x:c>
      <x:c r="AB16" s="444" t="str">
        <x:v>CHANGE_RATE</x:v>
      </x:c>
      <x:c r="AC16" s="444" t="str">
        <x:v>20</x:v>
      </x:c>
      <x:c r="AD16" s="444" t="str">
        <x:v>202606</x:v>
      </x:c>
      <x:c r="AE16" s="444" t="str">
        <x:v>202605</x:v>
      </x:c>
      <x:c r="AF16" s="444" t="str">
        <x:v>3.225806452</x:v>
      </x:c>
      <x:c r="AG16" s="444" t="str">
        <x:v>불일치</x:v>
      </x:c>
      <x:c r="AH16" s="444" t="str"/>
      <x:c r="AI16" s="444" t="str">
        <x:v>소비자물가 등락률 후보 선택. 지역/품목/월별 코드 확인 필요 | obj_l1/itm_id 자동 후보 입력</x:v>
      </x:c>
      <x:c r="AJ16" s="444" t="str">
        <x:v>보류</x:v>
      </x:c>
      <x:c r="AK16" s="444" t="str"/>
      <x:c r="AL16" s="444" t="str"/>
      <x:c r="AM16" s="444" t="str"/>
      <x:c r="AN16" s="444" t="str"/>
      <x:c r="AO16" s="444" t="str"/>
      <x:c r="AP16" s="444" t="str"/>
      <x:c r="AQ16" s="444" t="str"/>
      <x:c r="AR16" s="444" t="str"/>
      <x:c r="AS16" s="444" t="str"/>
      <x:c r="AT16" s="444" t="str"/>
      <x:c r="AU16" s="444" t="str"/>
      <x:c r="AV16" s="444" t="str"/>
      <x:c r="AW16" s="444" t="str">
        <x:v>N/A</x:v>
      </x:c>
      <x:c r="AX16" s="444" t="str"/>
      <x:c r="AY16" s="444" t="str"/>
      <x:c r="AZ16" s="444" t="str"/>
      <x:c r="BA16" s="444" t="str"/>
      <x:c r="BB16" s="444" t="str"/>
      <x:c r="BC16" s="444" t="str"/>
      <x:c r="BD16" s="444" t="str">
        <x:v>N</x:v>
      </x:c>
      <x:c r="BE16" s="444" t="str">
        <x:v>정보 부족</x:v>
      </x:c>
      <x:c r="BF16" s="444" t="str"/>
      <x:c r="BG16" s="444" t="str"/>
      <x:c r="BH16" s="444" t="str"/>
      <x:c r="BI16" s="444" t="str"/>
      <x:c r="BJ16" s="444" t="str"/>
      <x:c r="BK16" s="444" t="str"/>
      <x:c r="BL16" s="444" t="str"/>
      <x:c r="BM16" s="444" t="str"/>
      <x:c r="BN16" s="444" t="str"/>
      <x:c r="BO16" s="444" t="str"/>
      <x:c r="BP16" s="444" t="str"/>
      <x:c r="BQ16" s="444" t="str">
        <x:v>여러 품목의 5년 누적 상승률을 한 문장에 함께 제시해 단일 목표값과 품목을 특정할 수 없고 자동 추출값 20은 단순 임계값임</x:v>
      </x:c>
      <x:c r="BR16" s="444" t="str">
        <x:v>수동확정_검증불가</x:v>
      </x:c>
      <x:c r="BS16" s="444" t="str">
        <x:v>검증불가</x:v>
      </x:c>
      <x:c r="BT16" s="444" t="str">
        <x:v>N</x:v>
      </x:c>
      <x:c r="BU16" s="444" t="str">
        <x:v>N/A</x:v>
      </x:c>
      <x:c r="BV16" s="444" t="str">
        <x:v>N/A</x:v>
      </x:c>
      <x:c r="BW16" s="444" t="str">
        <x:v>N/A</x:v>
      </x:c>
      <x:c r="BX16" s="444" t="str">
        <x:v>N/A</x:v>
      </x:c>
      <x:c r="BY16" s="444" t="str">
        <x:v>N/A</x:v>
      </x:c>
      <x:c r="BZ16" s="444" t="str">
        <x:v>N/A</x:v>
      </x:c>
      <x:c r="CA16" s="444" t="str">
        <x:v>N/A</x:v>
      </x:c>
      <x:c r="CB16" s="444" t="str">
        <x:v>N/A</x:v>
      </x:c>
      <x:c r="CC16" s="444" t="str">
        <x:v>검증가능여부</x:v>
      </x:c>
      <x:c r="CD16" s="444" t="str">
        <x:v>검증불가 사유를 자동 분류하지 못해 보류</x:v>
      </x:c>
    </x:row>
    <x:row r="17" ht="38" customHeight="1">
      <x:c r="A17" s="444" t="str">
        <x:v>16</x:v>
      </x:c>
      <x:c r="B17" s="444" t="str">
        <x:v>물가</x:v>
      </x:c>
      <x:c r="C17" s="444" t="str">
        <x:v>독립층화:증감률재검토</x:v>
      </x:c>
      <x:c r="D17" s="444" t="str">
        <x:v>증감률재검토</x:v>
      </x:c>
      <x:c r="E17" s="444" t="str">
        <x:v>재검토필요_증감률불일치</x:v>
      </x:c>
      <x:c r="F17" s="444" t="str">
        <x:v>outputs\bteam_review\final_verified_filled_2001_remapped_v6.csv</x:v>
      </x:c>
      <x:c r="G17" s="444" t="str">
        <x:v>C20289</x:v>
      </x:c>
      <x:c r="H17" s="444" t="str">
        <x:v>2682</x:v>
      </x:c>
      <x:c r="I17" s="444" t="str">
        <x:v>10월 소비자물가 2.4% 상승...15개월만 최대 상승률</x:v>
      </x:c>
      <x:c r="J17" s="444" t="str">
        <x:v>2025-11-04</x:v>
      </x:c>
      <x:c r="K17" s="444" t="str">
        <x:v>https://www.chosun.com/economy/economy_general/2025/11/04/IQO3Q645VRHHBDUAFXCXBPH5Z4/</x:v>
      </x:c>
      <x:c r="L17" s="444" t="str">
        <x:v>국가데이터처가 4일 발표한 ’10월 소비자물가 동향’에 따르면, 지난달 소비자 물가는 1년 전보다 2.4% 올랐다.</x:v>
      </x:c>
      <x:c r="M17" s="444" t="str">
        <x:v>소비자 물가 상승률은 지난 8월 SK텔레콤 해킹 사태에 따른 요금 인하 효과로 1.7%를 기록했다가, 추석 명절 수요 등으로 가공식품과 축·수산물 등 먹거리 물가가 오르면서 9월 2.1%로 올라선 바 있다.</x:v>
      </x:c>
      <x:c r="N17" s="444" t="str">
        <x:v>먹거리 물가는 여전히 오름세를 보였다.</x:v>
      </x:c>
      <x:c r="O17" s="444" t="str">
        <x:v>위치·거리정보</x:v>
      </x:c>
      <x:c r="P17" s="444" t="str">
        <x:v>위치·거리정보; 비율·증감률; 날짜·시간</x:v>
      </x:c>
      <x:c r="Q17" s="444" t="str">
        <x:v>[8, 1.7, 9, 2.1]</x:v>
      </x:c>
      <x:c r="R17" s="444" t="str">
        <x:v>['월', '%', '월', '%']</x:v>
      </x:c>
      <x:c r="S17" s="444" t="str">
        <x:v>[]</x:v>
      </x:c>
      <x:c r="T17" s="444" t="str">
        <x:v>[]</x:v>
      </x:c>
      <x:c r="U17" s="444" t="str"/>
      <x:c r="V17" s="444" t="str">
        <x:v>101</x:v>
      </x:c>
      <x:c r="W17" s="444" t="str">
        <x:v>DT_1J22042</x:v>
      </x:c>
      <x:c r="X17" s="444" t="str">
        <x:v>0</x:v>
      </x:c>
      <x:c r="Y17" s="444" t="str"/>
      <x:c r="Z17" s="444" t="str">
        <x:v>T03</x:v>
      </x:c>
      <x:c r="AA17" s="444" t="str">
        <x:v>M</x:v>
      </x:c>
      <x:c r="AB17" s="444" t="str">
        <x:v>CHANGE_RATE</x:v>
      </x:c>
      <x:c r="AC17" s="444" t="str">
        <x:v>2.1</x:v>
      </x:c>
      <x:c r="AD17" s="444" t="str">
        <x:v>202606</x:v>
      </x:c>
      <x:c r="AE17" s="444" t="str">
        <x:v>202605</x:v>
      </x:c>
      <x:c r="AF17" s="444" t="str">
        <x:v>3.225806452</x:v>
      </x:c>
      <x:c r="AG17" s="444" t="str">
        <x:v>불일치</x:v>
      </x:c>
      <x:c r="AH17" s="444" t="str"/>
      <x:c r="AI17" s="444" t="str">
        <x:v>소비자물가 등락률 후보 선택. 지역/품목/월별 코드 확인 필요 | obj_l1/itm_id 자동 후보 입력</x:v>
      </x:c>
      <x:c r="AJ17" s="444" t="str">
        <x:v>검증가능</x:v>
      </x:c>
      <x:c r="AK17" s="444" t="str"/>
      <x:c r="AL17" s="444" t="str">
        <x:v>101</x:v>
      </x:c>
      <x:c r="AM17" s="444" t="str">
        <x:v>DT_1J22112</x:v>
      </x:c>
      <x:c r="AN17" s="444" t="str">
        <x:v>T10</x:v>
      </x:c>
      <x:c r="AO17" s="444" t="str">
        <x:v>B01</x:v>
      </x:c>
      <x:c r="AP17" s="444" t="str">
        <x:v>T</x:v>
      </x:c>
      <x:c r="AQ17" s="444" t="str">
        <x:v>M</x:v>
      </x:c>
      <x:c r="AR17" s="444" t="str">
        <x:v>1.7</x:v>
      </x:c>
      <x:c r="AS17" s="444" t="str">
        <x:v>202508</x:v>
      </x:c>
      <x:c r="AT17" s="444" t="str">
        <x:v>202408</x:v>
      </x:c>
      <x:c r="AU17" s="444" t="str">
        <x:v>CHANGE_RATE</x:v>
      </x:c>
      <x:c r="AV17" s="444" t="str">
        <x:v>가공식품 지수</x:v>
      </x:c>
      <x:c r="AW17" s="444" t="str">
        <x:v>Y</x:v>
      </x:c>
      <x:c r="AX17" s="444" t="str">
        <x:v>4.207714143</x:v>
      </x:c>
      <x:c r="AY17" s="444" t="str">
        <x:v>124.82</x:v>
      </x:c>
      <x:c r="AZ17" s="444" t="str">
        <x:v>119.78</x:v>
      </x:c>
      <x:c r="BA17" s="444" t="str">
        <x:v>2020＝100</x:v>
      </x:c>
      <x:c r="BB17" s="444" t="str">
        <x:v>불일치</x:v>
      </x:c>
      <x:c r="BC17" s="444" t="str"/>
      <x:c r="BD17" s="444" t="str">
        <x:v>N</x:v>
      </x:c>
      <x:c r="BE17" s="444" t="str">
        <x:v>정보 부족</x:v>
      </x:c>
      <x:c r="BF17" s="444" t="str"/>
      <x:c r="BG17" s="444" t="str"/>
      <x:c r="BH17" s="444" t="str"/>
      <x:c r="BI17" s="444" t="str"/>
      <x:c r="BJ17" s="444" t="str"/>
      <x:c r="BK17" s="444" t="str"/>
      <x:c r="BL17" s="444" t="str"/>
      <x:c r="BM17" s="444" t="str"/>
      <x:c r="BN17" s="444" t="str"/>
      <x:c r="BO17" s="444" t="str"/>
      <x:c r="BP17" s="444" t="str"/>
      <x:c r="BQ17" s="444" t="str">
        <x:v>8월 1.7%와 9월 2.1%가 한 문장에 함께 있으며, 자동 결과는 1.7%를 가공식품 통계표에 연결해 검증 대상과 통계표가 일치하지 않음</x:v>
      </x:c>
      <x:c r="BR17" s="444" t="str">
        <x:v>수동확정_검증불가</x:v>
      </x:c>
      <x:c r="BS17" s="444" t="str">
        <x:v>검증불가</x:v>
      </x:c>
      <x:c r="BT17" s="444" t="str">
        <x:v>N</x:v>
      </x:c>
      <x:c r="BU17" s="444" t="str">
        <x:v>N/A</x:v>
      </x:c>
      <x:c r="BV17" s="444" t="str">
        <x:v>N/A</x:v>
      </x:c>
      <x:c r="BW17" s="444" t="str">
        <x:v>N/A</x:v>
      </x:c>
      <x:c r="BX17" s="444" t="str">
        <x:v>N/A</x:v>
      </x:c>
      <x:c r="BY17" s="444" t="str">
        <x:v>N/A</x:v>
      </x:c>
      <x:c r="BZ17" s="444" t="str">
        <x:v>N/A</x:v>
      </x:c>
      <x:c r="CA17" s="444" t="str">
        <x:v>N/A</x:v>
      </x:c>
      <x:c r="CB17" s="444" t="str">
        <x:v>N/A</x:v>
      </x:c>
      <x:c r="CC17" s="444" t="str">
        <x:v>검증가능여부</x:v>
      </x:c>
      <x:c r="CD17" s="444" t="str">
        <x:v>검증불가 주장을 KOSIS 표에 과매핑</x:v>
      </x:c>
    </x:row>
    <x:row r="18" ht="38" customHeight="1">
      <x:c r="A18" s="444" t="str">
        <x:v>17</x:v>
      </x:c>
      <x:c r="B18" s="444" t="str">
        <x:v>물가</x:v>
      </x:c>
      <x:c r="C18" s="444" t="str">
        <x:v>독립층화:판단불가</x:v>
      </x:c>
      <x:c r="D18" s="444" t="str">
        <x:v>판단불가</x:v>
      </x:c>
      <x:c r="E18" s="444" t="str">
        <x:v>판단불가_KOSIS기여도미제공</x:v>
      </x:c>
      <x:c r="F18" s="444" t="str">
        <x:v>outputs\bteam_review\final_verified_filled_2001_remapped_v6.csv</x:v>
      </x:c>
      <x:c r="G18" s="444" t="str">
        <x:v>C20290</x:v>
      </x:c>
      <x:c r="H18" s="444" t="str">
        <x:v>2682</x:v>
      </x:c>
      <x:c r="I18" s="444" t="str">
        <x:v>10월 소비자물가 2.4% 상승...15개월만 최대 상승률</x:v>
      </x:c>
      <x:c r="J18" s="444" t="str">
        <x:v>2025-11-04</x:v>
      </x:c>
      <x:c r="K18" s="444" t="str">
        <x:v>https://www.chosun.com/economy/economy_general/2025/11/04/IQO3Q645VRHHBDUAFXCXBPH5Z4/</x:v>
      </x:c>
      <x:c r="L18" s="444" t="str">
        <x:v>먹거리 물가는 여전히 오름세를 보였다.</x:v>
      </x:c>
      <x:c r="M18" s="444" t="str">
        <x:v>가공식품 물가는 전년 같은 달 대비 3.5% 오르면서 전체 물가를 0.30%포인트 끌어올렸다.</x:v>
      </x:c>
      <x:c r="N18" s="444" t="str">
        <x:v>9월 가공식품 물가 상승률(4.2%)보다는 소폭 낮아지긴 했지만, 품목별로 빵(6.6%), 커피(14.7%) 등의 상승세는 여전했다.</x:v>
      </x:c>
      <x:c r="O18" s="444" t="str">
        <x:v>비율·증감률</x:v>
      </x:c>
      <x:c r="P18" s="444" t="str">
        <x:v>비율·증감률</x:v>
      </x:c>
      <x:c r="Q18" s="444" t="str">
        <x:v>[3.5, 0.3]</x:v>
      </x:c>
      <x:c r="R18" s="444" t="str">
        <x:v>['%', '%']</x:v>
      </x:c>
      <x:c r="S18" s="444" t="str">
        <x:v>[]</x:v>
      </x:c>
      <x:c r="T18" s="444" t="str">
        <x:v>[]</x:v>
      </x:c>
      <x:c r="U18" s="444" t="str"/>
      <x:c r="V18" s="444" t="str">
        <x:v>101</x:v>
      </x:c>
      <x:c r="W18" s="444" t="str">
        <x:v>DT_1J22112</x:v>
      </x:c>
      <x:c r="X18" s="444" t="str">
        <x:v>T10</x:v>
      </x:c>
      <x:c r="Y18" s="444" t="str">
        <x:v>B01</x:v>
      </x:c>
      <x:c r="Z18" s="444" t="str">
        <x:v>T</x:v>
      </x:c>
      <x:c r="AA18" s="444" t="str">
        <x:v>M</x:v>
      </x:c>
      <x:c r="AB18" s="444" t="str">
        <x:v>POINT_CHANGE</x:v>
      </x:c>
      <x:c r="AC18" s="444" t="str">
        <x:v>0.3</x:v>
      </x:c>
      <x:c r="AD18" s="444" t="str">
        <x:v>202510</x:v>
      </x:c>
      <x:c r="AE18" s="444" t="str">
        <x:v>202410</x:v>
      </x:c>
      <x:c r="AF18" s="444" t="str"/>
      <x:c r="AG18" s="444" t="str">
        <x:v>판단불가</x:v>
      </x:c>
      <x:c r="AH18" s="444" t="str"/>
      <x:c r="AI18" s="444" t="str">
        <x:v>소비자물가 등락률 후보 선택. 지역/품목/월별 코드 확인 필요 | obj_l1/itm_id 자동 후보 입력</x:v>
      </x:c>
      <x:c r="AJ18" s="444" t="str">
        <x:v>검증가능</x:v>
      </x:c>
      <x:c r="AK18" s="444" t="str"/>
      <x:c r="AL18" s="444" t="str">
        <x:v>101</x:v>
      </x:c>
      <x:c r="AM18" s="444" t="str">
        <x:v>DT_1J22112</x:v>
      </x:c>
      <x:c r="AN18" s="444" t="str">
        <x:v>T10</x:v>
      </x:c>
      <x:c r="AO18" s="444" t="str">
        <x:v>B01</x:v>
      </x:c>
      <x:c r="AP18" s="444" t="str">
        <x:v>T</x:v>
      </x:c>
      <x:c r="AQ18" s="444" t="str">
        <x:v>M</x:v>
      </x:c>
      <x:c r="AR18" s="444" t="str">
        <x:v>3.5</x:v>
      </x:c>
      <x:c r="AS18" s="444" t="str">
        <x:v>202510</x:v>
      </x:c>
      <x:c r="AT18" s="444" t="str">
        <x:v>202410</x:v>
      </x:c>
      <x:c r="AU18" s="444" t="str">
        <x:v>CHANGE_RATE</x:v>
      </x:c>
      <x:c r="AV18" s="444" t="str">
        <x:v>가공식품 지수</x:v>
      </x:c>
      <x:c r="AW18" s="444" t="str">
        <x:v>Y</x:v>
      </x:c>
      <x:c r="AX18" s="444" t="str">
        <x:v>3.467153285</x:v>
      </x:c>
      <x:c r="AY18" s="444" t="str">
        <x:v>124.74</x:v>
      </x:c>
      <x:c r="AZ18" s="444" t="str">
        <x:v>120.56</x:v>
      </x:c>
      <x:c r="BA18" s="444" t="str">
        <x:v>2020＝100</x:v>
      </x:c>
      <x:c r="BB18" s="444" t="str">
        <x:v>일치</x:v>
      </x:c>
      <x:c r="BC18" s="444" t="str"/>
      <x:c r="BD18" s="444" t="str">
        <x:v>Y</x:v>
      </x:c>
      <x:c r="BE18" s="444" t="str"/>
      <x:c r="BF18" s="444" t="str">
        <x:v>101</x:v>
      </x:c>
      <x:c r="BG18" s="444" t="str">
        <x:v>DT_1J22112</x:v>
      </x:c>
      <x:c r="BH18" s="444" t="str">
        <x:v>T10</x:v>
      </x:c>
      <x:c r="BI18" s="444" t="str">
        <x:v>B01</x:v>
      </x:c>
      <x:c r="BJ18" s="444" t="str">
        <x:v>T</x:v>
      </x:c>
      <x:c r="BK18" s="444" t="str">
        <x:v>M</x:v>
      </x:c>
      <x:c r="BL18" s="444" t="str">
        <x:v>3.5</x:v>
      </x:c>
      <x:c r="BM18" s="444" t="str">
        <x:v>202510</x:v>
      </x:c>
      <x:c r="BN18" s="444" t="str">
        <x:v>202410</x:v>
      </x:c>
      <x:c r="BO18" s="444" t="str">
        <x:v>CHANGE_RATE</x:v>
      </x:c>
      <x:c r="BP18" s="444" t="str">
        <x:v>일치</x:v>
      </x:c>
      <x:c r="BQ18" s="444" t="str">
        <x:v>가공식품지수 202510=124.74, 202410=120.56, 전년동월비 3.467%, 기사 주장 3.5%와 일치</x:v>
      </x:c>
      <x:c r="BR18" s="444" t="str">
        <x:v>수동확정_가공식품상승률만검증_기여도0.30%p는별도미검증</x:v>
      </x:c>
      <x:c r="BS18" s="444" t="str">
        <x:v>검증가능</x:v>
      </x:c>
      <x:c r="BT18" s="444" t="str">
        <x:v>Y</x:v>
      </x:c>
      <x:c r="BU18" s="444" t="str">
        <x:v>Y</x:v>
      </x:c>
      <x:c r="BV18" s="444" t="str">
        <x:v>Y</x:v>
      </x:c>
      <x:c r="BW18" s="444" t="str">
        <x:v>Y</x:v>
      </x:c>
      <x:c r="BX18" s="444" t="str">
        <x:v>Y</x:v>
      </x:c>
      <x:c r="BY18" s="444" t="str">
        <x:v>Y</x:v>
      </x:c>
      <x:c r="BZ18" s="444" t="str">
        <x:v>Y</x:v>
      </x:c>
      <x:c r="CA18" s="444" t="str">
        <x:v>Y</x:v>
      </x:c>
      <x:c r="CB18" s="444" t="str">
        <x:v>Y</x:v>
      </x:c>
      <x:c r="CC18" s="444" t="str"/>
      <x:c r="CD18" s="444" t="str"/>
    </x:row>
    <x:row r="19" ht="38" customHeight="1">
      <x:c r="A19" s="444" t="str">
        <x:v>18</x:v>
      </x:c>
      <x:c r="B19" s="444" t="str">
        <x:v>물가</x:v>
      </x:c>
      <x:c r="C19" s="444" t="str">
        <x:v>독립층화:증감률재검토</x:v>
      </x:c>
      <x:c r="D19" s="444" t="str">
        <x:v>증감률재검토</x:v>
      </x:c>
      <x:c r="E19" s="444" t="str">
        <x:v>재검토필요_증감률불일치</x:v>
      </x:c>
      <x:c r="F19" s="444" t="str">
        <x:v>outputs\bteam_review\final_verified_filled_2001_remapped_v6.csv</x:v>
      </x:c>
      <x:c r="G19" s="444" t="str">
        <x:v>C20297</x:v>
      </x:c>
      <x:c r="H19" s="444" t="str">
        <x:v>2682</x:v>
      </x:c>
      <x:c r="I19" s="444" t="str">
        <x:v>10월 소비자물가 2.4% 상승...15개월만 최대 상승률</x:v>
      </x:c>
      <x:c r="J19" s="444" t="str">
        <x:v>2025-11-04</x:v>
      </x:c>
      <x:c r="K19" s="444" t="str">
        <x:v>https://www.chosun.com/economy/economy_general/2025/11/04/IQO3Q645VRHHBDUAFXCXBPH5Z4/</x:v>
      </x:c>
      <x:c r="L19" s="444" t="str">
        <x:v>사람들이 자주 구매하는 품목 위주로 구성돼 체감물가에 가까운 생활물가지수는 2.5% 올라 9월과 상승 폭이 같았다.</x:v>
      </x:c>
      <x:c r="M19" s="444" t="str">
        <x:v>어류·조개류가 속한 신선어개·채소·과실 등 기상 조건에 따라 가격 변동이 큰 품목으로 구성된 신선식품지수는 0.8% 하락했다.</x:v>
      </x:c>
      <x:c r="N19" s="444" t="str">
        <x:v>국제유가 상승세로 석유류 물가는 4.8% 상승하면서 지난 2월(6.3%) 이후 가장 높은 상승 폭을 보였다.</x:v>
      </x:c>
      <x:c r="O19" s="444" t="str">
        <x:v>비율·증감률</x:v>
      </x:c>
      <x:c r="P19" s="444" t="str">
        <x:v>비율·증감률</x:v>
      </x:c>
      <x:c r="Q19" s="444" t="str">
        <x:v>[0.8]</x:v>
      </x:c>
      <x:c r="R19" s="444" t="str">
        <x:v>['%']</x:v>
      </x:c>
      <x:c r="S19" s="444" t="str">
        <x:v>[]</x:v>
      </x:c>
      <x:c r="T19" s="444" t="str">
        <x:v>[]</x:v>
      </x:c>
      <x:c r="U19" s="444" t="str"/>
      <x:c r="V19" s="444" t="str">
        <x:v>101</x:v>
      </x:c>
      <x:c r="W19" s="444" t="str">
        <x:v>DT_1J22042</x:v>
      </x:c>
      <x:c r="X19" s="444" t="str">
        <x:v>2</x:v>
      </x:c>
      <x:c r="Y19" s="444" t="str"/>
      <x:c r="Z19" s="444" t="str">
        <x:v>T03</x:v>
      </x:c>
      <x:c r="AA19" s="444" t="str">
        <x:v>Y</x:v>
      </x:c>
      <x:c r="AB19" s="444" t="str">
        <x:v>CHANGE_RATE</x:v>
      </x:c>
      <x:c r="AC19" s="444" t="str">
        <x:v>0.8</x:v>
      </x:c>
      <x:c r="AD19" s="444" t="str">
        <x:v>202606</x:v>
      </x:c>
      <x:c r="AE19" s="444" t="str">
        <x:v>202605</x:v>
      </x:c>
      <x:c r="AF19" s="444" t="str">
        <x:v>-128.5714286</x:v>
      </x:c>
      <x:c r="AG19" s="444" t="str">
        <x:v>불일치</x:v>
      </x:c>
      <x:c r="AH19" s="444" t="str"/>
      <x:c r="AI19" s="444" t="str">
        <x:v>소비자물가 등락률 후보 선택. 지역/품목/월별 코드 확인 필요 | obj_l1/itm_id 자동 후보 입력</x:v>
      </x:c>
      <x:c r="AJ19" s="444" t="str">
        <x:v>보류</x:v>
      </x:c>
      <x:c r="AK19" s="444" t="str"/>
      <x:c r="AL19" s="444" t="str"/>
      <x:c r="AM19" s="444" t="str"/>
      <x:c r="AN19" s="444" t="str"/>
      <x:c r="AO19" s="444" t="str"/>
      <x:c r="AP19" s="444" t="str"/>
      <x:c r="AQ19" s="444" t="str"/>
      <x:c r="AR19" s="444" t="str"/>
      <x:c r="AS19" s="444" t="str"/>
      <x:c r="AT19" s="444" t="str"/>
      <x:c r="AU19" s="444" t="str"/>
      <x:c r="AV19" s="444" t="str"/>
      <x:c r="AW19" s="444" t="str">
        <x:v>N/A</x:v>
      </x:c>
      <x:c r="AX19" s="444" t="str"/>
      <x:c r="AY19" s="444" t="str"/>
      <x:c r="AZ19" s="444" t="str"/>
      <x:c r="BA19" s="444" t="str"/>
      <x:c r="BB19" s="444" t="str"/>
      <x:c r="BC19" s="444" t="str"/>
      <x:c r="BD19" s="444" t="str">
        <x:v>Y</x:v>
      </x:c>
      <x:c r="BE19" s="444" t="str"/>
      <x:c r="BF19" s="444" t="str">
        <x:v>101</x:v>
      </x:c>
      <x:c r="BG19" s="444" t="str">
        <x:v>DT_1J22042</x:v>
      </x:c>
      <x:c r="BH19" s="444" t="str">
        <x:v>2</x:v>
      </x:c>
      <x:c r="BI19" s="444" t="str"/>
      <x:c r="BJ19" s="444" t="str">
        <x:v>T03</x:v>
      </x:c>
      <x:c r="BK19" s="444" t="str">
        <x:v>M</x:v>
      </x:c>
      <x:c r="BL19" s="444" t="str">
        <x:v>-0.8</x:v>
      </x:c>
      <x:c r="BM19" s="444" t="str">
        <x:v>202510</x:v>
      </x:c>
      <x:c r="BN19" s="444" t="str"/>
      <x:c r="BO19" s="444" t="str">
        <x:v>LEVEL</x:v>
      </x:c>
      <x:c r="BP19" s="444" t="str">
        <x:v>일치</x:v>
      </x:c>
      <x:c r="BQ19" s="444" t="str">
        <x:v>월별 소비자물가 등락률표의 신선식품지수 202510 전년동월비=-0.8%로 기사 주장 -0.8%와 일치</x:v>
      </x:c>
      <x:c r="BR19" s="444" t="str">
        <x:v>수동확정_신선식품지수재매핑</x:v>
      </x:c>
      <x:c r="BS19" s="444" t="str">
        <x:v>검증가능</x:v>
      </x:c>
      <x:c r="BT19" s="444" t="str">
        <x:v>N</x:v>
      </x:c>
      <x:c r="BU19" s="444" t="str">
        <x:v>N</x:v>
      </x:c>
      <x:c r="BV19" s="444" t="str">
        <x:v>N</x:v>
      </x:c>
      <x:c r="BW19" s="444" t="str">
        <x:v>N</x:v>
      </x:c>
      <x:c r="BX19" s="444" t="str">
        <x:v>N</x:v>
      </x:c>
      <x:c r="BY19" s="444" t="str">
        <x:v>N</x:v>
      </x:c>
      <x:c r="BZ19" s="444" t="str">
        <x:v>N</x:v>
      </x:c>
      <x:c r="CA19" s="444" t="str">
        <x:v>N</x:v>
      </x:c>
      <x:c r="CB19" s="444" t="str">
        <x:v>N</x:v>
      </x:c>
      <x:c r="CC19" s="444" t="str">
        <x:v>검증가능여부;통계표;항목;시점;주장수치;비교방식;최종판정</x:v>
      </x:c>
      <x:c r="CD19" s="444" t="str">
        <x:v>검증가능 지표를 코드북이 지원하지 않아 보류</x:v>
      </x:c>
    </x:row>
    <x:row r="20" ht="38" customHeight="1">
      <x:c r="A20" s="444" t="str">
        <x:v>19</x:v>
      </x:c>
      <x:c r="B20" s="444" t="str">
        <x:v>물가</x:v>
      </x:c>
      <x:c r="C20" s="444" t="str">
        <x:v>독립층화:증감률재검토</x:v>
      </x:c>
      <x:c r="D20" s="444" t="str">
        <x:v>증감률재검토</x:v>
      </x:c>
      <x:c r="E20" s="444" t="str">
        <x:v>재검토필요_증감률불일치</x:v>
      </x:c>
      <x:c r="F20" s="444" t="str">
        <x:v>outputs\bteam_review\final_verified_filled_2001_remapped_v6.csv</x:v>
      </x:c>
      <x:c r="G20" s="444" t="str">
        <x:v>C20298</x:v>
      </x:c>
      <x:c r="H20" s="444" t="str">
        <x:v>2682</x:v>
      </x:c>
      <x:c r="I20" s="444" t="str">
        <x:v>10월 소비자물가 2.4% 상승...15개월만 최대 상승률</x:v>
      </x:c>
      <x:c r="J20" s="444" t="str">
        <x:v>2025-11-04</x:v>
      </x:c>
      <x:c r="K20" s="444" t="str">
        <x:v>https://www.chosun.com/economy/economy_general/2025/11/04/IQO3Q645VRHHBDUAFXCXBPH5Z4/</x:v>
      </x:c>
      <x:c r="L20" s="444" t="str">
        <x:v>어류·조개류가 속한 신선어개·채소·과실 등 기상 조건에 따라 가격 변동이 큰 품목으로 구성된 신선식품지수는 0.8% 하락했다.</x:v>
      </x:c>
      <x:c r="M20" s="444" t="str">
        <x:v>국제유가 상승세로 석유류 물가는 4.8% 상승하면서 지난 2월(6.3%) 이후 가장 높은 상승 폭을 보였다.</x:v>
      </x:c>
      <x:c r="N20" s="444" t="str">
        <x:v>관련 기사 2.4% 찍은 소비자물가 상승률에...한은 "2% 내외로 다시 안정될 것" 지난달 소비자물가 상승률이 2.4%를 기록하며 1년 3개월 만에 최고치를 기록했다.</x:v>
      </x:c>
      <x:c r="O20" s="444" t="str">
        <x:v>비율·증감률</x:v>
      </x:c>
      <x:c r="P20" s="444" t="str">
        <x:v>비율·증감률; 날짜·시간</x:v>
      </x:c>
      <x:c r="Q20" s="444" t="str">
        <x:v>[4.8, 2, 6.3]</x:v>
      </x:c>
      <x:c r="R20" s="444" t="str">
        <x:v>['%', '월', '%']</x:v>
      </x:c>
      <x:c r="S20" s="444" t="str">
        <x:v>[]</x:v>
      </x:c>
      <x:c r="T20" s="444" t="str">
        <x:v>[]</x:v>
      </x:c>
      <x:c r="U20" s="444" t="str"/>
      <x:c r="V20" s="444" t="str">
        <x:v>101</x:v>
      </x:c>
      <x:c r="W20" s="444" t="str">
        <x:v>DT_1J22042</x:v>
      </x:c>
      <x:c r="X20" s="444" t="str">
        <x:v>0</x:v>
      </x:c>
      <x:c r="Y20" s="444" t="str"/>
      <x:c r="Z20" s="444" t="str">
        <x:v>T03</x:v>
      </x:c>
      <x:c r="AA20" s="444" t="str">
        <x:v>M</x:v>
      </x:c>
      <x:c r="AB20" s="444" t="str">
        <x:v>CHANGE_RATE</x:v>
      </x:c>
      <x:c r="AC20" s="444" t="str">
        <x:v>6.3</x:v>
      </x:c>
      <x:c r="AD20" s="444" t="str">
        <x:v>202606</x:v>
      </x:c>
      <x:c r="AE20" s="444" t="str">
        <x:v>202605</x:v>
      </x:c>
      <x:c r="AF20" s="444" t="str">
        <x:v>3.225806452</x:v>
      </x:c>
      <x:c r="AG20" s="444" t="str">
        <x:v>불일치</x:v>
      </x:c>
      <x:c r="AH20" s="444" t="str"/>
      <x:c r="AI20" s="444" t="str">
        <x:v>소비자물가 등락률 후보 선택. 지역/품목/월별 코드 확인 필요 | obj_l1/itm_id 자동 후보 입력</x:v>
      </x:c>
      <x:c r="AJ20" s="444" t="str">
        <x:v>보류</x:v>
      </x:c>
      <x:c r="AK20" s="444" t="str"/>
      <x:c r="AL20" s="444" t="str"/>
      <x:c r="AM20" s="444" t="str"/>
      <x:c r="AN20" s="444" t="str"/>
      <x:c r="AO20" s="444" t="str"/>
      <x:c r="AP20" s="444" t="str"/>
      <x:c r="AQ20" s="444" t="str"/>
      <x:c r="AR20" s="444" t="str"/>
      <x:c r="AS20" s="444" t="str"/>
      <x:c r="AT20" s="444" t="str"/>
      <x:c r="AU20" s="444" t="str"/>
      <x:c r="AV20" s="444" t="str"/>
      <x:c r="AW20" s="444" t="str">
        <x:v>N/A</x:v>
      </x:c>
      <x:c r="AX20" s="444" t="str"/>
      <x:c r="AY20" s="444" t="str"/>
      <x:c r="AZ20" s="444" t="str"/>
      <x:c r="BA20" s="444" t="str"/>
      <x:c r="BB20" s="444" t="str"/>
      <x:c r="BC20" s="444" t="str"/>
      <x:c r="BD20" s="444" t="str">
        <x:v>Y</x:v>
      </x:c>
      <x:c r="BE20" s="444" t="str"/>
      <x:c r="BF20" s="444" t="str">
        <x:v>101</x:v>
      </x:c>
      <x:c r="BG20" s="444" t="str">
        <x:v>DT_1J22112</x:v>
      </x:c>
      <x:c r="BH20" s="444" t="str">
        <x:v>T10</x:v>
      </x:c>
      <x:c r="BI20" s="444" t="str">
        <x:v>B05</x:v>
      </x:c>
      <x:c r="BJ20" s="444" t="str">
        <x:v>T</x:v>
      </x:c>
      <x:c r="BK20" s="444" t="str">
        <x:v>M</x:v>
      </x:c>
      <x:c r="BL20" s="444" t="str">
        <x:v>4.8</x:v>
      </x:c>
      <x:c r="BM20" s="444" t="str">
        <x:v>202510</x:v>
      </x:c>
      <x:c r="BN20" s="444" t="str">
        <x:v>202410</x:v>
      </x:c>
      <x:c r="BO20" s="444" t="str">
        <x:v>CHANGE_RATE</x:v>
      </x:c>
      <x:c r="BP20" s="444" t="str">
        <x:v>일치</x:v>
      </x:c>
      <x:c r="BQ20" s="444" t="str">
        <x:v>석유류지수 202510=124.91, 202410=119.20, 전년동월비 4.790%로 기사 주장 4.8%와 일치</x:v>
      </x:c>
      <x:c r="BR20" s="444" t="str">
        <x:v>수동확정_석유류현재값선택</x:v>
      </x:c>
      <x:c r="BS20" s="444" t="str">
        <x:v>검증가능</x:v>
      </x:c>
      <x:c r="BT20" s="444" t="str">
        <x:v>N</x:v>
      </x:c>
      <x:c r="BU20" s="444" t="str">
        <x:v>N</x:v>
      </x:c>
      <x:c r="BV20" s="444" t="str">
        <x:v>N</x:v>
      </x:c>
      <x:c r="BW20" s="444" t="str">
        <x:v>N</x:v>
      </x:c>
      <x:c r="BX20" s="444" t="str">
        <x:v>N</x:v>
      </x:c>
      <x:c r="BY20" s="444" t="str">
        <x:v>N</x:v>
      </x:c>
      <x:c r="BZ20" s="444" t="str">
        <x:v>N</x:v>
      </x:c>
      <x:c r="CA20" s="444" t="str">
        <x:v>N</x:v>
      </x:c>
      <x:c r="CB20" s="444" t="str">
        <x:v>N</x:v>
      </x:c>
      <x:c r="CC20" s="444" t="str">
        <x:v>검증가능여부;통계표;항목;시점;주장수치;비교방식;최종판정</x:v>
      </x:c>
      <x:c r="CD20" s="444" t="str">
        <x:v>검증가능 지표를 코드북이 지원하지 않아 보류</x:v>
      </x:c>
    </x:row>
    <x:row r="21" ht="38" customHeight="1">
      <x:c r="A21" s="444" t="str">
        <x:v>20</x:v>
      </x:c>
      <x:c r="B21" s="444" t="str">
        <x:v>물가</x:v>
      </x:c>
      <x:c r="C21" s="444" t="str">
        <x:v>독립층화:증감률재검토</x:v>
      </x:c>
      <x:c r="D21" s="444" t="str">
        <x:v>증감률재검토</x:v>
      </x:c>
      <x:c r="E21" s="444" t="str">
        <x:v>재검토필요_증감률불일치</x:v>
      </x:c>
      <x:c r="F21" s="444" t="str">
        <x:v>outputs\bteam_review\final_verified_filled_2001_remapped_v6.csv</x:v>
      </x:c>
      <x:c r="G21" s="444" t="str">
        <x:v>C20299</x:v>
      </x:c>
      <x:c r="H21" s="444" t="str">
        <x:v>2682</x:v>
      </x:c>
      <x:c r="I21" s="444" t="str">
        <x:v>10월 소비자물가 2.4% 상승...15개월만 최대 상승률</x:v>
      </x:c>
      <x:c r="J21" s="444" t="str">
        <x:v>2025-11-04</x:v>
      </x:c>
      <x:c r="K21" s="444" t="str">
        <x:v>https://www.chosun.com/economy/economy_general/2025/11/04/IQO3Q645VRHHBDUAFXCXBPH5Z4/</x:v>
      </x:c>
      <x:c r="L21" s="444" t="str">
        <x:v>국제유가 상승세로 석유류 물가는 4.8% 상승하면서 지난 2월(6.3%) 이후 가장 높은 상승 폭을 보였다.</x:v>
      </x:c>
      <x:c r="M21" s="444" t="str">
        <x:v>관련 기사 2.4% 찍은 소비자물가 상승률에...한은 "2% 내외로 다시 안정될 것" 지난달 소비자물가 상승률이 2.4%를 기록하며 1년 3개월 만에 최고치를 기록했다.</x:v>
      </x:c>
      <x:c r="N21" s="444" t="str">
        <x:v>지난해 7월(2.6%) 이후 가장 높다.</x:v>
      </x:c>
      <x:c r="O21" s="444" t="str">
        <x:v>물가지표</x:v>
      </x:c>
      <x:c r="P21" s="444" t="str">
        <x:v>물가지표; 비율·증감률; 건수·개수; 날짜·시간</x:v>
      </x:c>
      <x:c r="Q21" s="444" t="str">
        <x:v>[2.4, 2, 2.4, 1, 3]</x:v>
      </x:c>
      <x:c r="R21" s="444" t="str">
        <x:v>['%', '%', '%', '년', '개']</x:v>
      </x:c>
      <x:c r="S21" s="444" t="str">
        <x:v>[]</x:v>
      </x:c>
      <x:c r="T21" s="444" t="str">
        <x:v>[]</x:v>
      </x:c>
      <x:c r="U21" s="444" t="str"/>
      <x:c r="V21" s="444" t="str">
        <x:v>101</x:v>
      </x:c>
      <x:c r="W21" s="444" t="str">
        <x:v>DT_1J22042</x:v>
      </x:c>
      <x:c r="X21" s="444" t="str">
        <x:v>0</x:v>
      </x:c>
      <x:c r="Y21" s="444" t="str"/>
      <x:c r="Z21" s="444" t="str">
        <x:v>T03</x:v>
      </x:c>
      <x:c r="AA21" s="444" t="str">
        <x:v>M</x:v>
      </x:c>
      <x:c r="AB21" s="444" t="str">
        <x:v>CHANGE_RATE</x:v>
      </x:c>
      <x:c r="AC21" s="444" t="str">
        <x:v>2.4</x:v>
      </x:c>
      <x:c r="AD21" s="444" t="str">
        <x:v>202510</x:v>
      </x:c>
      <x:c r="AE21" s="444" t="str">
        <x:v>202509</x:v>
      </x:c>
      <x:c r="AF21" s="444" t="str">
        <x:v>14.28571429</x:v>
      </x:c>
      <x:c r="AG21" s="444" t="str">
        <x:v>불일치</x:v>
      </x:c>
      <x:c r="AH21" s="444" t="str"/>
      <x:c r="AI21" s="444" t="str">
        <x:v>소비자물가 등락률 후보 선택. 지역/품목/월별 코드 확인 필요 | obj_l1/itm_id 자동 후보 입력</x:v>
      </x:c>
      <x:c r="AJ21" s="444" t="str">
        <x:v>보류</x:v>
      </x:c>
      <x:c r="AK21" s="444" t="str"/>
      <x:c r="AL21" s="444" t="str"/>
      <x:c r="AM21" s="444" t="str"/>
      <x:c r="AN21" s="444" t="str"/>
      <x:c r="AO21" s="444" t="str"/>
      <x:c r="AP21" s="444" t="str"/>
      <x:c r="AQ21" s="444" t="str"/>
      <x:c r="AR21" s="444" t="str"/>
      <x:c r="AS21" s="444" t="str"/>
      <x:c r="AT21" s="444" t="str"/>
      <x:c r="AU21" s="444" t="str"/>
      <x:c r="AV21" s="444" t="str"/>
      <x:c r="AW21" s="444" t="str">
        <x:v>N/A</x:v>
      </x:c>
      <x:c r="AX21" s="444" t="str"/>
      <x:c r="AY21" s="444" t="str"/>
      <x:c r="AZ21" s="444" t="str"/>
      <x:c r="BA21" s="444" t="str"/>
      <x:c r="BB21" s="444" t="str"/>
      <x:c r="BC21" s="444" t="str"/>
      <x:c r="BD21" s="444" t="str">
        <x:v>Y</x:v>
      </x:c>
      <x:c r="BE21" s="444" t="str"/>
      <x:c r="BF21" s="444" t="str">
        <x:v>101</x:v>
      </x:c>
      <x:c r="BG21" s="444" t="str">
        <x:v>DT_1J22042</x:v>
      </x:c>
      <x:c r="BH21" s="444" t="str">
        <x:v>0</x:v>
      </x:c>
      <x:c r="BI21" s="444" t="str"/>
      <x:c r="BJ21" s="444" t="str">
        <x:v>T03</x:v>
      </x:c>
      <x:c r="BK21" s="444" t="str">
        <x:v>M</x:v>
      </x:c>
      <x:c r="BL21" s="444" t="str">
        <x:v>2.4</x:v>
      </x:c>
      <x:c r="BM21" s="444" t="str">
        <x:v>202510</x:v>
      </x:c>
      <x:c r="BN21" s="444" t="str"/>
      <x:c r="BO21" s="444" t="str">
        <x:v>LEVEL</x:v>
      </x:c>
      <x:c r="BP21" s="444" t="str">
        <x:v>일치</x:v>
      </x:c>
      <x:c r="BQ21" s="444" t="str">
        <x:v>월별 소비자물가 등락률표의 총지수 202510 전년동월비=2.4%로 기사 주장 2.4%와 일치</x:v>
      </x:c>
      <x:c r="BR21" s="444" t="str">
        <x:v>수동확정_총지수직접값</x:v>
      </x:c>
      <x:c r="BS21" s="444" t="str">
        <x:v>검증가능</x:v>
      </x:c>
      <x:c r="BT21" s="444" t="str">
        <x:v>N</x:v>
      </x:c>
      <x:c r="BU21" s="444" t="str">
        <x:v>N</x:v>
      </x:c>
      <x:c r="BV21" s="444" t="str">
        <x:v>N</x:v>
      </x:c>
      <x:c r="BW21" s="444" t="str">
        <x:v>N</x:v>
      </x:c>
      <x:c r="BX21" s="444" t="str">
        <x:v>N</x:v>
      </x:c>
      <x:c r="BY21" s="444" t="str">
        <x:v>N</x:v>
      </x:c>
      <x:c r="BZ21" s="444" t="str">
        <x:v>N</x:v>
      </x:c>
      <x:c r="CA21" s="444" t="str">
        <x:v>N</x:v>
      </x:c>
      <x:c r="CB21" s="444" t="str">
        <x:v>N</x:v>
      </x:c>
      <x:c r="CC21" s="444" t="str">
        <x:v>검증가능여부;통계표;항목;시점;주장수치;비교방식;최종판정</x:v>
      </x:c>
      <x:c r="CD21" s="444" t="str">
        <x:v>검증가능 지표를 코드북이 지원하지 않아 보류</x:v>
      </x:c>
    </x:row>
    <x:row r="22" ht="38" customHeight="1">
      <x:c r="A22" s="444" t="str">
        <x:v>21</x:v>
      </x:c>
      <x:c r="B22" s="444" t="str">
        <x:v>고용</x:v>
      </x:c>
      <x:c r="C22" s="444" t="str">
        <x:v>독립층화:판단불가</x:v>
      </x:c>
      <x:c r="D22" s="444" t="str">
        <x:v>판단불가</x:v>
      </x:c>
      <x:c r="E22" s="444" t="str"/>
      <x:c r="F22" s="444" t="str">
        <x:v>outputs\archive\bteam_poc_20260714\bteam_verification\bteam_kosis_review_manual_prioritized_4403.csv</x:v>
      </x:c>
      <x:c r="G22" s="444" t="str">
        <x:v>C03732</x:v>
      </x:c>
      <x:c r="H22" s="444" t="str">
        <x:v>473</x:v>
      </x:c>
      <x:c r="I22" s="444" t="str">
        <x:v>나 홀로 사장님 6년 만에 줄었다</x:v>
      </x:c>
      <x:c r="J22" s="444" t="str">
        <x:v>2025-02-06</x:v>
      </x:c>
      <x:c r="K22" s="444" t="str">
        <x:v>https://www.chosun.com/economy/economy_general/2025/02/06/ANXJDBUJYNBHJHZDLWZW6O2BT4</x:v>
      </x:c>
      <x:c r="L22" s="444" t="str">
        <x:v>나 홀로 사장을 중심으로 자영업자가 줄면서 지난해 전체 근로자 중 자영업자 비율은 19.8%에 그쳤다.</x:v>
      </x:c>
      <x:c r="M22" s="444" t="str">
        <x:v>1963년 통계 작성 이래 처음으로 20% 아래로 떨어진 것이다.</x:v>
      </x:c>
      <x:c r="N22" s="444" t="str"/>
      <x:c r="O22" s="444" t="str">
        <x:v>비율·증감률</x:v>
      </x:c>
      <x:c r="P22" s="444" t="str">
        <x:v>비율·증감률; 날짜·시간</x:v>
      </x:c>
      <x:c r="Q22" s="444" t="str">
        <x:v>[1963, 20]</x:v>
      </x:c>
      <x:c r="R22" s="444" t="str">
        <x:v>['년', '%']</x:v>
      </x:c>
      <x:c r="S22" s="444" t="str">
        <x:v>['1963']</x:v>
      </x:c>
      <x:c r="T22" s="444" t="str">
        <x:v>[]</x:v>
      </x:c>
      <x:c r="U22" s="444" t="str"/>
      <x:c r="V22" s="444" t="str">
        <x:v>101</x:v>
      </x:c>
      <x:c r="W22" s="444" t="str">
        <x:v>DT_1DA7010S</x:v>
      </x:c>
      <x:c r="X22" s="444" t="str">
        <x:v>0</x:v>
      </x:c>
      <x:c r="Y22" s="444" t="str"/>
      <x:c r="Z22" s="444" t="str">
        <x:v>T30</x:v>
      </x:c>
      <x:c r="AA22" s="444" t="str">
        <x:v>Y</x:v>
      </x:c>
      <x:c r="AB22" s="444" t="str"/>
      <x:c r="AC22" s="444" t="str"/>
      <x:c r="AD22" s="444" t="str"/>
      <x:c r="AE22" s="444" t="str"/>
      <x:c r="AF22" s="444" t="str"/>
      <x:c r="AG22" s="444" t="str"/>
      <x:c r="AH22" s="444" t="str"/>
      <x:c r="AI22" s="444" t="str">
        <x:v>[Claude 검토] 자영업자 비율 1963년 이래 최초 20% 미만(C03731 연결), 동일 표로 판단</x:v>
      </x:c>
      <x:c r="AJ22" s="444" t="str">
        <x:v>보류</x:v>
      </x:c>
      <x:c r="AK22" s="444" t="str"/>
      <x:c r="AL22" s="444" t="str"/>
      <x:c r="AM22" s="444" t="str"/>
      <x:c r="AN22" s="444" t="str"/>
      <x:c r="AO22" s="444" t="str"/>
      <x:c r="AP22" s="444" t="str"/>
      <x:c r="AQ22" s="444" t="str"/>
      <x:c r="AR22" s="444" t="str"/>
      <x:c r="AS22" s="444" t="str"/>
      <x:c r="AT22" s="444" t="str"/>
      <x:c r="AU22" s="444" t="str"/>
      <x:c r="AV22" s="444" t="str"/>
      <x:c r="AW22" s="444" t="str">
        <x:v>N/A</x:v>
      </x:c>
      <x:c r="AX22" s="444" t="str"/>
      <x:c r="AY22" s="444" t="str"/>
      <x:c r="AZ22" s="444" t="str"/>
      <x:c r="BA22" s="444" t="str"/>
      <x:c r="BB22" s="444" t="str"/>
      <x:c r="BC22" s="444" t="str"/>
      <x:c r="BD22" s="444" t="str">
        <x:v>Y</x:v>
      </x:c>
      <x:c r="BE22" s="444" t="str"/>
      <x:c r="BF22" s="444" t="str">
        <x:v>101</x:v>
      </x:c>
      <x:c r="BG22" s="444" t="str">
        <x:v>DT_1DA7010S</x:v>
      </x:c>
      <x:c r="BH22" s="444" t="str">
        <x:v>06/00</x:v>
      </x:c>
      <x:c r="BI22" s="444" t="str"/>
      <x:c r="BJ22" s="444" t="str">
        <x:v>T30</x:v>
      </x:c>
      <x:c r="BK22" s="444" t="str">
        <x:v>Y</x:v>
      </x:c>
      <x:c r="BL22" s="444" t="str">
        <x:v>19.8</x:v>
      </x:c>
      <x:c r="BM22" s="444" t="str">
        <x:v>2024</x:v>
      </x:c>
      <x:c r="BN22" s="444" t="str"/>
      <x:c r="BO22" s="444" t="str">
        <x:v>RATIO_HISTORY</x:v>
      </x:c>
      <x:c r="BP22" s="444" t="str">
        <x:v>일치</x:v>
      </x:c>
      <x:c r="BQ22" s="444" t="str">
        <x:v>2024년 자영업자 5657.1천명/전체 취업자 28575.5천명=19.797%; 1963~2024년 62개 연도 중 20% 미만은 2024년이 처음이라 주장과 일치</x:v>
      </x:c>
      <x:c r="BR22" s="444" t="str">
        <x:v>수동확정_자영업자비율역사검증</x:v>
      </x:c>
      <x:c r="BS22" s="444" t="str">
        <x:v>검증가능</x:v>
      </x:c>
      <x:c r="BT22" s="444" t="str">
        <x:v>N</x:v>
      </x:c>
      <x:c r="BU22" s="444" t="str">
        <x:v>N</x:v>
      </x:c>
      <x:c r="BV22" s="444" t="str">
        <x:v>N</x:v>
      </x:c>
      <x:c r="BW22" s="444" t="str">
        <x:v>N</x:v>
      </x:c>
      <x:c r="BX22" s="444" t="str">
        <x:v>N</x:v>
      </x:c>
      <x:c r="BY22" s="444" t="str">
        <x:v>N</x:v>
      </x:c>
      <x:c r="BZ22" s="444" t="str">
        <x:v>N</x:v>
      </x:c>
      <x:c r="CA22" s="444" t="str">
        <x:v>N</x:v>
      </x:c>
      <x:c r="CB22" s="444" t="str">
        <x:v>N</x:v>
      </x:c>
      <x:c r="CC22" s="444" t="str">
        <x:v>검증가능여부;통계표;항목;시점;주장수치;비교방식;최종판정</x:v>
      </x:c>
      <x:c r="CD22" s="444" t="str">
        <x:v>검증가능 지표를 코드북이 지원하지 않아 보류</x:v>
      </x:c>
    </x:row>
    <x:row r="23" ht="38" customHeight="1">
      <x:c r="A23" s="444" t="str">
        <x:v>22</x:v>
      </x:c>
      <x:c r="B23" s="444" t="str">
        <x:v>고용</x:v>
      </x:c>
      <x:c r="C23" s="444" t="str">
        <x:v>독립층화:판단불가</x:v>
      </x:c>
      <x:c r="D23" s="444" t="str">
        <x:v>판단불가</x:v>
      </x:c>
      <x:c r="E23" s="444" t="str"/>
      <x:c r="F23" s="444" t="str">
        <x:v>outputs\archive\bteam_poc_20260714\bteam_verification\bteam_kosis_review_manual_prioritized_4403.csv</x:v>
      </x:c>
      <x:c r="G23" s="444" t="str">
        <x:v>C03990</x:v>
      </x:c>
      <x:c r="H23" s="444" t="str">
        <x:v>506</x:v>
      </x:c>
      <x:c r="I23" s="444" t="str">
        <x:v>뉴욕증시, 트럼프 관세 발표 예고에 ‘뚝’…테슬라 3.4% 하락</x:v>
      </x:c>
      <x:c r="J23" s="444" t="str">
        <x:v>2025-02-08</x:v>
      </x:c>
      <x:c r="K23" s="444" t="str">
        <x:v>https://www.chosun.com/economy/money/2025/02/08/DQXNITJ32E7RCV32AFGAZ3R7PI</x:v>
      </x:c>
      <x:c r="L23" s="444" t="str">
        <x:v>이미 트럼프 대통령 발언 전부터 증시는 1월 고용 동향과 물가 상승 압박 속에 불안한 흐름을 이어갔다.</x:v>
      </x:c>
      <x:c r="M23" s="444" t="str">
        <x:v>미 노동부에 따르면 1월 미국 비농업 일자리는 전월대비 14만3000명 증가했다.</x:v>
      </x:c>
      <x:c r="N23" s="444" t="str">
        <x:v>실업률은 4.0%로 전월(4.1%)보다 낮아졌고, 전문가 예상치(4.1%)도 하회했다.</x:v>
      </x:c>
      <x:c r="O23" s="444" t="str">
        <x:v>고용지표</x:v>
      </x:c>
      <x:c r="P23" s="444" t="str">
        <x:v>고용지표; 인원수; 날짜·시간</x:v>
      </x:c>
      <x:c r="Q23" s="444" t="str">
        <x:v>[1, 3000]</x:v>
      </x:c>
      <x:c r="R23" s="444" t="str">
        <x:v>['월', '명']</x:v>
      </x:c>
      <x:c r="S23" s="444" t="str">
        <x:v>[]</x:v>
      </x:c>
      <x:c r="T23" s="444" t="str">
        <x:v>[]</x:v>
      </x:c>
      <x:c r="U23" s="444" t="str"/>
      <x:c r="V23" s="444" t="str"/>
      <x:c r="W23" s="444" t="str"/>
      <x:c r="X23" s="444" t="str"/>
      <x:c r="Y23" s="444" t="str"/>
      <x:c r="Z23" s="444" t="str"/>
      <x:c r="AA23" s="444" t="str"/>
      <x:c r="AB23" s="444" t="str"/>
      <x:c r="AC23" s="444" t="str"/>
      <x:c r="AD23" s="444" t="str"/>
      <x:c r="AE23" s="444" t="str"/>
      <x:c r="AF23" s="444" t="str"/>
      <x:c r="AG23" s="444" t="str"/>
      <x:c r="AH23" s="444" t="str"/>
      <x:c r="AI23" s="444" t="str">
        <x:v>KOSIS 검증 대상 아님: 증시/시장 가격 지표</x:v>
      </x:c>
      <x:c r="AJ23" s="444" t="str">
        <x:v>검증불가</x:v>
      </x:c>
      <x:c r="AK23" s="444" t="str">
        <x:v>KOSIS 미제공</x:v>
      </x:c>
      <x:c r="AL23" s="444" t="str"/>
      <x:c r="AM23" s="444" t="str"/>
      <x:c r="AN23" s="444" t="str"/>
      <x:c r="AO23" s="444" t="str"/>
      <x:c r="AP23" s="444" t="str"/>
      <x:c r="AQ23" s="444" t="str"/>
      <x:c r="AR23" s="444" t="str"/>
      <x:c r="AS23" s="444" t="str"/>
      <x:c r="AT23" s="444" t="str"/>
      <x:c r="AU23" s="444" t="str"/>
      <x:c r="AV23" s="444" t="str"/>
      <x:c r="AW23" s="444" t="str">
        <x:v>N/A</x:v>
      </x:c>
      <x:c r="AX23" s="444" t="str"/>
      <x:c r="AY23" s="444" t="str"/>
      <x:c r="AZ23" s="444" t="str"/>
      <x:c r="BA23" s="444" t="str"/>
      <x:c r="BB23" s="444" t="str">
        <x:v>판단불가</x:v>
      </x:c>
      <x:c r="BC23" s="444" t="str">
        <x:v>대한민국 KOSIS 범위 밖의 해외 통계</x:v>
      </x:c>
      <x:c r="BD23" s="444" t="str">
        <x:v>N</x:v>
      </x:c>
      <x:c r="BE23" s="444" t="str">
        <x:v>KOSIS 미제공</x:v>
      </x:c>
      <x:c r="BF23" s="444" t="str"/>
      <x:c r="BG23" s="444" t="str"/>
      <x:c r="BH23" s="444" t="str"/>
      <x:c r="BI23" s="444" t="str"/>
      <x:c r="BJ23" s="444" t="str"/>
      <x:c r="BK23" s="444" t="str"/>
      <x:c r="BL23" s="444" t="str"/>
      <x:c r="BM23" s="444" t="str"/>
      <x:c r="BN23" s="444" t="str"/>
      <x:c r="BO23" s="444" t="str"/>
      <x:c r="BP23" s="444" t="str"/>
      <x:c r="BQ23" s="444" t="str">
        <x:v>미국 노동부의 비농업 고용 증가분으로 KOSIS 국내 고용통계와 국가·정의가 다름</x:v>
      </x:c>
      <x:c r="BR23" s="444" t="str">
        <x:v>수동확정_검증불가</x:v>
      </x:c>
      <x:c r="BS23" s="444" t="str">
        <x:v>검증불가</x:v>
      </x:c>
      <x:c r="BT23" s="444" t="str">
        <x:v>Y</x:v>
      </x:c>
      <x:c r="BU23" s="444" t="str">
        <x:v>N/A</x:v>
      </x:c>
      <x:c r="BV23" s="444" t="str">
        <x:v>N/A</x:v>
      </x:c>
      <x:c r="BW23" s="444" t="str">
        <x:v>N/A</x:v>
      </x:c>
      <x:c r="BX23" s="444" t="str">
        <x:v>N/A</x:v>
      </x:c>
      <x:c r="BY23" s="444" t="str">
        <x:v>N/A</x:v>
      </x:c>
      <x:c r="BZ23" s="444" t="str">
        <x:v>N/A</x:v>
      </x:c>
      <x:c r="CA23" s="444" t="str">
        <x:v>N/A</x:v>
      </x:c>
      <x:c r="CB23" s="444" t="str">
        <x:v>N/A</x:v>
      </x:c>
      <x:c r="CC23" s="444" t="str"/>
      <x:c r="CD23" s="444" t="str"/>
    </x:row>
    <x:row r="24" ht="38" customHeight="1">
      <x:c r="A24" s="444" t="str">
        <x:v>23</x:v>
      </x:c>
      <x:c r="B24" s="444" t="str">
        <x:v>고용</x:v>
      </x:c>
      <x:c r="C24" s="444" t="str">
        <x:v>독립층화:판단불가</x:v>
      </x:c>
      <x:c r="D24" s="444" t="str">
        <x:v>판단불가</x:v>
      </x:c>
      <x:c r="E24" s="444" t="str"/>
      <x:c r="F24" s="444" t="str">
        <x:v>outputs\archive\bteam_poc_20260714\bteam_verification\bteam_kosis_review_manual_prioritized_4403.csv</x:v>
      </x:c>
      <x:c r="G24" s="444" t="str">
        <x:v>C03991</x:v>
      </x:c>
      <x:c r="H24" s="444" t="str">
        <x:v>506</x:v>
      </x:c>
      <x:c r="I24" s="444" t="str">
        <x:v>뉴욕증시, 트럼프 관세 발표 예고에 ‘뚝’…테슬라 3.4% 하락</x:v>
      </x:c>
      <x:c r="J24" s="444" t="str">
        <x:v>2025-02-08</x:v>
      </x:c>
      <x:c r="K24" s="444" t="str">
        <x:v>https://www.chosun.com/economy/money/2025/02/08/DQXNITJ32E7RCV32AFGAZ3R7PI</x:v>
      </x:c>
      <x:c r="L24" s="444" t="str">
        <x:v>미 노동부에 따르면 1월 미국 비농업 일자리는 전월대비 14만3000명 증가했다.</x:v>
      </x:c>
      <x:c r="M24" s="444" t="str">
        <x:v>실업률은 4.0%로 전월(4.1%)보다 낮아졌고, 전문가 예상치(4.1%)도 하회했다.</x:v>
      </x:c>
      <x:c r="N24" s="444" t="str">
        <x:v>전기차를 중심으로 주요 기술주는 일제히 하락했다.</x:v>
      </x:c>
      <x:c r="O24" s="444" t="str">
        <x:v>고용지표</x:v>
      </x:c>
      <x:c r="P24" s="444" t="str">
        <x:v>고용지표; 비율·증감률</x:v>
      </x:c>
      <x:c r="Q24" s="444" t="str">
        <x:v>[4.0, 4.1, 4.1]</x:v>
      </x:c>
      <x:c r="R24" s="444" t="str">
        <x:v>['%', '%', '%']</x:v>
      </x:c>
      <x:c r="S24" s="444" t="str">
        <x:v>[]</x:v>
      </x:c>
      <x:c r="T24" s="444" t="str">
        <x:v>[]</x:v>
      </x:c>
      <x:c r="U24" s="444" t="str"/>
      <x:c r="V24" s="444" t="str">
        <x:v>101</x:v>
      </x:c>
      <x:c r="W24" s="444" t="str">
        <x:v>DT_1DA7001S</x:v>
      </x:c>
      <x:c r="X24" s="444" t="str">
        <x:v>0</x:v>
      </x:c>
      <x:c r="Y24" s="444" t="str"/>
      <x:c r="Z24" s="444" t="str">
        <x:v>T80</x:v>
      </x:c>
      <x:c r="AA24" s="444" t="str">
        <x:v>M</x:v>
      </x:c>
      <x:c r="AB24" s="444" t="str"/>
      <x:c r="AC24" s="444" t="str"/>
      <x:c r="AD24" s="444" t="str"/>
      <x:c r="AE24" s="444" t="str"/>
      <x:c r="AF24" s="444" t="str"/>
      <x:c r="AG24" s="444" t="str"/>
      <x:c r="AH24" s="444" t="str"/>
      <x:c r="AI24" s="444" t="str">
        <x:v>[Claude 검토] 경제활동인구조사(공식 실업률) 매치. 후보없음 처리됐던 건이나 실제 매칭 표 존재 확인. | itm_id 수동 선택 필요(후보 8개 -&gt; itm_id_candidates 컬럼 참고)</x:v>
      </x:c>
      <x:c r="AJ24" s="444" t="str">
        <x:v>검증불가</x:v>
      </x:c>
      <x:c r="AK24" s="444" t="str">
        <x:v>정보 부족</x:v>
      </x:c>
      <x:c r="AL24" s="444" t="str"/>
      <x:c r="AM24" s="444" t="str"/>
      <x:c r="AN24" s="444" t="str"/>
      <x:c r="AO24" s="444" t="str"/>
      <x:c r="AP24" s="444" t="str"/>
      <x:c r="AQ24" s="444" t="str"/>
      <x:c r="AR24" s="444" t="str"/>
      <x:c r="AS24" s="444" t="str"/>
      <x:c r="AT24" s="444" t="str"/>
      <x:c r="AU24" s="444" t="str"/>
      <x:c r="AV24" s="444" t="str"/>
      <x:c r="AW24" s="444" t="str">
        <x:v>N/A</x:v>
      </x:c>
      <x:c r="AX24" s="444" t="str"/>
      <x:c r="AY24" s="444" t="str"/>
      <x:c r="AZ24" s="444" t="str"/>
      <x:c r="BA24" s="444" t="str"/>
      <x:c r="BB24" s="444" t="str">
        <x:v>판단불가</x:v>
      </x:c>
      <x:c r="BC24" s="444" t="str">
        <x:v>관측 실적이 아닌 전망·목표 문장</x:v>
      </x:c>
      <x:c r="BD24" s="444" t="str">
        <x:v>N</x:v>
      </x:c>
      <x:c r="BE24" s="444" t="str">
        <x:v>KOSIS 미제공</x:v>
      </x:c>
      <x:c r="BF24" s="444" t="str"/>
      <x:c r="BG24" s="444" t="str"/>
      <x:c r="BH24" s="444" t="str"/>
      <x:c r="BI24" s="444" t="str"/>
      <x:c r="BJ24" s="444" t="str"/>
      <x:c r="BK24" s="444" t="str"/>
      <x:c r="BL24" s="444" t="str"/>
      <x:c r="BM24" s="444" t="str"/>
      <x:c r="BN24" s="444" t="str"/>
      <x:c r="BO24" s="444" t="str"/>
      <x:c r="BP24" s="444" t="str"/>
      <x:c r="BQ24" s="444" t="str">
        <x:v>미국 실업률과 전문가 예상치 비교로 KOSIS 국내 고용통계의 관측값이 아님</x:v>
      </x:c>
      <x:c r="BR24" s="444" t="str">
        <x:v>수동확정_검증불가</x:v>
      </x:c>
      <x:c r="BS24" s="444" t="str">
        <x:v>검증불가</x:v>
      </x:c>
      <x:c r="BT24" s="444" t="str">
        <x:v>Y</x:v>
      </x:c>
      <x:c r="BU24" s="444" t="str">
        <x:v>N/A</x:v>
      </x:c>
      <x:c r="BV24" s="444" t="str">
        <x:v>N/A</x:v>
      </x:c>
      <x:c r="BW24" s="444" t="str">
        <x:v>N/A</x:v>
      </x:c>
      <x:c r="BX24" s="444" t="str">
        <x:v>N/A</x:v>
      </x:c>
      <x:c r="BY24" s="444" t="str">
        <x:v>N/A</x:v>
      </x:c>
      <x:c r="BZ24" s="444" t="str">
        <x:v>N/A</x:v>
      </x:c>
      <x:c r="CA24" s="444" t="str">
        <x:v>N/A</x:v>
      </x:c>
      <x:c r="CB24" s="444" t="str">
        <x:v>N/A</x:v>
      </x:c>
      <x:c r="CC24" s="444" t="str"/>
      <x:c r="CD24" s="444" t="str"/>
    </x:row>
    <x:row r="25" ht="38" customHeight="1">
      <x:c r="A25" s="444" t="str">
        <x:v>24</x:v>
      </x:c>
      <x:c r="B25" s="444" t="str">
        <x:v>고용</x:v>
      </x:c>
      <x:c r="C25" s="444" t="str">
        <x:v>독립층화:판단불가</x:v>
      </x:c>
      <x:c r="D25" s="444" t="str">
        <x:v>판단불가</x:v>
      </x:c>
      <x:c r="E25" s="444" t="str"/>
      <x:c r="F25" s="444" t="str">
        <x:v>outputs\archive\bteam_poc_20260714\bteam_verification\bteam_kosis_review_manual_prioritized_4403.csv</x:v>
      </x:c>
      <x:c r="G25" s="444" t="str">
        <x:v>C06217</x:v>
      </x:c>
      <x:c r="H25" s="444" t="str">
        <x:v>784</x:v>
      </x:c>
      <x:c r="I25" s="444" t="str">
        <x:v>대기업 신입사원 10명 중 3명은 ‘중고신입’</x:v>
      </x:c>
      <x:c r="J25" s="444" t="str">
        <x:v>2025-03-02</x:v>
      </x:c>
      <x:c r="K25" s="444" t="str">
        <x:v>https://www.chosun.com/economy/industry-company/2025/03/02/IPK6JR36R5GXHDRWNUC3MYTW4A</x:v>
      </x:c>
      <x:c r="L25" s="444" t="str">
        <x:v>대기업의 경력 우대 경향은 갈수록 뚜렷해지고 있다.</x:v>
      </x:c>
      <x:c r="M25" s="444" t="str">
        <x:v>올해 상반기 대졸 신규 채용을 준비 중인 기업들은 전체 인원의 31.2%를 경력직으로 선발할 계획이다.</x:v>
      </x:c>
      <x:c r="N25" s="444" t="str">
        <x:v>이 비율 역시 2022년 상반기(29.7%)보다 더 늘었다.</x:v>
      </x:c>
      <x:c r="O25" s="444" t="str">
        <x:v>고용지표</x:v>
      </x:c>
      <x:c r="P25" s="444" t="str">
        <x:v>고용지표; 비율·증감률</x:v>
      </x:c>
      <x:c r="Q25" s="444" t="str">
        <x:v>[31.2]</x:v>
      </x:c>
      <x:c r="R25" s="444" t="str">
        <x:v>['%']</x:v>
      </x:c>
      <x:c r="S25" s="444" t="str">
        <x:v>[]</x:v>
      </x:c>
      <x:c r="T25" s="444" t="str">
        <x:v>[]</x:v>
      </x:c>
      <x:c r="U25" s="444" t="str"/>
      <x:c r="V25" s="444" t="str"/>
      <x:c r="W25" s="444" t="str"/>
      <x:c r="X25" s="444" t="str"/>
      <x:c r="Y25" s="444" t="str"/>
      <x:c r="Z25" s="444" t="str"/>
      <x:c r="AA25" s="444" t="str"/>
      <x:c r="AB25" s="444" t="str"/>
      <x:c r="AC25" s="444" t="str"/>
      <x:c r="AD25" s="444" t="str"/>
      <x:c r="AE25" s="444" t="str"/>
      <x:c r="AF25" s="444" t="str"/>
      <x:c r="AG25" s="444" t="str"/>
      <x:c r="AH25" s="444" t="str"/>
      <x:c r="AI25" s="444" t="str">
        <x:v>KOSIS 검증 대상 아님 또는 후순위: 정책/제도/전망 수치</x:v>
      </x:c>
      <x:c r="AJ25" s="444" t="str">
        <x:v>검증불가</x:v>
      </x:c>
      <x:c r="AK25" s="444" t="str">
        <x:v>정보 부족</x:v>
      </x:c>
      <x:c r="AL25" s="444" t="str"/>
      <x:c r="AM25" s="444" t="str"/>
      <x:c r="AN25" s="444" t="str"/>
      <x:c r="AO25" s="444" t="str"/>
      <x:c r="AP25" s="444" t="str"/>
      <x:c r="AQ25" s="444" t="str"/>
      <x:c r="AR25" s="444" t="str"/>
      <x:c r="AS25" s="444" t="str"/>
      <x:c r="AT25" s="444" t="str"/>
      <x:c r="AU25" s="444" t="str"/>
      <x:c r="AV25" s="444" t="str"/>
      <x:c r="AW25" s="444" t="str">
        <x:v>N/A</x:v>
      </x:c>
      <x:c r="AX25" s="444" t="str"/>
      <x:c r="AY25" s="444" t="str"/>
      <x:c r="AZ25" s="444" t="str"/>
      <x:c r="BA25" s="444" t="str"/>
      <x:c r="BB25" s="444" t="str">
        <x:v>판단불가</x:v>
      </x:c>
      <x:c r="BC25" s="444" t="str">
        <x:v>관측 실적이 아닌 전망·목표 문장</x:v>
      </x:c>
      <x:c r="BD25" s="444" t="str">
        <x:v>N</x:v>
      </x:c>
      <x:c r="BE25" s="444" t="str">
        <x:v>KOSIS 미제공</x:v>
      </x:c>
      <x:c r="BF25" s="444" t="str"/>
      <x:c r="BG25" s="444" t="str"/>
      <x:c r="BH25" s="444" t="str"/>
      <x:c r="BI25" s="444" t="str"/>
      <x:c r="BJ25" s="444" t="str"/>
      <x:c r="BK25" s="444" t="str"/>
      <x:c r="BL25" s="444" t="str"/>
      <x:c r="BM25" s="444" t="str"/>
      <x:c r="BN25" s="444" t="str"/>
      <x:c r="BO25" s="444" t="str"/>
      <x:c r="BP25" s="444" t="str"/>
      <x:c r="BQ25" s="444" t="str">
        <x:v>기업 대상 채용계획 민간조사 결과로 KOSIS 공식 고용통계에서 동일 항목을 제공하지 않음</x:v>
      </x:c>
      <x:c r="BR25" s="444" t="str">
        <x:v>수동확정_검증불가</x:v>
      </x:c>
      <x:c r="BS25" s="444" t="str">
        <x:v>검증불가</x:v>
      </x:c>
      <x:c r="BT25" s="444" t="str">
        <x:v>Y</x:v>
      </x:c>
      <x:c r="BU25" s="444" t="str">
        <x:v>N/A</x:v>
      </x:c>
      <x:c r="BV25" s="444" t="str">
        <x:v>N/A</x:v>
      </x:c>
      <x:c r="BW25" s="444" t="str">
        <x:v>N/A</x:v>
      </x:c>
      <x:c r="BX25" s="444" t="str">
        <x:v>N/A</x:v>
      </x:c>
      <x:c r="BY25" s="444" t="str">
        <x:v>N/A</x:v>
      </x:c>
      <x:c r="BZ25" s="444" t="str">
        <x:v>N/A</x:v>
      </x:c>
      <x:c r="CA25" s="444" t="str">
        <x:v>N/A</x:v>
      </x:c>
      <x:c r="CB25" s="444" t="str">
        <x:v>N/A</x:v>
      </x:c>
      <x:c r="CC25" s="444" t="str"/>
      <x:c r="CD25" s="444" t="str"/>
    </x:row>
    <x:row r="26" ht="38" customHeight="1">
      <x:c r="A26" s="444" t="str">
        <x:v>25</x:v>
      </x:c>
      <x:c r="B26" s="444" t="str">
        <x:v>고용</x:v>
      </x:c>
      <x:c r="C26" s="444" t="str">
        <x:v>독립층화:판단불가</x:v>
      </x:c>
      <x:c r="D26" s="444" t="str">
        <x:v>판단불가</x:v>
      </x:c>
      <x:c r="E26" s="444" t="str"/>
      <x:c r="F26" s="444" t="str">
        <x:v>outputs\archive\bteam_poc_20260714\bteam_verification\bteam_kosis_review_manual_prioritized_4403.csv</x:v>
      </x:c>
      <x:c r="G26" s="444" t="str">
        <x:v>C07866</x:v>
      </x:c>
      <x:c r="H26" s="444" t="str">
        <x:v>1005</x:v>
      </x:c>
      <x:c r="I26" s="444" t="str">
        <x:v>서빙 로봇, 전화응대 AI… 나 홀로 사장님 ‘디지털 직원’ 골라쓰세요</x:v>
      </x:c>
      <x:c r="J26" s="444" t="str">
        <x:v>2025-03-19</x:v>
      </x:c>
      <x:c r="K26" s="444" t="str">
        <x:v>https://www.chosun.com/economy/economy_general/2025/03/19/A2S2JD6IBVAYPC2NKKFX32TZAU</x:v>
      </x:c>
      <x:c r="L26" s="444" t="str"/>
      <x:c r="M26" s="444" t="str">
        <x:v>1 통계청에 따르면 지난해 우리나라 전체 자영업자 수는 565만7000명이다.</x:v>
      </x:c>
      <x:c r="N26" s="444" t="str">
        <x:v>이 중 직원 없는 ‘나 홀로 사장님’이 422만5000명으로 전체의 74.7%를 차지했다.</x:v>
      </x:c>
      <x:c r="O26" s="444" t="str">
        <x:v>인원수</x:v>
      </x:c>
      <x:c r="P26" s="444" t="str">
        <x:v>인원수</x:v>
      </x:c>
      <x:c r="Q26" s="444" t="str">
        <x:v>[7000]</x:v>
      </x:c>
      <x:c r="R26" s="444" t="str">
        <x:v>['명']</x:v>
      </x:c>
      <x:c r="S26" s="444" t="str">
        <x:v>[]</x:v>
      </x:c>
      <x:c r="T26" s="444" t="str">
        <x:v>[]</x:v>
      </x:c>
      <x:c r="U26" s="444" t="str">
        <x:v>자영업자</x:v>
      </x:c>
      <x:c r="V26" s="444" t="str">
        <x:v>101</x:v>
      </x:c>
      <x:c r="W26" s="444" t="str">
        <x:v>DT_1DA7010S</x:v>
      </x:c>
      <x:c r="X26" s="444" t="str">
        <x:v>0</x:v>
      </x:c>
      <x:c r="Y26" s="444" t="str"/>
      <x:c r="Z26" s="444" t="str">
        <x:v>T30</x:v>
      </x:c>
      <x:c r="AA26" s="444" t="str">
        <x:v>Y</x:v>
      </x:c>
      <x:c r="AB26" s="444" t="str"/>
      <x:c r="AC26" s="444" t="str"/>
      <x:c r="AD26" s="444" t="str"/>
      <x:c r="AE26" s="444" t="str"/>
      <x:c r="AF26" s="444" t="str"/>
      <x:c r="AG26" s="444" t="str"/>
      <x:c r="AH26" s="444" t="str"/>
      <x:c r="AI26" s="444" t="str">
        <x:v>[Claude 검토] 통계청 경제활동인구조사(종사상지위별 취업자/자영업자) 매칭, 전체 자영업자수(565만7000명) 확인 가능</x:v>
      </x:c>
      <x:c r="AJ26" s="444" t="str">
        <x:v>보류</x:v>
      </x:c>
      <x:c r="AK26" s="444" t="str"/>
      <x:c r="AL26" s="444" t="str"/>
      <x:c r="AM26" s="444" t="str"/>
      <x:c r="AN26" s="444" t="str"/>
      <x:c r="AO26" s="444" t="str"/>
      <x:c r="AP26" s="444" t="str"/>
      <x:c r="AQ26" s="444" t="str"/>
      <x:c r="AR26" s="444" t="str"/>
      <x:c r="AS26" s="444" t="str"/>
      <x:c r="AT26" s="444" t="str"/>
      <x:c r="AU26" s="444" t="str"/>
      <x:c r="AV26" s="444" t="str"/>
      <x:c r="AW26" s="444" t="str">
        <x:v>N/A</x:v>
      </x:c>
      <x:c r="AX26" s="444" t="str"/>
      <x:c r="AY26" s="444" t="str"/>
      <x:c r="AZ26" s="444" t="str"/>
      <x:c r="BA26" s="444" t="str"/>
      <x:c r="BB26" s="444" t="str"/>
      <x:c r="BC26" s="444" t="str"/>
      <x:c r="BD26" s="444" t="str">
        <x:v>Y</x:v>
      </x:c>
      <x:c r="BE26" s="444" t="str"/>
      <x:c r="BF26" s="444" t="str">
        <x:v>101</x:v>
      </x:c>
      <x:c r="BG26" s="444" t="str">
        <x:v>DT_1DA7010S</x:v>
      </x:c>
      <x:c r="BH26" s="444" t="str">
        <x:v>06</x:v>
      </x:c>
      <x:c r="BI26" s="444" t="str"/>
      <x:c r="BJ26" s="444" t="str">
        <x:v>T30</x:v>
      </x:c>
      <x:c r="BK26" s="444" t="str">
        <x:v>Y</x:v>
      </x:c>
      <x:c r="BL26" s="444" t="str">
        <x:v>5657</x:v>
      </x:c>
      <x:c r="BM26" s="444" t="str">
        <x:v>2024</x:v>
      </x:c>
      <x:c r="BN26" s="444" t="str"/>
      <x:c r="BO26" s="444" t="str">
        <x:v>LEVEL</x:v>
      </x:c>
      <x:c r="BP26" s="444" t="str">
        <x:v>일치</x:v>
      </x:c>
      <x:c r="BQ26" s="444" t="str">
        <x:v>종사상지위별 취업자표의 2024년 자영업자=5657.1천명으로 기사 565만7000명과 반올림 기준 일치</x:v>
      </x:c>
      <x:c r="BR26" s="444" t="str">
        <x:v>수동확정_자영업자수</x:v>
      </x:c>
      <x:c r="BS26" s="444" t="str">
        <x:v>검증가능</x:v>
      </x:c>
      <x:c r="BT26" s="444" t="str">
        <x:v>N</x:v>
      </x:c>
      <x:c r="BU26" s="444" t="str">
        <x:v>N</x:v>
      </x:c>
      <x:c r="BV26" s="444" t="str">
        <x:v>N</x:v>
      </x:c>
      <x:c r="BW26" s="444" t="str">
        <x:v>N</x:v>
      </x:c>
      <x:c r="BX26" s="444" t="str">
        <x:v>N</x:v>
      </x:c>
      <x:c r="BY26" s="444" t="str">
        <x:v>N</x:v>
      </x:c>
      <x:c r="BZ26" s="444" t="str">
        <x:v>N</x:v>
      </x:c>
      <x:c r="CA26" s="444" t="str">
        <x:v>N</x:v>
      </x:c>
      <x:c r="CB26" s="444" t="str">
        <x:v>N</x:v>
      </x:c>
      <x:c r="CC26" s="444" t="str">
        <x:v>검증가능여부;통계표;항목;시점;주장수치;비교방식;최종판정</x:v>
      </x:c>
      <x:c r="CD26" s="444" t="str">
        <x:v>검증가능 지표를 코드북이 지원하지 않아 보류</x:v>
      </x:c>
    </x:row>
    <x:row r="27" ht="38" customHeight="1">
      <x:c r="A27" s="444" t="str">
        <x:v>26</x:v>
      </x:c>
      <x:c r="B27" s="444" t="str">
        <x:v>고용</x:v>
      </x:c>
      <x:c r="C27" s="444" t="str">
        <x:v>독립층화:판단불가</x:v>
      </x:c>
      <x:c r="D27" s="444" t="str">
        <x:v>판단불가</x:v>
      </x:c>
      <x:c r="E27" s="444" t="str"/>
      <x:c r="F27" s="444" t="str">
        <x:v>outputs\archive\bteam_poc_20260714\bteam_verification\bteam_kosis_review_manual_prioritized_4403.csv</x:v>
      </x:c>
      <x:c r="G27" s="444" t="str">
        <x:v>C07867</x:v>
      </x:c>
      <x:c r="H27" s="444" t="str">
        <x:v>1005</x:v>
      </x:c>
      <x:c r="I27" s="444" t="str">
        <x:v>서빙 로봇, 전화응대 AI… 나 홀로 사장님 ‘디지털 직원’ 골라쓰세요</x:v>
      </x:c>
      <x:c r="J27" s="444" t="str">
        <x:v>2025-03-19</x:v>
      </x:c>
      <x:c r="K27" s="444" t="str">
        <x:v>https://www.chosun.com/economy/economy_general/2025/03/19/A2S2JD6IBVAYPC2NKKFX32TZAU</x:v>
      </x:c>
      <x:c r="L27" s="444" t="str">
        <x:v>1 통계청에 따르면 지난해 우리나라 전체 자영업자 수는 565만7000명이다.</x:v>
      </x:c>
      <x:c r="M27" s="444" t="str">
        <x:v>이 중 직원 없는 ‘나 홀로 사장님’이 422만5000명으로 전체의 74.7%를 차지했다.</x:v>
      </x:c>
      <x:c r="N27" s="444" t="str">
        <x:v>2014년 자영업자 수는 572만명, 1인 자영업자는 413만9000명이었다.</x:v>
      </x:c>
      <x:c r="O27" s="444" t="str">
        <x:v>비율·증감률</x:v>
      </x:c>
      <x:c r="P27" s="444" t="str">
        <x:v>비율·증감률; 인원수</x:v>
      </x:c>
      <x:c r="Q27" s="444" t="str">
        <x:v>[5000, 74.7]</x:v>
      </x:c>
      <x:c r="R27" s="444" t="str">
        <x:v>['명', '%']</x:v>
      </x:c>
      <x:c r="S27" s="444" t="str">
        <x:v>[]</x:v>
      </x:c>
      <x:c r="T27" s="444" t="str">
        <x:v>[]</x:v>
      </x:c>
      <x:c r="U27" s="444" t="str"/>
      <x:c r="V27" s="444" t="str">
        <x:v>101</x:v>
      </x:c>
      <x:c r="W27" s="444" t="str">
        <x:v>DT_1DA7010S</x:v>
      </x:c>
      <x:c r="X27" s="444" t="str">
        <x:v>0</x:v>
      </x:c>
      <x:c r="Y27" s="444" t="str"/>
      <x:c r="Z27" s="444" t="str">
        <x:v>T30</x:v>
      </x:c>
      <x:c r="AA27" s="444" t="str">
        <x:v>Y</x:v>
      </x:c>
      <x:c r="AB27" s="444" t="str"/>
      <x:c r="AC27" s="444" t="str"/>
      <x:c r="AD27" s="444" t="str"/>
      <x:c r="AE27" s="444" t="str"/>
      <x:c r="AF27" s="444" t="str"/>
      <x:c r="AG27" s="444" t="str"/>
      <x:c r="AH27" s="444" t="str"/>
      <x:c r="AI27" s="444" t="str">
        <x:v>[Claude 검토] 통계청 경제활동인구조사(종사상지위별 취업자/자영업자) 매칭, 고용원 없는 자영업자 비율 확인 가능</x:v>
      </x:c>
      <x:c r="AJ27" s="444" t="str">
        <x:v>보류</x:v>
      </x:c>
      <x:c r="AK27" s="444" t="str"/>
      <x:c r="AL27" s="444" t="str"/>
      <x:c r="AM27" s="444" t="str"/>
      <x:c r="AN27" s="444" t="str"/>
      <x:c r="AO27" s="444" t="str"/>
      <x:c r="AP27" s="444" t="str"/>
      <x:c r="AQ27" s="444" t="str"/>
      <x:c r="AR27" s="444" t="str"/>
      <x:c r="AS27" s="444" t="str"/>
      <x:c r="AT27" s="444" t="str"/>
      <x:c r="AU27" s="444" t="str"/>
      <x:c r="AV27" s="444" t="str"/>
      <x:c r="AW27" s="444" t="str">
        <x:v>N/A</x:v>
      </x:c>
      <x:c r="AX27" s="444" t="str"/>
      <x:c r="AY27" s="444" t="str"/>
      <x:c r="AZ27" s="444" t="str"/>
      <x:c r="BA27" s="444" t="str"/>
      <x:c r="BB27" s="444" t="str"/>
      <x:c r="BC27" s="444" t="str"/>
      <x:c r="BD27" s="444" t="str">
        <x:v>Y</x:v>
      </x:c>
      <x:c r="BE27" s="444" t="str"/>
      <x:c r="BF27" s="444" t="str">
        <x:v>101</x:v>
      </x:c>
      <x:c r="BG27" s="444" t="str">
        <x:v>DT_1DA7010S</x:v>
      </x:c>
      <x:c r="BH27" s="444" t="str">
        <x:v>21</x:v>
      </x:c>
      <x:c r="BI27" s="444" t="str"/>
      <x:c r="BJ27" s="444" t="str">
        <x:v>T30</x:v>
      </x:c>
      <x:c r="BK27" s="444" t="str">
        <x:v>Y</x:v>
      </x:c>
      <x:c r="BL27" s="444" t="str">
        <x:v>74.7</x:v>
      </x:c>
      <x:c r="BM27" s="444" t="str">
        <x:v>2024</x:v>
      </x:c>
      <x:c r="BN27" s="444" t="str"/>
      <x:c r="BO27" s="444" t="str">
        <x:v>RATIO</x:v>
      </x:c>
      <x:c r="BP27" s="444" t="str">
        <x:v>일치</x:v>
      </x:c>
      <x:c r="BQ27" s="444" t="str">
        <x:v>2024년 고용원 없는 자영업자 4225.3천명/전체 자영업자 5657.1천명=74.69%로 기사 422만5000명·74.7%와 일치</x:v>
      </x:c>
      <x:c r="BR27" s="444" t="str">
        <x:v>수동확정_고용원없는자영업자비율</x:v>
      </x:c>
      <x:c r="BS27" s="444" t="str">
        <x:v>검증가능</x:v>
      </x:c>
      <x:c r="BT27" s="444" t="str">
        <x:v>N</x:v>
      </x:c>
      <x:c r="BU27" s="444" t="str">
        <x:v>N</x:v>
      </x:c>
      <x:c r="BV27" s="444" t="str">
        <x:v>N</x:v>
      </x:c>
      <x:c r="BW27" s="444" t="str">
        <x:v>N</x:v>
      </x:c>
      <x:c r="BX27" s="444" t="str">
        <x:v>N</x:v>
      </x:c>
      <x:c r="BY27" s="444" t="str">
        <x:v>N</x:v>
      </x:c>
      <x:c r="BZ27" s="444" t="str">
        <x:v>N</x:v>
      </x:c>
      <x:c r="CA27" s="444" t="str">
        <x:v>N</x:v>
      </x:c>
      <x:c r="CB27" s="444" t="str">
        <x:v>N</x:v>
      </x:c>
      <x:c r="CC27" s="444" t="str">
        <x:v>검증가능여부;통계표;항목;시점;주장수치;비교방식;최종판정</x:v>
      </x:c>
      <x:c r="CD27" s="444" t="str">
        <x:v>검증가능 지표를 코드북이 지원하지 않아 보류</x:v>
      </x:c>
    </x:row>
    <x:row r="28" ht="38" customHeight="1">
      <x:c r="A28" s="444" t="str">
        <x:v>27</x:v>
      </x:c>
      <x:c r="B28" s="444" t="str">
        <x:v>고용</x:v>
      </x:c>
      <x:c r="C28" s="444" t="str">
        <x:v>독립층화:수준값재검토</x:v>
      </x:c>
      <x:c r="D28" s="444" t="str">
        <x:v>수준값재검토</x:v>
      </x:c>
      <x:c r="E28" s="444" t="str">
        <x:v>재검토필요_수준값불일치</x:v>
      </x:c>
      <x:c r="F28" s="444" t="str">
        <x:v>outputs\bteam_review\final_verified_filled_2001_remapped_v6.csv</x:v>
      </x:c>
      <x:c r="G28" s="444" t="str">
        <x:v>C07973</x:v>
      </x:c>
      <x:c r="H28" s="444" t="str">
        <x:v>1023</x:v>
      </x:c>
      <x:c r="I28" s="444" t="str">
        <x:v>파월 연준 의장 “관세발 인플레이션 시작”... 성장률 전망 0.4%포인트 낮춰</x:v>
      </x:c>
      <x:c r="J28" s="444" t="str">
        <x:v>2025-03-20</x:v>
      </x:c>
      <x:c r="K28" s="444" t="str">
        <x:v>https://www.chosun.com/economy/economy_general/2025/03/20/KMO7QY33KJF3FMJ5VDC2JZOSEU</x:v>
      </x:c>
      <x:c r="L28" s="444" t="str">
        <x:v>최근 3년(2022~2024년) 동안 2%대 중후반대의 견고한 성장률을 유지해 온 미국 경제가 1%대 성장으로 미끄러질 것이라는 전망이다.</x:v>
      </x:c>
      <x:c r="M28" s="444" t="str">
        <x:v>실업률은 4.3%에서 4.4%로, 물가상승률은 2.5%에서 2.7%로 올렸다.</x:v>
      </x:c>
      <x:c r="N28" s="444" t="str">
        <x:v>뱅크오브아프리카는 이를 두고 “연준의 스태그플레이션(불황인데도 물가가 계속 오르는 현상)에 대한 경계감을 엿볼 수 있다”고 평가했다.</x:v>
      </x:c>
      <x:c r="O28" s="444" t="str">
        <x:v>고용지표</x:v>
      </x:c>
      <x:c r="P28" s="444" t="str">
        <x:v>고용지표; 물가지표; 비율·증감률</x:v>
      </x:c>
      <x:c r="Q28" s="444" t="str">
        <x:v>[4.3, 4.4, 2.5, 2.7]</x:v>
      </x:c>
      <x:c r="R28" s="444" t="str">
        <x:v>['%', '%', '%', '%']</x:v>
      </x:c>
      <x:c r="S28" s="444" t="str">
        <x:v>[]</x:v>
      </x:c>
      <x:c r="T28" s="444" t="str">
        <x:v>[]</x:v>
      </x:c>
      <x:c r="U28" s="444" t="str"/>
      <x:c r="V28" s="444" t="str">
        <x:v>101</x:v>
      </x:c>
      <x:c r="W28" s="444" t="str">
        <x:v>DT_1J22042</x:v>
      </x:c>
      <x:c r="X28" s="444" t="str">
        <x:v>0</x:v>
      </x:c>
      <x:c r="Y28" s="444" t="str"/>
      <x:c r="Z28" s="444" t="str">
        <x:v>T03</x:v>
      </x:c>
      <x:c r="AA28" s="444" t="str">
        <x:v>Y</x:v>
      </x:c>
      <x:c r="AB28" s="444" t="str">
        <x:v>ABS_TO_ABS</x:v>
      </x:c>
      <x:c r="AC28" s="444" t="str">
        <x:v>2.7</x:v>
      </x:c>
      <x:c r="AD28" s="444" t="str">
        <x:v>202606</x:v>
      </x:c>
      <x:c r="AE28" s="444" t="str">
        <x:v>202605</x:v>
      </x:c>
      <x:c r="AF28" s="444" t="str">
        <x:v>3.2</x:v>
      </x:c>
      <x:c r="AG28" s="444" t="str">
        <x:v>불일치</x:v>
      </x:c>
      <x:c r="AH28" s="444" t="str"/>
      <x:c r="AI28" s="444" t="str">
        <x:v>소비자물가 등락률 후보 선택. 지역/품목/월별 코드 확인 필요 | obj_l1/itm_id 자동 후보 입력</x:v>
      </x:c>
      <x:c r="AJ28" s="444" t="str">
        <x:v>보류</x:v>
      </x:c>
      <x:c r="AK28" s="444" t="str"/>
      <x:c r="AL28" s="444" t="str"/>
      <x:c r="AM28" s="444" t="str"/>
      <x:c r="AN28" s="444" t="str"/>
      <x:c r="AO28" s="444" t="str"/>
      <x:c r="AP28" s="444" t="str"/>
      <x:c r="AQ28" s="444" t="str"/>
      <x:c r="AR28" s="444" t="str"/>
      <x:c r="AS28" s="444" t="str"/>
      <x:c r="AT28" s="444" t="str"/>
      <x:c r="AU28" s="444" t="str"/>
      <x:c r="AV28" s="444" t="str"/>
      <x:c r="AW28" s="444" t="str">
        <x:v>N/A</x:v>
      </x:c>
      <x:c r="AX28" s="444" t="str"/>
      <x:c r="AY28" s="444" t="str"/>
      <x:c r="AZ28" s="444" t="str"/>
      <x:c r="BA28" s="444" t="str"/>
      <x:c r="BB28" s="444" t="str"/>
      <x:c r="BC28" s="444" t="str"/>
      <x:c r="BD28" s="444" t="str">
        <x:v>N</x:v>
      </x:c>
      <x:c r="BE28" s="444" t="str">
        <x:v>KOSIS 미제공</x:v>
      </x:c>
      <x:c r="BF28" s="444" t="str"/>
      <x:c r="BG28" s="444" t="str"/>
      <x:c r="BH28" s="444" t="str"/>
      <x:c r="BI28" s="444" t="str"/>
      <x:c r="BJ28" s="444" t="str"/>
      <x:c r="BK28" s="444" t="str"/>
      <x:c r="BL28" s="444" t="str"/>
      <x:c r="BM28" s="444" t="str"/>
      <x:c r="BN28" s="444" t="str"/>
      <x:c r="BO28" s="444" t="str"/>
      <x:c r="BP28" s="444" t="str"/>
      <x:c r="BQ28" s="444" t="str">
        <x:v>미국 연준의 실업률·물가 전망치 조정으로 KOSIS 국내 고용통계의 실제 관측값이 아님</x:v>
      </x:c>
      <x:c r="BR28" s="444" t="str">
        <x:v>수동확정_검증불가</x:v>
      </x:c>
      <x:c r="BS28" s="444" t="str">
        <x:v>검증불가</x:v>
      </x:c>
      <x:c r="BT28" s="444" t="str">
        <x:v>N</x:v>
      </x:c>
      <x:c r="BU28" s="444" t="str">
        <x:v>N/A</x:v>
      </x:c>
      <x:c r="BV28" s="444" t="str">
        <x:v>N/A</x:v>
      </x:c>
      <x:c r="BW28" s="444" t="str">
        <x:v>N/A</x:v>
      </x:c>
      <x:c r="BX28" s="444" t="str">
        <x:v>N/A</x:v>
      </x:c>
      <x:c r="BY28" s="444" t="str">
        <x:v>N/A</x:v>
      </x:c>
      <x:c r="BZ28" s="444" t="str">
        <x:v>N/A</x:v>
      </x:c>
      <x:c r="CA28" s="444" t="str">
        <x:v>N/A</x:v>
      </x:c>
      <x:c r="CB28" s="444" t="str">
        <x:v>N/A</x:v>
      </x:c>
      <x:c r="CC28" s="444" t="str">
        <x:v>검증가능여부</x:v>
      </x:c>
      <x:c r="CD28" s="444" t="str">
        <x:v>검증불가 사유를 자동 분류하지 못해 보류</x:v>
      </x:c>
    </x:row>
    <x:row r="29" ht="38" customHeight="1">
      <x:c r="A29" s="444" t="str">
        <x:v>28</x:v>
      </x:c>
      <x:c r="B29" s="444" t="str">
        <x:v>고용</x:v>
      </x:c>
      <x:c r="C29" s="444" t="str">
        <x:v>독립층화:증감률재검토</x:v>
      </x:c>
      <x:c r="D29" s="444" t="str">
        <x:v>증감률재검토</x:v>
      </x:c>
      <x:c r="E29" s="444" t="str">
        <x:v>재검토필요_증감률불일치</x:v>
      </x:c>
      <x:c r="F29" s="444" t="str">
        <x:v>outputs\bteam_review\final_verified_filled_2001_remapped_v6.csv</x:v>
      </x:c>
      <x:c r="G29" s="444" t="str">
        <x:v>C07974</x:v>
      </x:c>
      <x:c r="H29" s="444" t="str">
        <x:v>1023</x:v>
      </x:c>
      <x:c r="I29" s="444" t="str">
        <x:v>파월 연준 의장 “관세발 인플레이션 시작”... 성장률 전망 0.4%포인트 낮춰</x:v>
      </x:c>
      <x:c r="J29" s="444" t="str">
        <x:v>2025-03-20</x:v>
      </x:c>
      <x:c r="K29" s="444" t="str">
        <x:v>https://www.chosun.com/economy/economy_general/2025/03/20/KMO7QY33KJF3FMJ5VDC2JZOSEU</x:v>
      </x:c>
      <x:c r="L29" s="444" t="str">
        <x:v>다만 파월은 스태그플레이션 가능성에는 선을 그었다.</x:v>
      </x:c>
      <x:c r="M29" s="444" t="str">
        <x:v>1970년대식 스태그플레이션 가능성에 대한 질문에 “현재 우리는 실업률이 완전고용에 근접한 4.1%를 유지하는 동안에도 인플레이션이 높은 수준에서 2%에 가깝게 둔화하는 상황에 있다”며 “우리가 (1970년대의)그런 상황과 비교할 만한 상황에 직면했다고 보진 않는다”라고 했다.</x:v>
      </x:c>
      <x:c r="N29" s="444" t="str">
        <x:v>◇“연내 금리 2번 인하 전망 유지” 이날 FOMC는 연내 2차례 기준금리를 인하할 것 같다는 기존 전망을 유지했다.</x:v>
      </x:c>
      <x:c r="O29" s="444" t="str">
        <x:v>고용지표</x:v>
      </x:c>
      <x:c r="P29" s="444" t="str">
        <x:v>고용지표; 물가지표; 비율·증감률; 날짜·시간</x:v>
      </x:c>
      <x:c r="Q29" s="444" t="str">
        <x:v>[1970, 4.1, 2, 1970]</x:v>
      </x:c>
      <x:c r="R29" s="444" t="str">
        <x:v>['년', '%', '%', '년']</x:v>
      </x:c>
      <x:c r="S29" s="444" t="str">
        <x:v>['1970', '1970']</x:v>
      </x:c>
      <x:c r="T29" s="444" t="str">
        <x:v>[]</x:v>
      </x:c>
      <x:c r="U29" s="444" t="str"/>
      <x:c r="V29" s="444" t="str">
        <x:v>101</x:v>
      </x:c>
      <x:c r="W29" s="444" t="str">
        <x:v>DT_1DA7001S</x:v>
      </x:c>
      <x:c r="X29" s="444" t="str">
        <x:v>0</x:v>
      </x:c>
      <x:c r="Y29" s="444" t="str"/>
      <x:c r="Z29" s="444" t="str">
        <x:v>T80</x:v>
      </x:c>
      <x:c r="AA29" s="444" t="str">
        <x:v>Y</x:v>
      </x:c>
      <x:c r="AB29" s="444" t="str">
        <x:v>CHANGE_RATE</x:v>
      </x:c>
      <x:c r="AC29" s="444" t="str">
        <x:v>2</x:v>
      </x:c>
      <x:c r="AD29" s="444" t="str">
        <x:v>2025</x:v>
      </x:c>
      <x:c r="AE29" s="444" t="str">
        <x:v>2024</x:v>
      </x:c>
      <x:c r="AF29" s="444" t="str">
        <x:v>0</x:v>
      </x:c>
      <x:c r="AG29" s="444" t="str">
        <x:v>불일치</x:v>
      </x:c>
      <x:c r="AH29" s="444" t="str"/>
      <x:c r="AI29" s="444" t="str">
        <x:v>경제활동인구 총괄 후보 선택. 실업률/실업자 항목 확인 필요 | obj_l1/itm_id 자동 후보 입력</x:v>
      </x:c>
      <x:c r="AJ29" s="444" t="str">
        <x:v>검증불가</x:v>
      </x:c>
      <x:c r="AK29" s="444" t="str">
        <x:v>정보 부족</x:v>
      </x:c>
      <x:c r="AL29" s="444" t="str"/>
      <x:c r="AM29" s="444" t="str"/>
      <x:c r="AN29" s="444" t="str"/>
      <x:c r="AO29" s="444" t="str"/>
      <x:c r="AP29" s="444" t="str"/>
      <x:c r="AQ29" s="444" t="str"/>
      <x:c r="AR29" s="444" t="str"/>
      <x:c r="AS29" s="444" t="str"/>
      <x:c r="AT29" s="444" t="str"/>
      <x:c r="AU29" s="444" t="str"/>
      <x:c r="AV29" s="444" t="str"/>
      <x:c r="AW29" s="444" t="str">
        <x:v>N/A</x:v>
      </x:c>
      <x:c r="AX29" s="444" t="str"/>
      <x:c r="AY29" s="444" t="str"/>
      <x:c r="AZ29" s="444" t="str"/>
      <x:c r="BA29" s="444" t="str"/>
      <x:c r="BB29" s="444" t="str">
        <x:v>판단불가</x:v>
      </x:c>
      <x:c r="BC29" s="444" t="str">
        <x:v>관측 실적이 아닌 전망·목표 문장</x:v>
      </x:c>
      <x:c r="BD29" s="444" t="str">
        <x:v>N</x:v>
      </x:c>
      <x:c r="BE29" s="444" t="str">
        <x:v>KOSIS 미제공</x:v>
      </x:c>
      <x:c r="BF29" s="444" t="str"/>
      <x:c r="BG29" s="444" t="str"/>
      <x:c r="BH29" s="444" t="str"/>
      <x:c r="BI29" s="444" t="str"/>
      <x:c r="BJ29" s="444" t="str"/>
      <x:c r="BK29" s="444" t="str"/>
      <x:c r="BL29" s="444" t="str"/>
      <x:c r="BM29" s="444" t="str"/>
      <x:c r="BN29" s="444" t="str"/>
      <x:c r="BO29" s="444" t="str"/>
      <x:c r="BP29" s="444" t="str"/>
      <x:c r="BQ29" s="444" t="str">
        <x:v>미국 실업률과 물가에 관한 연준 설명으로 KOSIS 국내 통계의 관측값이 아님</x:v>
      </x:c>
      <x:c r="BR29" s="444" t="str">
        <x:v>수동확정_검증불가</x:v>
      </x:c>
      <x:c r="BS29" s="444" t="str">
        <x:v>검증불가</x:v>
      </x:c>
      <x:c r="BT29" s="444" t="str">
        <x:v>Y</x:v>
      </x:c>
      <x:c r="BU29" s="444" t="str">
        <x:v>N/A</x:v>
      </x:c>
      <x:c r="BV29" s="444" t="str">
        <x:v>N/A</x:v>
      </x:c>
      <x:c r="BW29" s="444" t="str">
        <x:v>N/A</x:v>
      </x:c>
      <x:c r="BX29" s="444" t="str">
        <x:v>N/A</x:v>
      </x:c>
      <x:c r="BY29" s="444" t="str">
        <x:v>N/A</x:v>
      </x:c>
      <x:c r="BZ29" s="444" t="str">
        <x:v>N/A</x:v>
      </x:c>
      <x:c r="CA29" s="444" t="str">
        <x:v>N/A</x:v>
      </x:c>
      <x:c r="CB29" s="444" t="str">
        <x:v>N/A</x:v>
      </x:c>
      <x:c r="CC29" s="444" t="str"/>
      <x:c r="CD29" s="444" t="str"/>
    </x:row>
    <x:row r="30" ht="38" customHeight="1">
      <x:c r="A30" s="444" t="str">
        <x:v>29</x:v>
      </x:c>
      <x:c r="B30" s="444" t="str">
        <x:v>고용</x:v>
      </x:c>
      <x:c r="C30" s="444" t="str">
        <x:v>독립층화:수준값재검토</x:v>
      </x:c>
      <x:c r="D30" s="444" t="str">
        <x:v>수준값재검토</x:v>
      </x:c>
      <x:c r="E30" s="444" t="str">
        <x:v>재검토필요_수준값불일치</x:v>
      </x:c>
      <x:c r="F30" s="444" t="str">
        <x:v>outputs\bteam_review\final_verified_filled_2001_remapped_v6.csv</x:v>
      </x:c>
      <x:c r="G30" s="444" t="str">
        <x:v>C08764</x:v>
      </x:c>
      <x:c r="H30" s="444" t="str">
        <x:v>1131</x:v>
      </x:c>
      <x:c r="I30" s="444" t="str">
        <x:v>연봉 7000만원 생산직 vs 연봉 3000만원 사무직… Z세대 선택은?</x:v>
      </x:c>
      <x:c r="J30" s="444" t="str">
        <x:v>2025-03-28</x:v>
      </x:c>
      <x:c r="K30" s="444" t="str">
        <x:v>https://www.chosun.com/economy/economy_general/2025/03/28/VQLBFS7H5JEYVJ6EEIVDB526JQ</x:v>
      </x:c>
      <x:c r="L30" s="444" t="str">
        <x:v>이어 ‘사회적으로 인정받기 어려워서(15%)’, ‘노동에 비해 급여가 적어서(11%)’, ‘성장 기회가 적어서(11%)’라는 의견도 확인됐다.</x:v>
      </x:c>
      <x:c r="M30" s="444" t="str">
        <x:v>Z세대 구직자가 관심 있는 기술직 업종으로는 ‘IT‧배터리‧반도체(29%)’와 ‘자동차‧조선‧항공(29%)’이 나란히 1위를 차지했다.</x:v>
      </x:c>
      <x:c r="N30" s="444" t="str">
        <x:v>이어 ‘전기‧전자(16%)’, ‘미용‧요리‧제과제빵(15%)’, ‘건설‧토목‧인테리어(8%)’ 순으로 나타났다.</x:v>
      </x:c>
      <x:c r="O30" s="444" t="str">
        <x:v>고용지표</x:v>
      </x:c>
      <x:c r="P30" s="444" t="str">
        <x:v>고용지표; 비율·증감률</x:v>
      </x:c>
      <x:c r="Q30" s="444" t="str">
        <x:v>[29, 29]</x:v>
      </x:c>
      <x:c r="R30" s="444" t="str">
        <x:v>['%', '%']</x:v>
      </x:c>
      <x:c r="S30" s="444" t="str">
        <x:v>[]</x:v>
      </x:c>
      <x:c r="T30" s="444" t="str">
        <x:v>[]</x:v>
      </x:c>
      <x:c r="U30" s="444" t="str"/>
      <x:c r="V30" s="444" t="str">
        <x:v>101</x:v>
      </x:c>
      <x:c r="W30" s="444" t="str">
        <x:v>DT_1DA7001S</x:v>
      </x:c>
      <x:c r="X30" s="444" t="str">
        <x:v>0</x:v>
      </x:c>
      <x:c r="Y30" s="444" t="str"/>
      <x:c r="Z30" s="444" t="str">
        <x:v>T30</x:v>
      </x:c>
      <x:c r="AA30" s="444" t="str">
        <x:v>Y</x:v>
      </x:c>
      <x:c r="AB30" s="444" t="str">
        <x:v>LEVEL</x:v>
      </x:c>
      <x:c r="AC30" s="444" t="str">
        <x:v>29</x:v>
      </x:c>
      <x:c r="AD30" s="444" t="str">
        <x:v>2025</x:v>
      </x:c>
      <x:c r="AE30" s="444" t="str">
        <x:v>2024</x:v>
      </x:c>
      <x:c r="AF30" s="444" t="str">
        <x:v>28768.9</x:v>
      </x:c>
      <x:c r="AG30" s="444" t="str">
        <x:v>불일치</x:v>
      </x:c>
      <x:c r="AH30" s="444" t="str"/>
      <x:c r="AI30" s="444" t="str">
        <x:v>경제활동인구 총괄 취업자 후보 선택. 성별/취업자 항목 확인 필요 | obj_l1/itm_id 자동 후보 입력</x:v>
      </x:c>
      <x:c r="AJ30" s="444" t="str">
        <x:v>보류</x:v>
      </x:c>
      <x:c r="AK30" s="444" t="str"/>
      <x:c r="AL30" s="444" t="str"/>
      <x:c r="AM30" s="444" t="str"/>
      <x:c r="AN30" s="444" t="str"/>
      <x:c r="AO30" s="444" t="str"/>
      <x:c r="AP30" s="444" t="str"/>
      <x:c r="AQ30" s="444" t="str"/>
      <x:c r="AR30" s="444" t="str"/>
      <x:c r="AS30" s="444" t="str"/>
      <x:c r="AT30" s="444" t="str"/>
      <x:c r="AU30" s="444" t="str"/>
      <x:c r="AV30" s="444" t="str"/>
      <x:c r="AW30" s="444" t="str">
        <x:v>N/A</x:v>
      </x:c>
      <x:c r="AX30" s="444" t="str"/>
      <x:c r="AY30" s="444" t="str"/>
      <x:c r="AZ30" s="444" t="str"/>
      <x:c r="BA30" s="444" t="str"/>
      <x:c r="BB30" s="444" t="str"/>
      <x:c r="BC30" s="444" t="str"/>
      <x:c r="BD30" s="444" t="str">
        <x:v>N</x:v>
      </x:c>
      <x:c r="BE30" s="444" t="str">
        <x:v>KOSIS 미제공</x:v>
      </x:c>
      <x:c r="BF30" s="444" t="str"/>
      <x:c r="BG30" s="444" t="str"/>
      <x:c r="BH30" s="444" t="str"/>
      <x:c r="BI30" s="444" t="str"/>
      <x:c r="BJ30" s="444" t="str"/>
      <x:c r="BK30" s="444" t="str"/>
      <x:c r="BL30" s="444" t="str"/>
      <x:c r="BM30" s="444" t="str"/>
      <x:c r="BN30" s="444" t="str"/>
      <x:c r="BO30" s="444" t="str"/>
      <x:c r="BP30" s="444" t="str"/>
      <x:c r="BQ30" s="444" t="str">
        <x:v>Z세대 구직자 대상 민간 선호도 조사로 KOSIS 공식 고용통계에서 동일 설문문항을 제공하지 않음</x:v>
      </x:c>
      <x:c r="BR30" s="444" t="str">
        <x:v>수동확정_검증불가</x:v>
      </x:c>
      <x:c r="BS30" s="444" t="str">
        <x:v>검증불가</x:v>
      </x:c>
      <x:c r="BT30" s="444" t="str">
        <x:v>N</x:v>
      </x:c>
      <x:c r="BU30" s="444" t="str">
        <x:v>N/A</x:v>
      </x:c>
      <x:c r="BV30" s="444" t="str">
        <x:v>N/A</x:v>
      </x:c>
      <x:c r="BW30" s="444" t="str">
        <x:v>N/A</x:v>
      </x:c>
      <x:c r="BX30" s="444" t="str">
        <x:v>N/A</x:v>
      </x:c>
      <x:c r="BY30" s="444" t="str">
        <x:v>N/A</x:v>
      </x:c>
      <x:c r="BZ30" s="444" t="str">
        <x:v>N/A</x:v>
      </x:c>
      <x:c r="CA30" s="444" t="str">
        <x:v>N/A</x:v>
      </x:c>
      <x:c r="CB30" s="444" t="str">
        <x:v>N/A</x:v>
      </x:c>
      <x:c r="CC30" s="444" t="str">
        <x:v>검증가능여부</x:v>
      </x:c>
      <x:c r="CD30" s="444" t="str">
        <x:v>검증불가 사유를 자동 분류하지 못해 보류</x:v>
      </x:c>
    </x:row>
    <x:row r="31" ht="38" customHeight="1">
      <x:c r="A31" s="444" t="str">
        <x:v>30</x:v>
      </x:c>
      <x:c r="B31" s="444" t="str">
        <x:v>고용</x:v>
      </x:c>
      <x:c r="C31" s="444" t="str">
        <x:v>독립층화:증감률재검토</x:v>
      </x:c>
      <x:c r="D31" s="444" t="str">
        <x:v>증감률재검토</x:v>
      </x:c>
      <x:c r="E31" s="444" t="str">
        <x:v>재검토필요_증감률불일치</x:v>
      </x:c>
      <x:c r="F31" s="444" t="str">
        <x:v>outputs\bteam_review\final_verified_filled_2001_remapped_v6.csv</x:v>
      </x:c>
      <x:c r="G31" s="444" t="str">
        <x:v>C10535</x:v>
      </x:c>
      <x:c r="H31" s="444" t="str">
        <x:v>1359</x:v>
      </x:c>
      <x:c r="I31" s="444" t="str">
        <x:v>25~34세 청년 취업자 1분기 3만명 넘게 줄어… 4년 만에 감소세 전환</x:v>
      </x:c>
      <x:c r="J31" s="444" t="str">
        <x:v>2025-04-15</x:v>
      </x:c>
      <x:c r="K31" s="444" t="str">
        <x:v>https://www.chosun.com/economy/economy_general/2025/04/15/POL2G36SVVA2TKNC5BVLK52A44</x:v>
      </x:c>
      <x:c r="L31" s="444" t="str">
        <x:v>20대 후반(25~29세) 청년으로 좁히면 취업자가 10만명 가까이 줄며, 12년 만에 최대 감소 폭을 보였다.</x:v>
      </x:c>
      <x:c r="M31" s="444" t="str">
        <x:v>14일 통계청은 1분기 25~34세 청년층 취업자 수는 528만8000명으로 전년 동기(532만4000명)보다 3만6000명(0.7%) 줄었다고 밝혔다.</x:v>
      </x:c>
      <x:c r="N31" s="444" t="str">
        <x:v>25~34세는 본격적으로 사회에 진출하는 시기로, 다른 연령대보다 취업 의욕이 높다.</x:v>
      </x:c>
      <x:c r="O31" s="444" t="str">
        <x:v>고용지표</x:v>
      </x:c>
      <x:c r="P31" s="444" t="str">
        <x:v>고용지표; 비율·증감률; 인원수; 날짜·시간</x:v>
      </x:c>
      <x:c r="Q31" s="444" t="str">
        <x:v>[14, 1, 8000, 4000, 6000, 0.7]</x:v>
      </x:c>
      <x:c r="R31" s="444" t="str">
        <x:v>['일', '분', '명', '명', '명', '%']</x:v>
      </x:c>
      <x:c r="S31" s="444" t="str">
        <x:v>[]</x:v>
      </x:c>
      <x:c r="T31" s="444" t="str">
        <x:v>[]</x:v>
      </x:c>
      <x:c r="U31" s="444" t="str">
        <x:v>청년층</x:v>
      </x:c>
      <x:c r="V31" s="444" t="str">
        <x:v>101</x:v>
      </x:c>
      <x:c r="W31" s="444" t="str">
        <x:v>DT_1DA7002S</x:v>
      </x:c>
      <x:c r="X31" s="444" t="str">
        <x:v>75</x:v>
      </x:c>
      <x:c r="Y31" s="444" t="str"/>
      <x:c r="Z31" s="444" t="str">
        <x:v>T30</x:v>
      </x:c>
      <x:c r="AA31" s="444" t="str">
        <x:v>Q</x:v>
      </x:c>
      <x:c r="AB31" s="444" t="str">
        <x:v>CHANGE_RATE</x:v>
      </x:c>
      <x:c r="AC31" s="444" t="str">
        <x:v>0.7</x:v>
      </x:c>
      <x:c r="AD31" s="444" t="str">
        <x:v>202401</x:v>
      </x:c>
      <x:c r="AE31" s="444" t="str">
        <x:v>202301</x:v>
      </x:c>
      <x:c r="AF31" s="444" t="str">
        <x:v>-2.372323746</x:v>
      </x:c>
      <x:c r="AG31" s="444" t="str">
        <x:v>불일치</x:v>
      </x:c>
      <x:c r="AH31" s="444" t="str"/>
      <x:c r="AI31" s="444" t="str">
        <x:v>연령별 취업자 후보 선택. 연령/취업자 항목 확인 필요 | obj_l1/itm_id 자동 후보 입력</x:v>
      </x:c>
      <x:c r="AJ31" s="444" t="str">
        <x:v>보류</x:v>
      </x:c>
      <x:c r="AK31" s="444" t="str"/>
      <x:c r="AL31" s="444" t="str"/>
      <x:c r="AM31" s="444" t="str"/>
      <x:c r="AN31" s="444" t="str"/>
      <x:c r="AO31" s="444" t="str"/>
      <x:c r="AP31" s="444" t="str"/>
      <x:c r="AQ31" s="444" t="str"/>
      <x:c r="AR31" s="444" t="str"/>
      <x:c r="AS31" s="444" t="str"/>
      <x:c r="AT31" s="444" t="str"/>
      <x:c r="AU31" s="444" t="str"/>
      <x:c r="AV31" s="444" t="str"/>
      <x:c r="AW31" s="444" t="str">
        <x:v>N/A</x:v>
      </x:c>
      <x:c r="AX31" s="444" t="str"/>
      <x:c r="AY31" s="444" t="str"/>
      <x:c r="AZ31" s="444" t="str"/>
      <x:c r="BA31" s="444" t="str"/>
      <x:c r="BB31" s="444" t="str"/>
      <x:c r="BC31" s="444" t="str"/>
      <x:c r="BD31" s="444" t="str">
        <x:v>Y</x:v>
      </x:c>
      <x:c r="BE31" s="444" t="str"/>
      <x:c r="BF31" s="444" t="str">
        <x:v>101</x:v>
      </x:c>
      <x:c r="BG31" s="444" t="str">
        <x:v>DT_1DA7002S</x:v>
      </x:c>
      <x:c r="BH31" s="444" t="str">
        <x:v>202+301</x:v>
      </x:c>
      <x:c r="BI31" s="444" t="str"/>
      <x:c r="BJ31" s="444" t="str">
        <x:v>T30</x:v>
      </x:c>
      <x:c r="BK31" s="444" t="str">
        <x:v>Q</x:v>
      </x:c>
      <x:c r="BL31" s="444" t="str">
        <x:v>-0.7</x:v>
      </x:c>
      <x:c r="BM31" s="444" t="str">
        <x:v>202501</x:v>
      </x:c>
      <x:c r="BN31" s="444" t="str">
        <x:v>202401</x:v>
      </x:c>
      <x:c r="BO31" s="444" t="str">
        <x:v>SUM_CATEGORIES_CHANGE_RATE</x:v>
      </x:c>
      <x:c r="BP31" s="444" t="str">
        <x:v>일치</x:v>
      </x:c>
      <x:c r="BQ31" s="444" t="str">
        <x:v>25~29세와 30~34세 합계가 202501=2420.1+2867.9=5288.0천명, 202401=2517.9+2806.1=5324.0천명으로 36.0천명·0.676% 감소해 기사 -0.7%와 일치</x:v>
      </x:c>
      <x:c r="BR31" s="444" t="str">
        <x:v>수동확정_연령구간합산</x:v>
      </x:c>
      <x:c r="BS31" s="444" t="str">
        <x:v>검증가능</x:v>
      </x:c>
      <x:c r="BT31" s="444" t="str">
        <x:v>N</x:v>
      </x:c>
      <x:c r="BU31" s="444" t="str">
        <x:v>N</x:v>
      </x:c>
      <x:c r="BV31" s="444" t="str">
        <x:v>N</x:v>
      </x:c>
      <x:c r="BW31" s="444" t="str">
        <x:v>N</x:v>
      </x:c>
      <x:c r="BX31" s="444" t="str">
        <x:v>N</x:v>
      </x:c>
      <x:c r="BY31" s="444" t="str">
        <x:v>N</x:v>
      </x:c>
      <x:c r="BZ31" s="444" t="str">
        <x:v>N</x:v>
      </x:c>
      <x:c r="CA31" s="444" t="str">
        <x:v>N</x:v>
      </x:c>
      <x:c r="CB31" s="444" t="str">
        <x:v>N</x:v>
      </x:c>
      <x:c r="CC31" s="444" t="str">
        <x:v>검증가능여부;통계표;항목;시점;주장수치;비교방식;최종판정</x:v>
      </x:c>
      <x:c r="CD31" s="444" t="str">
        <x:v>검증가능 지표를 코드북이 지원하지 않아 보류</x:v>
      </x:c>
    </x:row>
    <x:row r="32" ht="38" customHeight="1">
      <x:c r="A32" s="444" t="str">
        <x:v>31</x:v>
      </x:c>
      <x:c r="B32" s="444" t="str">
        <x:v>고용</x:v>
      </x:c>
      <x:c r="C32" s="444" t="str">
        <x:v>독립층화:증감률재검토</x:v>
      </x:c>
      <x:c r="D32" s="444" t="str">
        <x:v>증감률재검토</x:v>
      </x:c>
      <x:c r="E32" s="444" t="str">
        <x:v>재검토필요_증감률불일치</x:v>
      </x:c>
      <x:c r="F32" s="444" t="str">
        <x:v>outputs\bteam_review\final_verified_filled_2001_remapped_v6.csv</x:v>
      </x:c>
      <x:c r="G32" s="444" t="str">
        <x:v>C10540</x:v>
      </x:c>
      <x:c r="H32" s="444" t="str">
        <x:v>1359</x:v>
      </x:c>
      <x:c r="I32" s="444" t="str">
        <x:v>25~34세 청년 취업자 1분기 3만명 넘게 줄어… 4년 만에 감소세 전환</x:v>
      </x:c>
      <x:c r="J32" s="444" t="str">
        <x:v>2025-04-15</x:v>
      </x:c>
      <x:c r="K32" s="444" t="str">
        <x:v>https://www.chosun.com/economy/economy_general/2025/04/15/POL2G36SVVA2TKNC5BVLK52A44</x:v>
      </x:c>
      <x:c r="L32" s="444" t="str">
        <x:v>청년 진출이 활발한 제조업과 건설업 등에서 고용이 크게 줄어든 영향이 컸다.</x:v>
      </x:c>
      <x:c r="M32" s="444" t="str">
        <x:v>지난달 제조업 취업자는 전년 동월 대비 11만2000명 줄며 4년 4개월 만에 최대 감소 폭을 기록했고, 건설업 취업자는 18만5000명 급감하면서 2013년 관련 통계 집계 이래 최대 감소 폭을 보였다.</x:v>
      </x:c>
      <x:c r="N32" s="444" t="str">
        <x:v>주요 기업이 경력직 채용을 늘린 것도 청년 고용 위축으로 이어졌다.</x:v>
      </x:c>
      <x:c r="O32" s="444" t="str">
        <x:v>고용지표</x:v>
      </x:c>
      <x:c r="P32" s="444" t="str">
        <x:v>고용지표; 인원수; 건수·개수; 날짜·시간</x:v>
      </x:c>
      <x:c r="Q32" s="444" t="str">
        <x:v>[2000, 4, 4, 5000, 2013]</x:v>
      </x:c>
      <x:c r="R32" s="444" t="str">
        <x:v>['명', '년', '개', '명', '년']</x:v>
      </x:c>
      <x:c r="S32" s="444" t="str">
        <x:v>['2013']</x:v>
      </x:c>
      <x:c r="T32" s="444" t="str">
        <x:v>[]</x:v>
      </x:c>
      <x:c r="U32" s="444" t="str"/>
      <x:c r="V32" s="444" t="str">
        <x:v>101</x:v>
      </x:c>
      <x:c r="W32" s="444" t="str">
        <x:v>DT_1DA7002S</x:v>
      </x:c>
      <x:c r="X32" s="444" t="str">
        <x:v>75</x:v>
      </x:c>
      <x:c r="Y32" s="444" t="str"/>
      <x:c r="Z32" s="444" t="str">
        <x:v>T30</x:v>
      </x:c>
      <x:c r="AA32" s="444" t="str">
        <x:v>M</x:v>
      </x:c>
      <x:c r="AB32" s="444" t="str">
        <x:v>CHANGE_RATE</x:v>
      </x:c>
      <x:c r="AC32" s="444" t="str">
        <x:v>5000</x:v>
      </x:c>
      <x:c r="AD32" s="444" t="str">
        <x:v>202403</x:v>
      </x:c>
      <x:c r="AE32" s="444" t="str">
        <x:v>202303</x:v>
      </x:c>
      <x:c r="AF32" s="444" t="str">
        <x:v>-3.363194267</x:v>
      </x:c>
      <x:c r="AG32" s="444" t="str">
        <x:v>불일치</x:v>
      </x:c>
      <x:c r="AH32" s="444" t="str"/>
      <x:c r="AI32" s="444" t="str">
        <x:v>연령별 취업자 후보 선택. 연령/취업자 항목 확인 필요 | obj_l1/itm_id 자동 후보 입력</x:v>
      </x:c>
      <x:c r="AJ32" s="444" t="str">
        <x:v>보류</x:v>
      </x:c>
      <x:c r="AK32" s="444" t="str"/>
      <x:c r="AL32" s="444" t="str"/>
      <x:c r="AM32" s="444" t="str"/>
      <x:c r="AN32" s="444" t="str"/>
      <x:c r="AO32" s="444" t="str"/>
      <x:c r="AP32" s="444" t="str"/>
      <x:c r="AQ32" s="444" t="str"/>
      <x:c r="AR32" s="444" t="str"/>
      <x:c r="AS32" s="444" t="str"/>
      <x:c r="AT32" s="444" t="str"/>
      <x:c r="AU32" s="444" t="str"/>
      <x:c r="AV32" s="444" t="str"/>
      <x:c r="AW32" s="444" t="str">
        <x:v>N/A</x:v>
      </x:c>
      <x:c r="AX32" s="444" t="str"/>
      <x:c r="AY32" s="444" t="str"/>
      <x:c r="AZ32" s="444" t="str"/>
      <x:c r="BA32" s="444" t="str"/>
      <x:c r="BB32" s="444" t="str"/>
      <x:c r="BC32" s="444" t="str"/>
      <x:c r="BD32" s="444" t="str">
        <x:v>Y</x:v>
      </x:c>
      <x:c r="BE32" s="444" t="str"/>
      <x:c r="BF32" s="444" t="str">
        <x:v>101</x:v>
      </x:c>
      <x:c r="BG32" s="444" t="str">
        <x:v>DT_1DA7E06S_NEW</x:v>
      </x:c>
      <x:c r="BH32" s="444" t="str">
        <x:v>10</x:v>
      </x:c>
      <x:c r="BI32" s="444" t="str"/>
      <x:c r="BJ32" s="444" t="str">
        <x:v>T30</x:v>
      </x:c>
      <x:c r="BK32" s="444" t="str">
        <x:v>M</x:v>
      </x:c>
      <x:c r="BL32" s="444" t="str">
        <x:v>-112</x:v>
      </x:c>
      <x:c r="BM32" s="444" t="str">
        <x:v>202503</x:v>
      </x:c>
      <x:c r="BN32" s="444" t="str">
        <x:v>202403</x:v>
      </x:c>
      <x:c r="BO32" s="444" t="str">
        <x:v>POINT_CHANGE</x:v>
      </x:c>
      <x:c r="BP32" s="444" t="str">
        <x:v>일치</x:v>
      </x:c>
      <x:c r="BQ32" s="444" t="str">
        <x:v>제조업 취업자 202503=4399.3천명, 202403=4511.7천명으로 112.4천명 감소해 기사 11만2000명 감소와 일치; 건설업도 184.8천명 감소로 18만5000명과 일치</x:v>
      </x:c>
      <x:c r="BR32" s="444" t="str">
        <x:v>수동확정_산업별취업자재매핑</x:v>
      </x:c>
      <x:c r="BS32" s="444" t="str">
        <x:v>검증가능</x:v>
      </x:c>
      <x:c r="BT32" s="444" t="str">
        <x:v>N</x:v>
      </x:c>
      <x:c r="BU32" s="444" t="str">
        <x:v>N</x:v>
      </x:c>
      <x:c r="BV32" s="444" t="str">
        <x:v>N</x:v>
      </x:c>
      <x:c r="BW32" s="444" t="str">
        <x:v>N</x:v>
      </x:c>
      <x:c r="BX32" s="444" t="str">
        <x:v>N</x:v>
      </x:c>
      <x:c r="BY32" s="444" t="str">
        <x:v>N</x:v>
      </x:c>
      <x:c r="BZ32" s="444" t="str">
        <x:v>N</x:v>
      </x:c>
      <x:c r="CA32" s="444" t="str">
        <x:v>N</x:v>
      </x:c>
      <x:c r="CB32" s="444" t="str">
        <x:v>N</x:v>
      </x:c>
      <x:c r="CC32" s="444" t="str">
        <x:v>검증가능여부;통계표;항목;시점;주장수치;비교방식;최종판정</x:v>
      </x:c>
      <x:c r="CD32" s="444" t="str">
        <x:v>검증가능 지표를 코드북이 지원하지 않아 보류</x:v>
      </x:c>
    </x:row>
    <x:row r="33" ht="38" customHeight="1">
      <x:c r="A33" s="444" t="str">
        <x:v>32</x:v>
      </x:c>
      <x:c r="B33" s="444" t="str">
        <x:v>고용</x:v>
      </x:c>
      <x:c r="C33" s="444" t="str">
        <x:v>독립층화:수준값재검토</x:v>
      </x:c>
      <x:c r="D33" s="444" t="str">
        <x:v>수준값재검토</x:v>
      </x:c>
      <x:c r="E33" s="444" t="str">
        <x:v>재검토필요_수준값불일치</x:v>
      </x:c>
      <x:c r="F33" s="444" t="str">
        <x:v>outputs\bteam_review\final_verified_filled_2001_remapped_v6.csv</x:v>
      </x:c>
      <x:c r="G33" s="444" t="str">
        <x:v>C16079</x:v>
      </x:c>
      <x:c r="H33" s="444" t="str">
        <x:v>2111</x:v>
      </x:c>
      <x:c r="I33" s="444" t="str">
        <x:v>“환갑 넘겨도 일해야 돼요” 노인 취업자 첫 700만명</x:v>
      </x:c>
      <x:c r="J33" s="444" t="str">
        <x:v>2025-06-12</x:v>
      </x:c>
      <x:c r="K33" s="444" t="str">
        <x:v>https://www.chosun.com/economy/economy_general/2025/06/12/2VNVWIY73JHI7EB3XE4YNTYIVM</x:v>
      </x:c>
      <x:c r="L33" s="444" t="str">
        <x:v>◇65세 이상 근로자 61%가 비정규직… 고용의 질 낮아 일하는 고령층이 늘고 있지만, 고용의 질은 낮은 편이다.</x:v>
      </x:c>
      <x:c r="M33" s="444" t="str">
        <x:v>국회 예산정책처에 따르면, 작년 8월 기준 65세 임금 근로자 61.2%는 비정규직이었고, 70세는 이 비율이 85.1%에 달했다.</x:v>
      </x:c>
      <x:c r="N33" s="444" t="str">
        <x:v>지난해 임금 근로자의 월평균 임금은 55세가 378만원이었지만, 60세 317만원, 65세 221만원으로 연령이 높아질수록 낮아졌다.</x:v>
      </x:c>
      <x:c r="O33" s="444" t="str">
        <x:v>임금·소득</x:v>
      </x:c>
      <x:c r="P33" s="444" t="str">
        <x:v>임금·소득; 비율·증감률; 날짜·시간</x:v>
      </x:c>
      <x:c r="Q33" s="444" t="str">
        <x:v>[8, 61.2, 85.1]</x:v>
      </x:c>
      <x:c r="R33" s="444" t="str">
        <x:v>['월', '%', '%']</x:v>
      </x:c>
      <x:c r="S33" s="444" t="str">
        <x:v>[]</x:v>
      </x:c>
      <x:c r="T33" s="444" t="str">
        <x:v>[]</x:v>
      </x:c>
      <x:c r="U33" s="444" t="str"/>
      <x:c r="V33" s="444" t="str">
        <x:v>101</x:v>
      </x:c>
      <x:c r="W33" s="444" t="str">
        <x:v>DT_1DA7001S</x:v>
      </x:c>
      <x:c r="X33" s="444" t="str">
        <x:v>0</x:v>
      </x:c>
      <x:c r="Y33" s="444" t="str"/>
      <x:c r="Z33" s="444" t="str">
        <x:v>T30</x:v>
      </x:c>
      <x:c r="AA33" s="444" t="str">
        <x:v>M</x:v>
      </x:c>
      <x:c r="AB33" s="444" t="str">
        <x:v>LEVEL</x:v>
      </x:c>
      <x:c r="AC33" s="444" t="str">
        <x:v>85.1</x:v>
      </x:c>
      <x:c r="AD33" s="444" t="str">
        <x:v>202408</x:v>
      </x:c>
      <x:c r="AE33" s="444" t="str">
        <x:v>202407</x:v>
      </x:c>
      <x:c r="AF33" s="444" t="str">
        <x:v>28800.8</x:v>
      </x:c>
      <x:c r="AG33" s="444" t="str">
        <x:v>불일치</x:v>
      </x:c>
      <x:c r="AH33" s="444" t="str"/>
      <x:c r="AI33" s="444" t="str">
        <x:v>경제활동인구 총괄 취업자 후보 선택. 성별/취업자 항목 확인 필요 | obj_l1/itm_id 자동 후보 입력</x:v>
      </x:c>
      <x:c r="AJ33" s="444" t="str">
        <x:v>보류</x:v>
      </x:c>
      <x:c r="AK33" s="444" t="str"/>
      <x:c r="AL33" s="444" t="str"/>
      <x:c r="AM33" s="444" t="str"/>
      <x:c r="AN33" s="444" t="str"/>
      <x:c r="AO33" s="444" t="str"/>
      <x:c r="AP33" s="444" t="str"/>
      <x:c r="AQ33" s="444" t="str"/>
      <x:c r="AR33" s="444" t="str"/>
      <x:c r="AS33" s="444" t="str"/>
      <x:c r="AT33" s="444" t="str"/>
      <x:c r="AU33" s="444" t="str"/>
      <x:c r="AV33" s="444" t="str"/>
      <x:c r="AW33" s="444" t="str">
        <x:v>N/A</x:v>
      </x:c>
      <x:c r="AX33" s="444" t="str"/>
      <x:c r="AY33" s="444" t="str"/>
      <x:c r="AZ33" s="444" t="str"/>
      <x:c r="BA33" s="444" t="str"/>
      <x:c r="BB33" s="444" t="str"/>
      <x:c r="BC33" s="444" t="str"/>
      <x:c r="BD33" s="444" t="str">
        <x:v>N</x:v>
      </x:c>
      <x:c r="BE33" s="444" t="str">
        <x:v>KOSIS 미제공</x:v>
      </x:c>
      <x:c r="BF33" s="444" t="str"/>
      <x:c r="BG33" s="444" t="str"/>
      <x:c r="BH33" s="444" t="str"/>
      <x:c r="BI33" s="444" t="str"/>
      <x:c r="BJ33" s="444" t="str"/>
      <x:c r="BK33" s="444" t="str"/>
      <x:c r="BL33" s="444" t="str"/>
      <x:c r="BM33" s="444" t="str"/>
      <x:c r="BN33" s="444" t="str"/>
      <x:c r="BO33" s="444" t="str"/>
      <x:c r="BP33" s="444" t="str"/>
      <x:c r="BQ33" s="444" t="str">
        <x:v>국회예산정책처의 65세·70세 단일연령 비정규직 비율 분석으로 KOSIS 공개표는 60세 이상 구간만 제공해 동일 분류를 직접 조회할 수 없음</x:v>
      </x:c>
      <x:c r="BR33" s="444" t="str">
        <x:v>수동확정_검증불가</x:v>
      </x:c>
      <x:c r="BS33" s="444" t="str">
        <x:v>검증불가</x:v>
      </x:c>
      <x:c r="BT33" s="444" t="str">
        <x:v>N</x:v>
      </x:c>
      <x:c r="BU33" s="444" t="str">
        <x:v>N/A</x:v>
      </x:c>
      <x:c r="BV33" s="444" t="str">
        <x:v>N/A</x:v>
      </x:c>
      <x:c r="BW33" s="444" t="str">
        <x:v>N/A</x:v>
      </x:c>
      <x:c r="BX33" s="444" t="str">
        <x:v>N/A</x:v>
      </x:c>
      <x:c r="BY33" s="444" t="str">
        <x:v>N/A</x:v>
      </x:c>
      <x:c r="BZ33" s="444" t="str">
        <x:v>N/A</x:v>
      </x:c>
      <x:c r="CA33" s="444" t="str">
        <x:v>N/A</x:v>
      </x:c>
      <x:c r="CB33" s="444" t="str">
        <x:v>N/A</x:v>
      </x:c>
      <x:c r="CC33" s="444" t="str">
        <x:v>검증가능여부</x:v>
      </x:c>
      <x:c r="CD33" s="444" t="str">
        <x:v>검증불가 사유를 자동 분류하지 못해 보류</x:v>
      </x:c>
    </x:row>
    <x:row r="34" ht="38" customHeight="1">
      <x:c r="A34" s="444" t="str">
        <x:v>33</x:v>
      </x:c>
      <x:c r="B34" s="444" t="str">
        <x:v>고용</x:v>
      </x:c>
      <x:c r="C34" s="444" t="str">
        <x:v>독립층화:증감률재검토</x:v>
      </x:c>
      <x:c r="D34" s="444" t="str">
        <x:v>증감률재검토</x:v>
      </x:c>
      <x:c r="E34" s="444" t="str">
        <x:v>재검토필요_증감률불일치</x:v>
      </x:c>
      <x:c r="F34" s="444" t="str">
        <x:v>outputs\bteam_review\final_verified_filled_2001_remapped_v6.csv</x:v>
      </x:c>
      <x:c r="G34" s="444" t="str">
        <x:v>C16575</x:v>
      </x:c>
      <x:c r="H34" s="444" t="str">
        <x:v>2181</x:v>
      </x:c>
      <x:c r="I34" s="444" t="str">
        <x:v>하버드 출신도 갈 데 없어… 美서도 고학력자 구직난</x:v>
      </x:c>
      <x:c r="J34" s="444" t="str">
        <x:v>2025-06-17</x:v>
      </x:c>
      <x:c r="K34" s="444" t="str">
        <x:v>https://www.chosun.com/economy/economy_general/2025/06/17/FV3YPUQKWZD75IN3ZLHIEPCX6U</x:v>
      </x:c>
      <x:c r="L34" s="444" t="str">
        <x:v>반면 배관공 등 숙련직 수요는 높아지면서 임금 수준도 올라가고 있다.</x:v>
      </x:c>
      <x:c r="M34" s="444" t="str">
        <x:v>미 뉴욕 연방준비은행의 최근 보고서에 따르면, 지난 3월 미국 대학 졸업생들의 실업률은 5.8%로 1년 전(4.6%)보다 1.2%포인트 상승했다.</x:v>
      </x:c>
      <x:c r="N34" s="444" t="str">
        <x:v>월스트리트저널(WSJ)은 “고연봉 화이트칼라에 대한 고용 수요가 줄면서 하버드대 경영대학원(MBA) 졸업생들조차 마음에 드는 직장을 구하는 데 어려움을 겪고 있다”고 보도했다.</x:v>
      </x:c>
      <x:c r="O34" s="444" t="str">
        <x:v>고용지표</x:v>
      </x:c>
      <x:c r="P34" s="444" t="str">
        <x:v>고용지표; 비율·증감률; 날짜·시간</x:v>
      </x:c>
      <x:c r="Q34" s="444" t="str">
        <x:v>[3, 5.8, 1, 4.6, 1.2]</x:v>
      </x:c>
      <x:c r="R34" s="444" t="str">
        <x:v>['월', '%', '년', '%', '%']</x:v>
      </x:c>
      <x:c r="S34" s="444" t="str">
        <x:v>[]</x:v>
      </x:c>
      <x:c r="T34" s="444" t="str">
        <x:v>[]</x:v>
      </x:c>
      <x:c r="U34" s="444" t="str"/>
      <x:c r="V34" s="444" t="str">
        <x:v>101</x:v>
      </x:c>
      <x:c r="W34" s="444" t="str">
        <x:v>DT_1DA7001S</x:v>
      </x:c>
      <x:c r="X34" s="444" t="str">
        <x:v>0</x:v>
      </x:c>
      <x:c r="Y34" s="444" t="str"/>
      <x:c r="Z34" s="444" t="str">
        <x:v>T80</x:v>
      </x:c>
      <x:c r="AA34" s="444" t="str">
        <x:v>M</x:v>
      </x:c>
      <x:c r="AB34" s="444" t="str">
        <x:v>POINT_CHANGE</x:v>
      </x:c>
      <x:c r="AC34" s="444" t="str">
        <x:v>1.2</x:v>
      </x:c>
      <x:c r="AD34" s="444" t="str">
        <x:v>202605</x:v>
      </x:c>
      <x:c r="AE34" s="444" t="str">
        <x:v>202604</x:v>
      </x:c>
      <x:c r="AF34" s="444" t="str">
        <x:v>0</x:v>
      </x:c>
      <x:c r="AG34" s="444" t="str">
        <x:v>불일치</x:v>
      </x:c>
      <x:c r="AH34" s="444" t="str"/>
      <x:c r="AI34" s="444" t="str">
        <x:v>경제활동인구 총괄 후보 선택. 실업률/실업자 항목 확인 필요 | obj_l1/itm_id 자동 후보 입력</x:v>
      </x:c>
      <x:c r="AJ34" s="444" t="str">
        <x:v>검증불가</x:v>
      </x:c>
      <x:c r="AK34" s="444" t="str">
        <x:v>KOSIS 미제공</x:v>
      </x:c>
      <x:c r="AL34" s="444" t="str"/>
      <x:c r="AM34" s="444" t="str"/>
      <x:c r="AN34" s="444" t="str"/>
      <x:c r="AO34" s="444" t="str"/>
      <x:c r="AP34" s="444" t="str"/>
      <x:c r="AQ34" s="444" t="str"/>
      <x:c r="AR34" s="444" t="str"/>
      <x:c r="AS34" s="444" t="str"/>
      <x:c r="AT34" s="444" t="str"/>
      <x:c r="AU34" s="444" t="str"/>
      <x:c r="AV34" s="444" t="str"/>
      <x:c r="AW34" s="444" t="str">
        <x:v>N/A</x:v>
      </x:c>
      <x:c r="AX34" s="444" t="str"/>
      <x:c r="AY34" s="444" t="str"/>
      <x:c r="AZ34" s="444" t="str"/>
      <x:c r="BA34" s="444" t="str"/>
      <x:c r="BB34" s="444" t="str">
        <x:v>판단불가</x:v>
      </x:c>
      <x:c r="BC34" s="444" t="str">
        <x:v>대한민국 KOSIS 범위 밖의 해외 통계</x:v>
      </x:c>
      <x:c r="BD34" s="444" t="str">
        <x:v>N</x:v>
      </x:c>
      <x:c r="BE34" s="444" t="str">
        <x:v>KOSIS 미제공</x:v>
      </x:c>
      <x:c r="BF34" s="444" t="str"/>
      <x:c r="BG34" s="444" t="str"/>
      <x:c r="BH34" s="444" t="str"/>
      <x:c r="BI34" s="444" t="str"/>
      <x:c r="BJ34" s="444" t="str"/>
      <x:c r="BK34" s="444" t="str"/>
      <x:c r="BL34" s="444" t="str"/>
      <x:c r="BM34" s="444" t="str"/>
      <x:c r="BN34" s="444" t="str"/>
      <x:c r="BO34" s="444" t="str"/>
      <x:c r="BP34" s="444" t="str"/>
      <x:c r="BQ34" s="444" t="str">
        <x:v>뉴욕 연방준비은행의 미국 대학 졸업생 실업률로 KOSIS 국내 고용통계와 모집단이 다름</x:v>
      </x:c>
      <x:c r="BR34" s="444" t="str">
        <x:v>수동확정_검증불가</x:v>
      </x:c>
      <x:c r="BS34" s="444" t="str">
        <x:v>검증불가</x:v>
      </x:c>
      <x:c r="BT34" s="444" t="str">
        <x:v>Y</x:v>
      </x:c>
      <x:c r="BU34" s="444" t="str">
        <x:v>N/A</x:v>
      </x:c>
      <x:c r="BV34" s="444" t="str">
        <x:v>N/A</x:v>
      </x:c>
      <x:c r="BW34" s="444" t="str">
        <x:v>N/A</x:v>
      </x:c>
      <x:c r="BX34" s="444" t="str">
        <x:v>N/A</x:v>
      </x:c>
      <x:c r="BY34" s="444" t="str">
        <x:v>N/A</x:v>
      </x:c>
      <x:c r="BZ34" s="444" t="str">
        <x:v>N/A</x:v>
      </x:c>
      <x:c r="CA34" s="444" t="str">
        <x:v>N/A</x:v>
      </x:c>
      <x:c r="CB34" s="444" t="str">
        <x:v>N/A</x:v>
      </x:c>
      <x:c r="CC34" s="444" t="str"/>
      <x:c r="CD34" s="444" t="str"/>
    </x:row>
    <x:row r="35" ht="38" customHeight="1">
      <x:c r="A35" s="444" t="str">
        <x:v>34</x:v>
      </x:c>
      <x:c r="B35" s="444" t="str">
        <x:v>고용</x:v>
      </x:c>
      <x:c r="C35" s="444" t="str">
        <x:v>독립층화:증감률재검토</x:v>
      </x:c>
      <x:c r="D35" s="444" t="str">
        <x:v>증감률재검토</x:v>
      </x:c>
      <x:c r="E35" s="444" t="str">
        <x:v>재검토필요_증감률불일치</x:v>
      </x:c>
      <x:c r="F35" s="444" t="str">
        <x:v>outputs\bteam_review\final_verified_filled_2001_remapped_v6.csv</x:v>
      </x:c>
      <x:c r="G35" s="444" t="str">
        <x:v>C16576</x:v>
      </x:c>
      <x:c r="H35" s="444" t="str">
        <x:v>2181</x:v>
      </x:c>
      <x:c r="I35" s="444" t="str">
        <x:v>하버드 출신도 갈 데 없어… 美서도 고학력자 구직난</x:v>
      </x:c>
      <x:c r="J35" s="444" t="str">
        <x:v>2025-06-17</x:v>
      </x:c>
      <x:c r="K35" s="444" t="str">
        <x:v>https://www.chosun.com/economy/economy_general/2025/06/17/FV3YPUQKWZD75IN3ZLHIEPCX6U</x:v>
      </x:c>
      <x:c r="L35" s="444" t="str">
        <x:v>월스트리트저널(WSJ)은 “고연봉 화이트칼라에 대한 고용 수요가 줄면서 하버드대 경영대학원(MBA) 졸업생들조차 마음에 드는 직장을 구하는 데 어려움을 겪고 있다”고 보도했다.</x:v>
      </x:c>
      <x:c r="M35" s="444" t="str">
        <x:v>하버드 MBA 봄 학기 졸업생 가운데 졸업 이후 3개월 넘게 구직 활동을 하는 이들의 비율이 2022년에는 10%에 불과했지만, 지난해 23%로 늘었다는 것이다.</x:v>
      </x:c>
      <x:c r="N35" s="444" t="str">
        <x:v>외신들은 “AI 도입 등으로 대졸자들이 주로 입사하던 아마존, 구글 등 빅테크와 컨설팅 기업들이 채용을 줄이고 있기 때문”이라고 전했다.</x:v>
      </x:c>
      <x:c r="O35" s="444" t="str">
        <x:v>고용지표</x:v>
      </x:c>
      <x:c r="P35" s="444" t="str">
        <x:v>고용지표; 비율·증감률; 건수·개수; 날짜·시간</x:v>
      </x:c>
      <x:c r="Q35" s="444" t="str">
        <x:v>[3, 2022, 10, 23]</x:v>
      </x:c>
      <x:c r="R35" s="444" t="str">
        <x:v>['개', '년', '%', '%']</x:v>
      </x:c>
      <x:c r="S35" s="444" t="str">
        <x:v>['2022']</x:v>
      </x:c>
      <x:c r="T35" s="444" t="str">
        <x:v>[]</x:v>
      </x:c>
      <x:c r="U35" s="444" t="str"/>
      <x:c r="V35" s="444" t="str">
        <x:v>101</x:v>
      </x:c>
      <x:c r="W35" s="444" t="str">
        <x:v>DT_1DA7001S</x:v>
      </x:c>
      <x:c r="X35" s="444" t="str">
        <x:v>0</x:v>
      </x:c>
      <x:c r="Y35" s="444" t="str"/>
      <x:c r="Z35" s="444" t="str">
        <x:v>T30</x:v>
      </x:c>
      <x:c r="AA35" s="444" t="str">
        <x:v>Y</x:v>
      </x:c>
      <x:c r="AB35" s="444" t="str">
        <x:v>CHANGE_RATE</x:v>
      </x:c>
      <x:c r="AC35" s="444" t="str">
        <x:v>23</x:v>
      </x:c>
      <x:c r="AD35" s="444" t="str">
        <x:v>2024</x:v>
      </x:c>
      <x:c r="AE35" s="444" t="str">
        <x:v>2023</x:v>
      </x:c>
      <x:c r="AF35" s="444" t="str">
        <x:v>0.560241833</x:v>
      </x:c>
      <x:c r="AG35" s="444" t="str">
        <x:v>불일치</x:v>
      </x:c>
      <x:c r="AH35" s="444" t="str"/>
      <x:c r="AI35" s="444" t="str">
        <x:v>경제활동인구 총괄 취업자 후보 선택. 성별/취업자 항목 확인 필요 | obj_l1/itm_id 자동 후보 입력</x:v>
      </x:c>
      <x:c r="AJ35" s="444" t="str">
        <x:v>보류</x:v>
      </x:c>
      <x:c r="AK35" s="444" t="str"/>
      <x:c r="AL35" s="444" t="str"/>
      <x:c r="AM35" s="444" t="str"/>
      <x:c r="AN35" s="444" t="str"/>
      <x:c r="AO35" s="444" t="str"/>
      <x:c r="AP35" s="444" t="str"/>
      <x:c r="AQ35" s="444" t="str"/>
      <x:c r="AR35" s="444" t="str"/>
      <x:c r="AS35" s="444" t="str"/>
      <x:c r="AT35" s="444" t="str"/>
      <x:c r="AU35" s="444" t="str"/>
      <x:c r="AV35" s="444" t="str"/>
      <x:c r="AW35" s="444" t="str">
        <x:v>N/A</x:v>
      </x:c>
      <x:c r="AX35" s="444" t="str"/>
      <x:c r="AY35" s="444" t="str"/>
      <x:c r="AZ35" s="444" t="str"/>
      <x:c r="BA35" s="444" t="str"/>
      <x:c r="BB35" s="444" t="str"/>
      <x:c r="BC35" s="444" t="str"/>
      <x:c r="BD35" s="444" t="str">
        <x:v>N</x:v>
      </x:c>
      <x:c r="BE35" s="444" t="str">
        <x:v>KOSIS 미제공</x:v>
      </x:c>
      <x:c r="BF35" s="444" t="str"/>
      <x:c r="BG35" s="444" t="str"/>
      <x:c r="BH35" s="444" t="str"/>
      <x:c r="BI35" s="444" t="str"/>
      <x:c r="BJ35" s="444" t="str"/>
      <x:c r="BK35" s="444" t="str"/>
      <x:c r="BL35" s="444" t="str"/>
      <x:c r="BM35" s="444" t="str"/>
      <x:c r="BN35" s="444" t="str"/>
      <x:c r="BO35" s="444" t="str"/>
      <x:c r="BP35" s="444" t="str"/>
      <x:c r="BQ35" s="444" t="str">
        <x:v>하버드 MBA 졸업생의 구직기간 비율인 해외 대학 자체 자료로 KOSIS 국내 고용통계와 모집단이 다름</x:v>
      </x:c>
      <x:c r="BR35" s="444" t="str">
        <x:v>수동확정_검증불가</x:v>
      </x:c>
      <x:c r="BS35" s="444" t="str">
        <x:v>검증불가</x:v>
      </x:c>
      <x:c r="BT35" s="444" t="str">
        <x:v>N</x:v>
      </x:c>
      <x:c r="BU35" s="444" t="str">
        <x:v>N/A</x:v>
      </x:c>
      <x:c r="BV35" s="444" t="str">
        <x:v>N/A</x:v>
      </x:c>
      <x:c r="BW35" s="444" t="str">
        <x:v>N/A</x:v>
      </x:c>
      <x:c r="BX35" s="444" t="str">
        <x:v>N/A</x:v>
      </x:c>
      <x:c r="BY35" s="444" t="str">
        <x:v>N/A</x:v>
      </x:c>
      <x:c r="BZ35" s="444" t="str">
        <x:v>N/A</x:v>
      </x:c>
      <x:c r="CA35" s="444" t="str">
        <x:v>N/A</x:v>
      </x:c>
      <x:c r="CB35" s="444" t="str">
        <x:v>N/A</x:v>
      </x:c>
      <x:c r="CC35" s="444" t="str">
        <x:v>검증가능여부</x:v>
      </x:c>
      <x:c r="CD35" s="444" t="str">
        <x:v>검증불가 사유를 자동 분류하지 못해 보류</x:v>
      </x:c>
    </x:row>
    <x:row r="36" ht="38" customHeight="1">
      <x:c r="A36" s="444" t="str">
        <x:v>35</x:v>
      </x:c>
      <x:c r="B36" s="444" t="str">
        <x:v>고용</x:v>
      </x:c>
      <x:c r="C36" s="444" t="str">
        <x:v>독립층화:증감률재검토</x:v>
      </x:c>
      <x:c r="D36" s="444" t="str">
        <x:v>증감률재검토</x:v>
      </x:c>
      <x:c r="E36" s="444" t="str">
        <x:v>재검토필요_증감률불일치</x:v>
      </x:c>
      <x:c r="F36" s="444" t="str">
        <x:v>outputs\bteam_review\final_verified_filled_2001_remapped_v6.csv</x:v>
      </x:c>
      <x:c r="G36" s="444" t="str">
        <x:v>C16580</x:v>
      </x:c>
      <x:c r="H36" s="444" t="str">
        <x:v>2181</x:v>
      </x:c>
      <x:c r="I36" s="444" t="str">
        <x:v>하버드 출신도 갈 데 없어… 美서도 고학력자 구직난</x:v>
      </x:c>
      <x:c r="J36" s="444" t="str">
        <x:v>2025-06-17</x:v>
      </x:c>
      <x:c r="K36" s="444" t="str">
        <x:v>https://www.chosun.com/economy/economy_general/2025/06/17/FV3YPUQKWZD75IN3ZLHIEPCX6U</x:v>
      </x:c>
      <x:c r="L36" s="444" t="str">
        <x:v>글로벌 경제 분석 기관 옥스퍼드 이코노믹스에 따르면, 미국 22~27세 노동자 중 학사 학위 이상을 보유한 노동자와 대학을 졸업하지 않은 노동자들 간의 실업률 차이는 지난 20년간 줄어든 것으로 집계됐다.</x:v>
      </x:c>
      <x:c r="M36" s="444" t="str">
        <x:v>15년 전인 2010년 4월 기준 두 집단 사이의 실업률 차이가 8.7%포인트에 달했지만, 올해 4월에는 그 차이가 1.6%포인트로 크게 줄었다는 것이다.</x:v>
      </x:c>
      <x:c r="N36" s="444" t="str">
        <x:v>옥스퍼드 이코노믹스는 “AI가 더 높은 비율로 대졸 초급 직책을 대체하고 있음을 보여준다”고 했다.</x:v>
      </x:c>
      <x:c r="O36" s="444" t="str">
        <x:v>고용지표</x:v>
      </x:c>
      <x:c r="P36" s="444" t="str">
        <x:v>고용지표; 비율·증감률; 날짜·시간</x:v>
      </x:c>
      <x:c r="Q36" s="444" t="str">
        <x:v>[15, 2010, 4, 8.7, 4, 1.6]</x:v>
      </x:c>
      <x:c r="R36" s="444" t="str">
        <x:v>['년', '년', '월', '%', '월', '%']</x:v>
      </x:c>
      <x:c r="S36" s="444" t="str">
        <x:v>['2010']</x:v>
      </x:c>
      <x:c r="T36" s="444" t="str">
        <x:v>[]</x:v>
      </x:c>
      <x:c r="U36" s="444" t="str"/>
      <x:c r="V36" s="444" t="str">
        <x:v>101</x:v>
      </x:c>
      <x:c r="W36" s="444" t="str">
        <x:v>DT_1DA7001S</x:v>
      </x:c>
      <x:c r="X36" s="444" t="str">
        <x:v>0</x:v>
      </x:c>
      <x:c r="Y36" s="444" t="str"/>
      <x:c r="Z36" s="444" t="str">
        <x:v>T80</x:v>
      </x:c>
      <x:c r="AA36" s="444" t="str">
        <x:v>M</x:v>
      </x:c>
      <x:c r="AB36" s="444" t="str">
        <x:v>POINT_CHANGE</x:v>
      </x:c>
      <x:c r="AC36" s="444" t="str">
        <x:v>1.6</x:v>
      </x:c>
      <x:c r="AD36" s="444" t="str">
        <x:v>202504</x:v>
      </x:c>
      <x:c r="AE36" s="444" t="str">
        <x:v>202503</x:v>
      </x:c>
      <x:c r="AF36" s="444" t="str">
        <x:v>-0.2</x:v>
      </x:c>
      <x:c r="AG36" s="444" t="str">
        <x:v>불일치</x:v>
      </x:c>
      <x:c r="AH36" s="444" t="str"/>
      <x:c r="AI36" s="444" t="str">
        <x:v>경제활동인구 총괄 후보 선택. 실업률/실업자 항목 확인 필요 | obj_l1/itm_id 자동 후보 입력</x:v>
      </x:c>
      <x:c r="AJ36" s="444" t="str">
        <x:v>보류</x:v>
      </x:c>
      <x:c r="AK36" s="444" t="str"/>
      <x:c r="AL36" s="444" t="str"/>
      <x:c r="AM36" s="444" t="str"/>
      <x:c r="AN36" s="444" t="str"/>
      <x:c r="AO36" s="444" t="str"/>
      <x:c r="AP36" s="444" t="str"/>
      <x:c r="AQ36" s="444" t="str"/>
      <x:c r="AR36" s="444" t="str"/>
      <x:c r="AS36" s="444" t="str"/>
      <x:c r="AT36" s="444" t="str"/>
      <x:c r="AU36" s="444" t="str"/>
      <x:c r="AV36" s="444" t="str"/>
      <x:c r="AW36" s="444" t="str">
        <x:v>N/A</x:v>
      </x:c>
      <x:c r="AX36" s="444" t="str"/>
      <x:c r="AY36" s="444" t="str"/>
      <x:c r="AZ36" s="444" t="str"/>
      <x:c r="BA36" s="444" t="str"/>
      <x:c r="BB36" s="444" t="str"/>
      <x:c r="BC36" s="444" t="str"/>
      <x:c r="BD36" s="444" t="str">
        <x:v>N</x:v>
      </x:c>
      <x:c r="BE36" s="444" t="str">
        <x:v>KOSIS 미제공</x:v>
      </x:c>
      <x:c r="BF36" s="444" t="str"/>
      <x:c r="BG36" s="444" t="str"/>
      <x:c r="BH36" s="444" t="str"/>
      <x:c r="BI36" s="444" t="str"/>
      <x:c r="BJ36" s="444" t="str"/>
      <x:c r="BK36" s="444" t="str"/>
      <x:c r="BL36" s="444" t="str"/>
      <x:c r="BM36" s="444" t="str"/>
      <x:c r="BN36" s="444" t="str"/>
      <x:c r="BO36" s="444" t="str"/>
      <x:c r="BP36" s="444" t="str"/>
      <x:c r="BQ36" s="444" t="str">
        <x:v>옥스퍼드 이코노믹스가 산출한 미국 22~27세 학력집단 실업률 격차로 KOSIS 국내 고용통계와 국가·분류가 다름</x:v>
      </x:c>
      <x:c r="BR36" s="444" t="str">
        <x:v>수동확정_검증불가</x:v>
      </x:c>
      <x:c r="BS36" s="444" t="str">
        <x:v>검증불가</x:v>
      </x:c>
      <x:c r="BT36" s="444" t="str">
        <x:v>N</x:v>
      </x:c>
      <x:c r="BU36" s="444" t="str">
        <x:v>N/A</x:v>
      </x:c>
      <x:c r="BV36" s="444" t="str">
        <x:v>N/A</x:v>
      </x:c>
      <x:c r="BW36" s="444" t="str">
        <x:v>N/A</x:v>
      </x:c>
      <x:c r="BX36" s="444" t="str">
        <x:v>N/A</x:v>
      </x:c>
      <x:c r="BY36" s="444" t="str">
        <x:v>N/A</x:v>
      </x:c>
      <x:c r="BZ36" s="444" t="str">
        <x:v>N/A</x:v>
      </x:c>
      <x:c r="CA36" s="444" t="str">
        <x:v>N/A</x:v>
      </x:c>
      <x:c r="CB36" s="444" t="str">
        <x:v>N/A</x:v>
      </x:c>
      <x:c r="CC36" s="444" t="str">
        <x:v>검증가능여부</x:v>
      </x:c>
      <x:c r="CD36" s="444" t="str">
        <x:v>검증불가 사유를 자동 분류하지 못해 보류</x:v>
      </x:c>
    </x:row>
    <x:row r="37" ht="38" customHeight="1">
      <x:c r="A37" s="444" t="str">
        <x:v>36</x:v>
      </x:c>
      <x:c r="B37" s="444" t="str">
        <x:v>고용</x:v>
      </x:c>
      <x:c r="C37" s="444" t="str">
        <x:v>독립층화:수준값재검토</x:v>
      </x:c>
      <x:c r="D37" s="444" t="str">
        <x:v>수준값재검토</x:v>
      </x:c>
      <x:c r="E37" s="444" t="str">
        <x:v>재검토필요_수준값불일치</x:v>
      </x:c>
      <x:c r="F37" s="444" t="str">
        <x:v>outputs\bteam_review\final_verified_filled_2001_remapped_v6.csv</x:v>
      </x:c>
      <x:c r="G37" s="444" t="str">
        <x:v>C17276</x:v>
      </x:c>
      <x:c r="H37" s="444" t="str">
        <x:v>2268</x:v>
      </x:c>
      <x:c r="I37" s="444" t="str">
        <x:v>은행권, 새 정부에 “소상공인금융공사 세워야”</x:v>
      </x:c>
      <x:c r="J37" s="444" t="str">
        <x:v>2025-06-24</x:v>
      </x:c>
      <x:c r="K37" s="444" t="str">
        <x:v>https://www.chosun.com/economy/economy_general/2025/06/24/KQVWXEUKUNBFDBXML6JDFJYW5A</x:v>
      </x:c>
      <x:c r="L37" s="444" t="str">
        <x:v>이에 각 기관의 기능을 아우르는 전문 기관을 만들어 소상공인 정책 대출, 대출 보증, 컨설팅, 판로 지원, 폐업 지원까지 단계별 맞춤형 서비스를 제공하자는 취지다.</x:v>
      </x:c>
      <x:c r="M37" s="444" t="str">
        <x:v>우리나라의 전체 취업자 대비 자영업자 비율은 23.2%로 프랑스(12.9%), 일본(9.5%), 독일(8.5%), 미국(6.1%) 등 주요국을 크게 웃돈다.</x:v>
      </x:c>
      <x:c r="N37" s="444" t="str">
        <x:v>이에 은행연합회는 과밀 업종에 대한 신규 진입을 억제하고, 폐업을 원하는 자영업자에게 정책적으로 퇴로를 열어 자영업자 비율이 과도한 경제 구조를 개선하자고 했다.</x:v>
      </x:c>
      <x:c r="O37" s="444" t="str">
        <x:v>고용지표</x:v>
      </x:c>
      <x:c r="P37" s="444" t="str">
        <x:v>고용지표; 비율·증감률</x:v>
      </x:c>
      <x:c r="Q37" s="444" t="str">
        <x:v>[23.2, 12.9, 9.5, 8.5, 6.1]</x:v>
      </x:c>
      <x:c r="R37" s="444" t="str">
        <x:v>['%', '%', '%', '%', '%']</x:v>
      </x:c>
      <x:c r="S37" s="444" t="str">
        <x:v>[]</x:v>
      </x:c>
      <x:c r="T37" s="444" t="str">
        <x:v>[]</x:v>
      </x:c>
      <x:c r="U37" s="444" t="str">
        <x:v>자영업자</x:v>
      </x:c>
      <x:c r="V37" s="444" t="str">
        <x:v>101</x:v>
      </x:c>
      <x:c r="W37" s="444" t="str">
        <x:v>DT_1DA7001S</x:v>
      </x:c>
      <x:c r="X37" s="444" t="str">
        <x:v>0</x:v>
      </x:c>
      <x:c r="Y37" s="444" t="str"/>
      <x:c r="Z37" s="444" t="str">
        <x:v>T30</x:v>
      </x:c>
      <x:c r="AA37" s="444" t="str">
        <x:v>Y</x:v>
      </x:c>
      <x:c r="AB37" s="444" t="str">
        <x:v>LEVEL</x:v>
      </x:c>
      <x:c r="AC37" s="444" t="str">
        <x:v>6.1</x:v>
      </x:c>
      <x:c r="AD37" s="444" t="str">
        <x:v>2025</x:v>
      </x:c>
      <x:c r="AE37" s="444" t="str">
        <x:v>2024</x:v>
      </x:c>
      <x:c r="AF37" s="444" t="str">
        <x:v>28768.9</x:v>
      </x:c>
      <x:c r="AG37" s="444" t="str">
        <x:v>불일치</x:v>
      </x:c>
      <x:c r="AH37" s="444" t="str"/>
      <x:c r="AI37" s="444" t="str">
        <x:v>경제활동인구 총괄 취업자 후보 선택. 성별/취업자 항목 확인 필요 | obj_l1/itm_id 자동 후보 입력</x:v>
      </x:c>
      <x:c r="AJ37" s="444" t="str">
        <x:v>검증불가</x:v>
      </x:c>
      <x:c r="AK37" s="444" t="str">
        <x:v>KOSIS 미제공</x:v>
      </x:c>
      <x:c r="AL37" s="444" t="str"/>
      <x:c r="AM37" s="444" t="str"/>
      <x:c r="AN37" s="444" t="str"/>
      <x:c r="AO37" s="444" t="str"/>
      <x:c r="AP37" s="444" t="str"/>
      <x:c r="AQ37" s="444" t="str"/>
      <x:c r="AR37" s="444" t="str"/>
      <x:c r="AS37" s="444" t="str"/>
      <x:c r="AT37" s="444" t="str"/>
      <x:c r="AU37" s="444" t="str"/>
      <x:c r="AV37" s="444" t="str"/>
      <x:c r="AW37" s="444" t="str">
        <x:v>N/A</x:v>
      </x:c>
      <x:c r="AX37" s="444" t="str"/>
      <x:c r="AY37" s="444" t="str"/>
      <x:c r="AZ37" s="444" t="str"/>
      <x:c r="BA37" s="444" t="str"/>
      <x:c r="BB37" s="444" t="str">
        <x:v>판단불가</x:v>
      </x:c>
      <x:c r="BC37" s="444" t="str">
        <x:v>대한민국 KOSIS 범위 밖의 해외 통계</x:v>
      </x:c>
      <x:c r="BD37" s="444" t="str">
        <x:v>N</x:v>
      </x:c>
      <x:c r="BE37" s="444" t="str">
        <x:v>정보 부족</x:v>
      </x:c>
      <x:c r="BF37" s="444" t="str"/>
      <x:c r="BG37" s="444" t="str"/>
      <x:c r="BH37" s="444" t="str"/>
      <x:c r="BI37" s="444" t="str"/>
      <x:c r="BJ37" s="444" t="str"/>
      <x:c r="BK37" s="444" t="str"/>
      <x:c r="BL37" s="444" t="str"/>
      <x:c r="BM37" s="444" t="str"/>
      <x:c r="BN37" s="444" t="str"/>
      <x:c r="BO37" s="444" t="str"/>
      <x:c r="BP37" s="444" t="str"/>
      <x:c r="BQ37" s="444" t="str">
        <x:v>국내외 자영업자 비율 여러 수치를 함께 비교하지만 기준시점이 없고 단일 KOSIS 관측값으로 특정할 수 없음</x:v>
      </x:c>
      <x:c r="BR37" s="444" t="str">
        <x:v>수동확정_검증불가</x:v>
      </x:c>
      <x:c r="BS37" s="444" t="str">
        <x:v>검증불가</x:v>
      </x:c>
      <x:c r="BT37" s="444" t="str">
        <x:v>Y</x:v>
      </x:c>
      <x:c r="BU37" s="444" t="str">
        <x:v>N/A</x:v>
      </x:c>
      <x:c r="BV37" s="444" t="str">
        <x:v>N/A</x:v>
      </x:c>
      <x:c r="BW37" s="444" t="str">
        <x:v>N/A</x:v>
      </x:c>
      <x:c r="BX37" s="444" t="str">
        <x:v>N/A</x:v>
      </x:c>
      <x:c r="BY37" s="444" t="str">
        <x:v>N/A</x:v>
      </x:c>
      <x:c r="BZ37" s="444" t="str">
        <x:v>N/A</x:v>
      </x:c>
      <x:c r="CA37" s="444" t="str">
        <x:v>N/A</x:v>
      </x:c>
      <x:c r="CB37" s="444" t="str">
        <x:v>N/A</x:v>
      </x:c>
      <x:c r="CC37" s="444" t="str"/>
      <x:c r="CD37" s="444" t="str"/>
    </x:row>
    <x:row r="38" ht="38" customHeight="1">
      <x:c r="A38" s="444" t="str">
        <x:v>37</x:v>
      </x:c>
      <x:c r="B38" s="444" t="str">
        <x:v>고용</x:v>
      </x:c>
      <x:c r="C38" s="444" t="str">
        <x:v>독립층화:증감률재검토</x:v>
      </x:c>
      <x:c r="D38" s="444" t="str">
        <x:v>증감률재검토</x:v>
      </x:c>
      <x:c r="E38" s="444" t="str">
        <x:v>재검토필요_증감률불일치</x:v>
      </x:c>
      <x:c r="F38" s="444" t="str">
        <x:v>outputs\bteam_review\final_verified_filled_2001_remapped_v6.csv</x:v>
      </x:c>
      <x:c r="G38" s="444" t="str">
        <x:v>C19459</x:v>
      </x:c>
      <x:c r="H38" s="444" t="str">
        <x:v>2561</x:v>
      </x:c>
      <x:c r="I38" s="444" t="str">
        <x:v>교수 62% “정년 연장할 경우 청년층 신규 채용 감소 우려”</x:v>
      </x:c>
      <x:c r="J38" s="444" t="str">
        <x:v>2025-07-16</x:v>
      </x:c>
      <x:c r="K38" s="444" t="str">
        <x:v>https://www.chosun.com/economy/industry-company/2025/07/16/3BWCULXU4RCWVPSF4467OCVDSU</x:v>
      </x:c>
      <x:c r="L38" s="444" t="str">
        <x:v>65세 정년 연장은 이재명 대통령의 대선 공약 중 하나로, 최근 민주당이 ‘정년 연장 태스크포스(TF)’를 꾸려 본격적으로 논의를 시작한 상황이다.</x:v>
      </x:c>
      <x:c r="M38" s="444" t="str">
        <x:v>15일 한국경영자총협회는 “국내 4년제 대학 경제·경영·법학교수 210명에게 65세로 법정 정년이 연장될 경우 가장 큰 부정적 효과를 설문한 결과, 응답자의 62.4%(이하 복수 응답)가 ‘청년층 신규 채용 감소’를 꼽았다“고 밝혔다.</x:v>
      </x:c>
      <x:c r="N38" s="444" t="str">
        <x:v>이어서 ‘낮은 생산성 대비 높은 비용에 따른 비효율’(43.8%), ‘세대 갈등 같은 직장 문화 저해’(23.8%), ‘노동시장 이중구조 심화’(19.5%) 순으로 응답률이 높았다.</x:v>
      </x:c>
      <x:c r="O38" s="444" t="str">
        <x:v>고용지표</x:v>
      </x:c>
      <x:c r="P38" s="444" t="str">
        <x:v>고용지표; 비율·증감률; 인원수; 날짜·시간</x:v>
      </x:c>
      <x:c r="Q38" s="444" t="str">
        <x:v>[15, 4, 210, 62.4]</x:v>
      </x:c>
      <x:c r="R38" s="444" t="str">
        <x:v>['일', '년', '명', '%']</x:v>
      </x:c>
      <x:c r="S38" s="444" t="str">
        <x:v>[]</x:v>
      </x:c>
      <x:c r="T38" s="444" t="str">
        <x:v>[]</x:v>
      </x:c>
      <x:c r="U38" s="444" t="str">
        <x:v>청년층</x:v>
      </x:c>
      <x:c r="V38" s="444" t="str">
        <x:v>101</x:v>
      </x:c>
      <x:c r="W38" s="444" t="str">
        <x:v>DT_1DA7002S</x:v>
      </x:c>
      <x:c r="X38" s="444" t="str">
        <x:v>75</x:v>
      </x:c>
      <x:c r="Y38" s="444" t="str"/>
      <x:c r="Z38" s="444" t="str">
        <x:v>T30</x:v>
      </x:c>
      <x:c r="AA38" s="444" t="str">
        <x:v>Y</x:v>
      </x:c>
      <x:c r="AB38" s="444" t="str">
        <x:v>CHANGE_RATE</x:v>
      </x:c>
      <x:c r="AC38" s="444" t="str">
        <x:v>62.4</x:v>
      </x:c>
      <x:c r="AD38" s="444" t="str">
        <x:v>2025</x:v>
      </x:c>
      <x:c r="AE38" s="444" t="str">
        <x:v>2024</x:v>
      </x:c>
      <x:c r="AF38" s="444" t="str">
        <x:v>-4.732104815</x:v>
      </x:c>
      <x:c r="AG38" s="444" t="str">
        <x:v>불일치</x:v>
      </x:c>
      <x:c r="AH38" s="444" t="str"/>
      <x:c r="AI38" s="444" t="str">
        <x:v>연령별 취업자 후보 선택. 연령/취업자 항목 확인 필요 | obj_l1/itm_id 자동 후보 입력</x:v>
      </x:c>
      <x:c r="AJ38" s="444" t="str">
        <x:v>검증불가</x:v>
      </x:c>
      <x:c r="AK38" s="444" t="str">
        <x:v>KOSIS 미제공</x:v>
      </x:c>
      <x:c r="AL38" s="444" t="str"/>
      <x:c r="AM38" s="444" t="str"/>
      <x:c r="AN38" s="444" t="str"/>
      <x:c r="AO38" s="444" t="str"/>
      <x:c r="AP38" s="444" t="str"/>
      <x:c r="AQ38" s="444" t="str"/>
      <x:c r="AR38" s="444" t="str"/>
      <x:c r="AS38" s="444" t="str"/>
      <x:c r="AT38" s="444" t="str"/>
      <x:c r="AU38" s="444" t="str"/>
      <x:c r="AV38" s="444" t="str"/>
      <x:c r="AW38" s="444" t="str">
        <x:v>N/A</x:v>
      </x:c>
      <x:c r="AX38" s="444" t="str"/>
      <x:c r="AY38" s="444" t="str"/>
      <x:c r="AZ38" s="444" t="str"/>
      <x:c r="BA38" s="444" t="str"/>
      <x:c r="BB38" s="444" t="str">
        <x:v>판단불가</x:v>
      </x:c>
      <x:c r="BC38" s="444" t="str">
        <x:v>민간 설문·정책·시장가격 지표</x:v>
      </x:c>
      <x:c r="BD38" s="444" t="str">
        <x:v>N</x:v>
      </x:c>
      <x:c r="BE38" s="444" t="str">
        <x:v>KOSIS 미제공</x:v>
      </x:c>
      <x:c r="BF38" s="444" t="str"/>
      <x:c r="BG38" s="444" t="str"/>
      <x:c r="BH38" s="444" t="str"/>
      <x:c r="BI38" s="444" t="str"/>
      <x:c r="BJ38" s="444" t="str"/>
      <x:c r="BK38" s="444" t="str"/>
      <x:c r="BL38" s="444" t="str"/>
      <x:c r="BM38" s="444" t="str"/>
      <x:c r="BN38" s="444" t="str"/>
      <x:c r="BO38" s="444" t="str"/>
      <x:c r="BP38" s="444" t="str"/>
      <x:c r="BQ38" s="444" t="str">
        <x:v>한국경영자총협회의 교수 설문조사 결과로 KOSIS 공식 고용통계에서 동일 문항을 제공하지 않음</x:v>
      </x:c>
      <x:c r="BR38" s="444" t="str">
        <x:v>수동확정_검증불가</x:v>
      </x:c>
      <x:c r="BS38" s="444" t="str">
        <x:v>검증불가</x:v>
      </x:c>
      <x:c r="BT38" s="444" t="str">
        <x:v>Y</x:v>
      </x:c>
      <x:c r="BU38" s="444" t="str">
        <x:v>N/A</x:v>
      </x:c>
      <x:c r="BV38" s="444" t="str">
        <x:v>N/A</x:v>
      </x:c>
      <x:c r="BW38" s="444" t="str">
        <x:v>N/A</x:v>
      </x:c>
      <x:c r="BX38" s="444" t="str">
        <x:v>N/A</x:v>
      </x:c>
      <x:c r="BY38" s="444" t="str">
        <x:v>N/A</x:v>
      </x:c>
      <x:c r="BZ38" s="444" t="str">
        <x:v>N/A</x:v>
      </x:c>
      <x:c r="CA38" s="444" t="str">
        <x:v>N/A</x:v>
      </x:c>
      <x:c r="CB38" s="444" t="str">
        <x:v>N/A</x:v>
      </x:c>
      <x:c r="CC38" s="444" t="str"/>
      <x:c r="CD38" s="444" t="str"/>
    </x:row>
    <x:row r="39" ht="38" customHeight="1">
      <x:c r="A39" s="444" t="str">
        <x:v>38</x:v>
      </x:c>
      <x:c r="B39" s="444" t="str">
        <x:v>고용</x:v>
      </x:c>
      <x:c r="C39" s="444" t="str">
        <x:v>독립층화:수준값재검토</x:v>
      </x:c>
      <x:c r="D39" s="444" t="str">
        <x:v>수준값재검토</x:v>
      </x:c>
      <x:c r="E39" s="444" t="str">
        <x:v>재검토필요_수준값불일치</x:v>
      </x:c>
      <x:c r="F39" s="444" t="str">
        <x:v>outputs\bteam_review\final_verified_filled_2001_remapped_v6.csv</x:v>
      </x:c>
      <x:c r="G39" s="444" t="str">
        <x:v>C20041</x:v>
      </x:c>
      <x:c r="H39" s="444" t="str">
        <x:v>2650</x:v>
      </x:c>
      <x:c r="I39" s="444" t="str">
        <x:v>“10곳 지원하면 한 곳서 연락” “지방엔 일자리 없어” 역대급 취업난에 취준생들 한숨</x:v>
      </x:c>
      <x:c r="J39" s="444" t="str">
        <x:v>2025-10-23</x:v>
      </x:c>
      <x:c r="K39" s="444" t="str">
        <x:v>https://www.chosun.com/economy/smb-venture/2025/10/23/CMO3EJ3XWRHZBPAMRMH346MDXU/</x:v>
      </x:c>
      <x:c r="L39" s="444" t="str">
        <x:v>한편 한경협이 청년 1020명을 대상으로 조사한 결과 66.7%는 취업 공백을 경험한 것으로 나타났다.</x:v>
      </x:c>
      <x:c r="M39" s="444" t="str">
        <x:v>이와 동시에 박람회 참여 기업 215개사 대상 설문조사에서는 58%가 ‘인재 채용이 쉽지 않다’고 답해 고용시장의 미스매치가 심각함이 드러났다.</x:v>
      </x:c>
      <x:c r="N39" s="444" t="str">
        <x:v>국가데이터처에 따르면 지난달 청년층 고용률은 45.1%로 1년 전보다 0.7%p 떨어졌다.</x:v>
      </x:c>
      <x:c r="O39" s="444" t="str">
        <x:v>고용지표</x:v>
      </x:c>
      <x:c r="P39" s="444" t="str">
        <x:v>고용지표; 비율·증감률; 건수·개수</x:v>
      </x:c>
      <x:c r="Q39" s="444" t="str">
        <x:v>[215, 58]</x:v>
      </x:c>
      <x:c r="R39" s="444" t="str">
        <x:v>['개', '%']</x:v>
      </x:c>
      <x:c r="S39" s="444" t="str">
        <x:v>[]</x:v>
      </x:c>
      <x:c r="T39" s="444" t="str">
        <x:v>[]</x:v>
      </x:c>
      <x:c r="U39" s="444" t="str"/>
      <x:c r="V39" s="444" t="str">
        <x:v>101</x:v>
      </x:c>
      <x:c r="W39" s="444" t="str">
        <x:v>DT_1DA7001S</x:v>
      </x:c>
      <x:c r="X39" s="444" t="str">
        <x:v>0</x:v>
      </x:c>
      <x:c r="Y39" s="444" t="str"/>
      <x:c r="Z39" s="444" t="str">
        <x:v>T30</x:v>
      </x:c>
      <x:c r="AA39" s="444" t="str">
        <x:v>Y</x:v>
      </x:c>
      <x:c r="AB39" s="444" t="str">
        <x:v>LEVEL</x:v>
      </x:c>
      <x:c r="AC39" s="444" t="str">
        <x:v>58</x:v>
      </x:c>
      <x:c r="AD39" s="444" t="str">
        <x:v>2025</x:v>
      </x:c>
      <x:c r="AE39" s="444" t="str">
        <x:v>2024</x:v>
      </x:c>
      <x:c r="AF39" s="444" t="str">
        <x:v>28768.9</x:v>
      </x:c>
      <x:c r="AG39" s="444" t="str">
        <x:v>불일치</x:v>
      </x:c>
      <x:c r="AH39" s="444" t="str"/>
      <x:c r="AI39" s="444" t="str">
        <x:v>경제활동인구 총괄 취업자 후보 선택. 성별/취업자 항목 확인 필요 | obj_l1/itm_id 자동 후보 입력</x:v>
      </x:c>
      <x:c r="AJ39" s="444" t="str">
        <x:v>검증불가</x:v>
      </x:c>
      <x:c r="AK39" s="444" t="str">
        <x:v>KOSIS 미제공</x:v>
      </x:c>
      <x:c r="AL39" s="444" t="str"/>
      <x:c r="AM39" s="444" t="str"/>
      <x:c r="AN39" s="444" t="str"/>
      <x:c r="AO39" s="444" t="str"/>
      <x:c r="AP39" s="444" t="str"/>
      <x:c r="AQ39" s="444" t="str"/>
      <x:c r="AR39" s="444" t="str"/>
      <x:c r="AS39" s="444" t="str"/>
      <x:c r="AT39" s="444" t="str"/>
      <x:c r="AU39" s="444" t="str"/>
      <x:c r="AV39" s="444" t="str"/>
      <x:c r="AW39" s="444" t="str">
        <x:v>N/A</x:v>
      </x:c>
      <x:c r="AX39" s="444" t="str"/>
      <x:c r="AY39" s="444" t="str"/>
      <x:c r="AZ39" s="444" t="str"/>
      <x:c r="BA39" s="444" t="str"/>
      <x:c r="BB39" s="444" t="str">
        <x:v>판단불가</x:v>
      </x:c>
      <x:c r="BC39" s="444" t="str">
        <x:v>민간 설문·정책·시장가격 지표</x:v>
      </x:c>
      <x:c r="BD39" s="444" t="str">
        <x:v>N</x:v>
      </x:c>
      <x:c r="BE39" s="444" t="str">
        <x:v>KOSIS 미제공</x:v>
      </x:c>
      <x:c r="BF39" s="444" t="str"/>
      <x:c r="BG39" s="444" t="str"/>
      <x:c r="BH39" s="444" t="str"/>
      <x:c r="BI39" s="444" t="str"/>
      <x:c r="BJ39" s="444" t="str"/>
      <x:c r="BK39" s="444" t="str"/>
      <x:c r="BL39" s="444" t="str"/>
      <x:c r="BM39" s="444" t="str"/>
      <x:c r="BN39" s="444" t="str"/>
      <x:c r="BO39" s="444" t="str"/>
      <x:c r="BP39" s="444" t="str"/>
      <x:c r="BQ39" s="444" t="str">
        <x:v>채용박람회 참여 기업 대상 설문조사 결과로 KOSIS 공식 통계의 동일 관측값이 아님</x:v>
      </x:c>
      <x:c r="BR39" s="444" t="str">
        <x:v>수동확정_검증불가</x:v>
      </x:c>
      <x:c r="BS39" s="444" t="str">
        <x:v>검증불가</x:v>
      </x:c>
      <x:c r="BT39" s="444" t="str">
        <x:v>Y</x:v>
      </x:c>
      <x:c r="BU39" s="444" t="str">
        <x:v>N/A</x:v>
      </x:c>
      <x:c r="BV39" s="444" t="str">
        <x:v>N/A</x:v>
      </x:c>
      <x:c r="BW39" s="444" t="str">
        <x:v>N/A</x:v>
      </x:c>
      <x:c r="BX39" s="444" t="str">
        <x:v>N/A</x:v>
      </x:c>
      <x:c r="BY39" s="444" t="str">
        <x:v>N/A</x:v>
      </x:c>
      <x:c r="BZ39" s="444" t="str">
        <x:v>N/A</x:v>
      </x:c>
      <x:c r="CA39" s="444" t="str">
        <x:v>N/A</x:v>
      </x:c>
      <x:c r="CB39" s="444" t="str">
        <x:v>N/A</x:v>
      </x:c>
      <x:c r="CC39" s="444" t="str"/>
      <x:c r="CD39" s="444" t="str"/>
    </x:row>
    <x:row r="40" ht="38" customHeight="1">
      <x:c r="A40" s="444" t="str">
        <x:v>39</x:v>
      </x:c>
      <x:c r="B40" s="444" t="str">
        <x:v>고용</x:v>
      </x:c>
      <x:c r="C40" s="444" t="str">
        <x:v>독립층화:수준값재검토</x:v>
      </x:c>
      <x:c r="D40" s="444" t="str">
        <x:v>수준값재검토</x:v>
      </x:c>
      <x:c r="E40" s="444" t="str">
        <x:v>재검토필요_수준값불일치</x:v>
      </x:c>
      <x:c r="F40" s="444" t="str">
        <x:v>outputs\bteam_review\final_verified_filled_2001_remapped_v6.csv</x:v>
      </x:c>
      <x:c r="G40" s="444" t="str">
        <x:v>C20327</x:v>
      </x:c>
      <x:c r="H40" s="444" t="str">
        <x:v>2689</x:v>
      </x:c>
      <x:c r="I40" s="444" t="str">
        <x:v>일자리 못 구해 ‘울며 겨자 먹기’ 창업하는 자영업자 비율 2년 연속 증가</x:v>
      </x:c>
      <x:c r="J40" s="444" t="str">
        <x:v>2025-11-05</x:v>
      </x:c>
      <x:c r="K40" s="444" t="str">
        <x:v>https://www.chosun.com/economy/economy_general/2025/11/05/2W34BPNBCVHEJE5W64TXGTKGWQ/</x:v>
      </x:c>
      <x:c r="L40" s="444" t="str">
        <x:v>반면 가족이 운영하는 사업체나 농장에서 돈을 받지 않고 일하는 ‘무급 가족 종사자’를 포함한 비임금 근로자 수는 655만4000명으로, 2007년 관련 통계 작성 이래 가장 적었다.</x:v>
      </x:c>
      <x:c r="M40" s="444" t="str">
        <x:v>전체 취업자 중 비임금 근로자가 차지하는 비율(22.6%)도 역대 최저였다.</x:v>
      </x:c>
      <x:c r="N40" s="444" t="str">
        <x:v>김대종 세종대 교수는 “가게 문을 닫고 저임금이라도 일자리를 구하려는 이들이 늘어나는 것”이라면서 “내수 침체가 길어지고, 자영업자 간 경쟁이 치열해지면서 자영업으로 생계를 꾸리기가 그만큼 어려워졌다는 의미”라고 말했다.</x:v>
      </x:c>
      <x:c r="O40" s="444" t="str">
        <x:v>임금·소득</x:v>
      </x:c>
      <x:c r="P40" s="444" t="str">
        <x:v>임금·소득; 고용지표; 비율·증감률</x:v>
      </x:c>
      <x:c r="Q40" s="444" t="str">
        <x:v>[22.6]</x:v>
      </x:c>
      <x:c r="R40" s="444" t="str">
        <x:v>['%']</x:v>
      </x:c>
      <x:c r="S40" s="444" t="str">
        <x:v>[]</x:v>
      </x:c>
      <x:c r="T40" s="444" t="str">
        <x:v>[]</x:v>
      </x:c>
      <x:c r="U40" s="444" t="str"/>
      <x:c r="V40" s="444" t="str">
        <x:v>101</x:v>
      </x:c>
      <x:c r="W40" s="444" t="str">
        <x:v>DT_1DA7001S</x:v>
      </x:c>
      <x:c r="X40" s="444" t="str">
        <x:v>0</x:v>
      </x:c>
      <x:c r="Y40" s="444" t="str"/>
      <x:c r="Z40" s="444" t="str">
        <x:v>T30</x:v>
      </x:c>
      <x:c r="AA40" s="444" t="str">
        <x:v>Y</x:v>
      </x:c>
      <x:c r="AB40" s="444" t="str">
        <x:v>LEVEL</x:v>
      </x:c>
      <x:c r="AC40" s="444" t="str">
        <x:v>22.6</x:v>
      </x:c>
      <x:c r="AD40" s="444" t="str">
        <x:v>2025</x:v>
      </x:c>
      <x:c r="AE40" s="444" t="str">
        <x:v>2024</x:v>
      </x:c>
      <x:c r="AF40" s="444" t="str">
        <x:v>28768.9</x:v>
      </x:c>
      <x:c r="AG40" s="444" t="str">
        <x:v>불일치</x:v>
      </x:c>
      <x:c r="AH40" s="444" t="str"/>
      <x:c r="AI40" s="444" t="str">
        <x:v>경제활동인구 총괄 취업자 후보 선택. 성별/취업자 항목 확인 필요 | obj_l1/itm_id 자동 후보 입력</x:v>
      </x:c>
      <x:c r="AJ40" s="444" t="str">
        <x:v>보류</x:v>
      </x:c>
      <x:c r="AK40" s="444" t="str"/>
      <x:c r="AL40" s="444" t="str"/>
      <x:c r="AM40" s="444" t="str"/>
      <x:c r="AN40" s="444" t="str"/>
      <x:c r="AO40" s="444" t="str"/>
      <x:c r="AP40" s="444" t="str"/>
      <x:c r="AQ40" s="444" t="str"/>
      <x:c r="AR40" s="444" t="str"/>
      <x:c r="AS40" s="444" t="str"/>
      <x:c r="AT40" s="444" t="str"/>
      <x:c r="AU40" s="444" t="str"/>
      <x:c r="AV40" s="444" t="str"/>
      <x:c r="AW40" s="444" t="str">
        <x:v>N/A</x:v>
      </x:c>
      <x:c r="AX40" s="444" t="str"/>
      <x:c r="AY40" s="444" t="str"/>
      <x:c r="AZ40" s="444" t="str"/>
      <x:c r="BA40" s="444" t="str"/>
      <x:c r="BB40" s="444" t="str"/>
      <x:c r="BC40" s="444" t="str"/>
      <x:c r="BD40" s="444" t="str">
        <x:v>Y</x:v>
      </x:c>
      <x:c r="BE40" s="444" t="str"/>
      <x:c r="BF40" s="444" t="str">
        <x:v>101</x:v>
      </x:c>
      <x:c r="BG40" s="444" t="str">
        <x:v>DT_1DE6026S</x:v>
      </x:c>
      <x:c r="BH40" s="444" t="str">
        <x:v>0</x:v>
      </x:c>
      <x:c r="BI40" s="444" t="str"/>
      <x:c r="BJ40" s="444" t="str">
        <x:v>T10</x:v>
      </x:c>
      <x:c r="BK40" s="444" t="str">
        <x:v>M</x:v>
      </x:c>
      <x:c r="BL40" s="444" t="str">
        <x:v>22.6</x:v>
      </x:c>
      <x:c r="BM40" s="444" t="str">
        <x:v>202508</x:v>
      </x:c>
      <x:c r="BN40" s="444" t="str"/>
      <x:c r="BO40" s="444" t="str">
        <x:v>RATIO</x:v>
      </x:c>
      <x:c r="BP40" s="444" t="str">
        <x:v>일치</x:v>
      </x:c>
      <x:c r="BQ40" s="444" t="str">
        <x:v>2025년 8월 비임금근로자 6553.9천명/전체 취업자 28967.0천명=22.624%로 기사 22.6%와 일치</x:v>
      </x:c>
      <x:c r="BR40" s="444" t="str">
        <x:v>수동확정_비임금근로자비율</x:v>
      </x:c>
      <x:c r="BS40" s="444" t="str">
        <x:v>검증가능</x:v>
      </x:c>
      <x:c r="BT40" s="444" t="str">
        <x:v>N</x:v>
      </x:c>
      <x:c r="BU40" s="444" t="str">
        <x:v>N</x:v>
      </x:c>
      <x:c r="BV40" s="444" t="str">
        <x:v>N</x:v>
      </x:c>
      <x:c r="BW40" s="444" t="str">
        <x:v>N</x:v>
      </x:c>
      <x:c r="BX40" s="444" t="str">
        <x:v>N</x:v>
      </x:c>
      <x:c r="BY40" s="444" t="str">
        <x:v>N</x:v>
      </x:c>
      <x:c r="BZ40" s="444" t="str">
        <x:v>N</x:v>
      </x:c>
      <x:c r="CA40" s="444" t="str">
        <x:v>N</x:v>
      </x:c>
      <x:c r="CB40" s="444" t="str">
        <x:v>N</x:v>
      </x:c>
      <x:c r="CC40" s="444" t="str">
        <x:v>검증가능여부;통계표;항목;시점;주장수치;비교방식;최종판정</x:v>
      </x:c>
      <x:c r="CD40" s="444" t="str">
        <x:v>검증가능 지표를 코드북이 지원하지 않아 보류</x:v>
      </x:c>
    </x:row>
    <x:row r="41" ht="38" customHeight="1">
      <x:c r="A41" s="444" t="str">
        <x:v>40</x:v>
      </x:c>
      <x:c r="B41" s="444" t="str">
        <x:v>고용</x:v>
      </x:c>
      <x:c r="C41" s="444" t="str">
        <x:v>독립층화:수준값재검토</x:v>
      </x:c>
      <x:c r="D41" s="444" t="str">
        <x:v>수준값재검토</x:v>
      </x:c>
      <x:c r="E41" s="444" t="str">
        <x:v>재검토필요_수준값불일치</x:v>
      </x:c>
      <x:c r="F41" s="444" t="str">
        <x:v>outputs\bteam_review\final_verified_filled_2001_remapped_v6.csv</x:v>
      </x:c>
      <x:c r="G41" s="444" t="str">
        <x:v>C20379</x:v>
      </x:c>
      <x:c r="H41" s="444" t="str">
        <x:v>2696</x:v>
      </x:c>
      <x:c r="I41" s="444" t="str">
        <x:v>충북 농가 인력난, 도시 농부들이 풀었다</x:v>
      </x:c>
      <x:c r="J41" s="444" t="str">
        <x:v>2025-11-07</x:v>
      </x:c>
      <x:c r="K41" s="444" t="str">
        <x:v>https://www.chosun.com/national/national_general/2025/11/07/GIJROQTA6RFABIZ4GJJOILULAQ/</x:v>
      </x:c>
      <x:c r="L41" s="444" t="str">
        <x:v>국가데이터처에 따르면 지난 9월 기준 충북의 고용률은 74%로 전국 17개 시·도 중 2위를 기록했다.</x:v>
      </x:c>
      <x:c r="M41" s="444" t="str">
        <x:v>실업률은 1%로 가장 낮다.</x:v>
      </x:c>
      <x:c r="N41" s="444" t="str">
        <x:v>김 지사는 “기업 투자를 유치해 청년들이 선호하는 일자리를 만드는 동시에 퇴직자, 주부, 여성 등이 참여할 수 있는 ‘도시 농부’ ‘일하는기쁨’ 등 ‘틈새 일자리’ 사업도 벌이고 있기 때문”이라고 했다.</x:v>
      </x:c>
      <x:c r="O41" s="444" t="str">
        <x:v>고용지표</x:v>
      </x:c>
      <x:c r="P41" s="444" t="str">
        <x:v>고용지표; 비율·증감률</x:v>
      </x:c>
      <x:c r="Q41" s="444" t="str">
        <x:v>[1]</x:v>
      </x:c>
      <x:c r="R41" s="444" t="str">
        <x:v>['%']</x:v>
      </x:c>
      <x:c r="S41" s="444" t="str">
        <x:v>[]</x:v>
      </x:c>
      <x:c r="T41" s="444" t="str">
        <x:v>[]</x:v>
      </x:c>
      <x:c r="U41" s="444" t="str"/>
      <x:c r="V41" s="444" t="str">
        <x:v>101</x:v>
      </x:c>
      <x:c r="W41" s="444" t="str">
        <x:v>DT_1DA7001S</x:v>
      </x:c>
      <x:c r="X41" s="444" t="str">
        <x:v>0</x:v>
      </x:c>
      <x:c r="Y41" s="444" t="str"/>
      <x:c r="Z41" s="444" t="str">
        <x:v>T80</x:v>
      </x:c>
      <x:c r="AA41" s="444" t="str">
        <x:v>Y</x:v>
      </x:c>
      <x:c r="AB41" s="444" t="str">
        <x:v>LEVEL</x:v>
      </x:c>
      <x:c r="AC41" s="444" t="str">
        <x:v>1</x:v>
      </x:c>
      <x:c r="AD41" s="444" t="str">
        <x:v>2025</x:v>
      </x:c>
      <x:c r="AE41" s="444" t="str">
        <x:v>2024</x:v>
      </x:c>
      <x:c r="AF41" s="444" t="str">
        <x:v>2.8</x:v>
      </x:c>
      <x:c r="AG41" s="444" t="str">
        <x:v>불일치</x:v>
      </x:c>
      <x:c r="AH41" s="444" t="str"/>
      <x:c r="AI41" s="444" t="str">
        <x:v>경제활동인구 총괄 후보 선택. 실업률/실업자 항목 확인 필요 | obj_l1/itm_id 자동 후보 입력</x:v>
      </x:c>
      <x:c r="AJ41" s="444" t="str">
        <x:v>보류</x:v>
      </x:c>
      <x:c r="AK41" s="444" t="str"/>
      <x:c r="AL41" s="444" t="str"/>
      <x:c r="AM41" s="444" t="str"/>
      <x:c r="AN41" s="444" t="str"/>
      <x:c r="AO41" s="444" t="str"/>
      <x:c r="AP41" s="444" t="str"/>
      <x:c r="AQ41" s="444" t="str"/>
      <x:c r="AR41" s="444" t="str"/>
      <x:c r="AS41" s="444" t="str"/>
      <x:c r="AT41" s="444" t="str"/>
      <x:c r="AU41" s="444" t="str"/>
      <x:c r="AV41" s="444" t="str"/>
      <x:c r="AW41" s="444" t="str">
        <x:v>N/A</x:v>
      </x:c>
      <x:c r="AX41" s="444" t="str"/>
      <x:c r="AY41" s="444" t="str"/>
      <x:c r="AZ41" s="444" t="str"/>
      <x:c r="BA41" s="444" t="str"/>
      <x:c r="BB41" s="444" t="str"/>
      <x:c r="BC41" s="444" t="str"/>
      <x:c r="BD41" s="444" t="str">
        <x:v>Y</x:v>
      </x:c>
      <x:c r="BE41" s="444" t="str"/>
      <x:c r="BF41" s="444" t="str">
        <x:v>101</x:v>
      </x:c>
      <x:c r="BG41" s="444" t="str">
        <x:v>DT_1DA7004S</x:v>
      </x:c>
      <x:c r="BH41" s="444" t="str">
        <x:v>33</x:v>
      </x:c>
      <x:c r="BI41" s="444" t="str"/>
      <x:c r="BJ41" s="444" t="str">
        <x:v>T80</x:v>
      </x:c>
      <x:c r="BK41" s="444" t="str">
        <x:v>M</x:v>
      </x:c>
      <x:c r="BL41" s="444" t="str">
        <x:v>1</x:v>
      </x:c>
      <x:c r="BM41" s="444" t="str">
        <x:v>202509</x:v>
      </x:c>
      <x:c r="BN41" s="444" t="str"/>
      <x:c r="BO41" s="444" t="str">
        <x:v>LEVEL</x:v>
      </x:c>
      <x:c r="BP41" s="444" t="str">
        <x:v>일치</x:v>
      </x:c>
      <x:c r="BQ41" s="444" t="str">
        <x:v>행정구역별 경제활동인구표의 충청북도 2025년 9월 실업률=1.0%로 기사 주장과 일치</x:v>
      </x:c>
      <x:c r="BR41" s="444" t="str">
        <x:v>수동확정_충북실업률</x:v>
      </x:c>
      <x:c r="BS41" s="444" t="str">
        <x:v>검증가능</x:v>
      </x:c>
      <x:c r="BT41" s="444" t="str">
        <x:v>N</x:v>
      </x:c>
      <x:c r="BU41" s="444" t="str">
        <x:v>N</x:v>
      </x:c>
      <x:c r="BV41" s="444" t="str">
        <x:v>N</x:v>
      </x:c>
      <x:c r="BW41" s="444" t="str">
        <x:v>N</x:v>
      </x:c>
      <x:c r="BX41" s="444" t="str">
        <x:v>N</x:v>
      </x:c>
      <x:c r="BY41" s="444" t="str">
        <x:v>N</x:v>
      </x:c>
      <x:c r="BZ41" s="444" t="str">
        <x:v>N</x:v>
      </x:c>
      <x:c r="CA41" s="444" t="str">
        <x:v>N</x:v>
      </x:c>
      <x:c r="CB41" s="444" t="str">
        <x:v>N</x:v>
      </x:c>
      <x:c r="CC41" s="444" t="str">
        <x:v>검증가능여부;통계표;항목;시점;주장수치;비교방식;최종판정</x:v>
      </x:c>
      <x:c r="CD41" s="444" t="str">
        <x:v>검증가능 지표를 코드북이 지원하지 않아 보류</x:v>
      </x:c>
    </x:row>
    <x:row r="42" ht="38" customHeight="1">
      <x:c r="A42" s="444" t="str">
        <x:v>41</x:v>
      </x:c>
      <x:c r="B42" s="444" t="str">
        <x:v>무역</x:v>
      </x:c>
      <x:c r="C42" s="444" t="str">
        <x:v>독립층화:증감률재검토</x:v>
      </x:c>
      <x:c r="D42" s="444" t="str">
        <x:v>증감률재검토</x:v>
      </x:c>
      <x:c r="E42" s="444" t="str">
        <x:v>재검토필요_증감률불일치</x:v>
      </x:c>
      <x:c r="F42" s="444" t="str">
        <x:v>outputs\bteam_review\final_verified_filled_2001_remapped_v6.csv</x:v>
      </x:c>
      <x:c r="G42" s="444" t="str">
        <x:v>C00688</x:v>
      </x:c>
      <x:c r="H42" s="444" t="str">
        <x:v>81</x:v>
      </x:c>
      <x:c r="I42" s="444" t="str">
        <x:v>테슬라 Y, 벤츠·BMW 제쳐… 2년 연속 최고 인기 수입차</x:v>
      </x:c>
      <x:c r="J42" s="444" t="str">
        <x:v>2025-01-07</x:v>
      </x:c>
      <x:c r="K42" s="444" t="str">
        <x:v>https://www.chosun.com/economy/auto/2025/01/07/LZQVWHYSWNHDFOXAWZNALC57BY</x:v>
      </x:c>
      <x:c r="L42" s="444" t="str">
        <x:v>BMW 520과 벤츠 E200은 2, 3위, 벤츠 E300 4MATIC, 테슬라 모델 3는 4, 5위를 나타냈다.</x:v>
      </x:c>
      <x:c r="M42" s="444" t="str">
        <x:v>전체 수입차 판매는 2023년(27만1034대)보다 2.9% 감소한 26만3288대에 그쳤다.</x:v>
      </x:c>
      <x:c r="N42" s="444" t="str">
        <x:v>브랜드별로는 BMW(7만3754대)와 벤츠(6만6400대)가 전년과 같은 1, 2위를 유지했고, 테슬라가 2023년(1만 6461대)의 두 배에 가까운 2만9750대를 판매하며 3위에 올랐다.</x:v>
      </x:c>
      <x:c r="O42" s="444" t="str">
        <x:v>무역지표</x:v>
      </x:c>
      <x:c r="P42" s="444" t="str">
        <x:v>무역지표; 비율·증감률; 날짜·시간</x:v>
      </x:c>
      <x:c r="Q42" s="444" t="str">
        <x:v>[2023, 2.9]</x:v>
      </x:c>
      <x:c r="R42" s="444" t="str">
        <x:v>['년', '%']</x:v>
      </x:c>
      <x:c r="S42" s="444" t="str">
        <x:v>['2023']</x:v>
      </x:c>
      <x:c r="T42" s="444" t="str">
        <x:v>[]</x:v>
      </x:c>
      <x:c r="U42" s="444" t="str"/>
      <x:c r="V42" s="444" t="str">
        <x:v>360</x:v>
      </x:c>
      <x:c r="W42" s="444" t="str">
        <x:v>DT_1R11001_FRM101</x:v>
      </x:c>
      <x:c r="X42" s="444" t="str">
        <x:v>13102112831A.A</x:v>
      </x:c>
      <x:c r="Y42" s="444" t="str"/>
      <x:c r="Z42" s="444" t="str">
        <x:v>13103112831T2</x:v>
      </x:c>
      <x:c r="AA42" s="444" t="str">
        <x:v>Y</x:v>
      </x:c>
      <x:c r="AB42" s="444" t="str">
        <x:v>CHANGE_RATE</x:v>
      </x:c>
      <x:c r="AC42" s="444" t="str">
        <x:v>2.9</x:v>
      </x:c>
      <x:c r="AD42" s="444" t="str">
        <x:v>2023</x:v>
      </x:c>
      <x:c r="AE42" s="444" t="str">
        <x:v>2022</x:v>
      </x:c>
      <x:c r="AF42" s="444" t="str">
        <x:v>-12.14126538</x:v>
      </x:c>
      <x:c r="AG42" s="444" t="str">
        <x:v>불일치</x:v>
      </x:c>
      <x:c r="AH42" s="444" t="str"/>
      <x:c r="AI42" s="444" t="str">
        <x:v>품목별 수출입 후보 선택. 품목/수출입/시점 코드 확인 필요 | obj_l1/itm_id 자동 후보 입력</x:v>
      </x:c>
      <x:c r="AJ42" s="444" t="str">
        <x:v>보류</x:v>
      </x:c>
      <x:c r="AK42" s="444" t="str"/>
      <x:c r="AL42" s="444" t="str"/>
      <x:c r="AM42" s="444" t="str"/>
      <x:c r="AN42" s="444" t="str"/>
      <x:c r="AO42" s="444" t="str"/>
      <x:c r="AP42" s="444" t="str"/>
      <x:c r="AQ42" s="444" t="str"/>
      <x:c r="AR42" s="444" t="str"/>
      <x:c r="AS42" s="444" t="str"/>
      <x:c r="AT42" s="444" t="str"/>
      <x:c r="AU42" s="444" t="str"/>
      <x:c r="AV42" s="444" t="str"/>
      <x:c r="AW42" s="444" t="str">
        <x:v>N/A</x:v>
      </x:c>
      <x:c r="AX42" s="444" t="str"/>
      <x:c r="AY42" s="444" t="str"/>
      <x:c r="AZ42" s="444" t="str"/>
      <x:c r="BA42" s="444" t="str"/>
      <x:c r="BB42" s="444" t="str"/>
      <x:c r="BC42" s="444" t="str"/>
      <x:c r="BD42" s="444" t="str">
        <x:v>N</x:v>
      </x:c>
      <x:c r="BE42" s="444" t="str">
        <x:v>KOSIS 미제공</x:v>
      </x:c>
      <x:c r="BF42" s="444" t="str"/>
      <x:c r="BG42" s="444" t="str"/>
      <x:c r="BH42" s="444" t="str"/>
      <x:c r="BI42" s="444" t="str"/>
      <x:c r="BJ42" s="444" t="str"/>
      <x:c r="BK42" s="444" t="str"/>
      <x:c r="BL42" s="444" t="str"/>
      <x:c r="BM42" s="444" t="str"/>
      <x:c r="BN42" s="444" t="str"/>
      <x:c r="BO42" s="444" t="str"/>
      <x:c r="BP42" s="444" t="str"/>
      <x:c r="BQ42" s="444" t="str">
        <x:v>한국수입자동차협회 집계인 수입차 등록·판매 실적으로 KOSIS 국가통계표에서 동일 지표를 제공하지 않음</x:v>
      </x:c>
      <x:c r="BR42" s="444" t="str">
        <x:v>수동확정_검증불가</x:v>
      </x:c>
      <x:c r="BS42" s="444" t="str">
        <x:v>검증불가</x:v>
      </x:c>
      <x:c r="BT42" s="444" t="str">
        <x:v>N</x:v>
      </x:c>
      <x:c r="BU42" s="444" t="str">
        <x:v>N/A</x:v>
      </x:c>
      <x:c r="BV42" s="444" t="str">
        <x:v>N/A</x:v>
      </x:c>
      <x:c r="BW42" s="444" t="str">
        <x:v>N/A</x:v>
      </x:c>
      <x:c r="BX42" s="444" t="str">
        <x:v>N/A</x:v>
      </x:c>
      <x:c r="BY42" s="444" t="str">
        <x:v>N/A</x:v>
      </x:c>
      <x:c r="BZ42" s="444" t="str">
        <x:v>N/A</x:v>
      </x:c>
      <x:c r="CA42" s="444" t="str">
        <x:v>N/A</x:v>
      </x:c>
      <x:c r="CB42" s="444" t="str">
        <x:v>N/A</x:v>
      </x:c>
      <x:c r="CC42" s="444" t="str">
        <x:v>검증가능여부</x:v>
      </x:c>
      <x:c r="CD42" s="444" t="str">
        <x:v>검증불가 사유를 자동 분류하지 못해 보류</x:v>
      </x:c>
    </x:row>
    <x:row r="43" ht="38" customHeight="1">
      <x:c r="A43" s="444" t="str">
        <x:v>42</x:v>
      </x:c>
      <x:c r="B43" s="444" t="str">
        <x:v>무역</x:v>
      </x:c>
      <x:c r="C43" s="444" t="str">
        <x:v>독립층화:수준값재검토</x:v>
      </x:c>
      <x:c r="D43" s="444" t="str">
        <x:v>수준값재검토</x:v>
      </x:c>
      <x:c r="E43" s="444" t="str">
        <x:v>재검토필요_수준값불일치</x:v>
      </x:c>
      <x:c r="F43" s="444" t="str">
        <x:v>outputs\bteam_review\final_verified_filled_2001_remapped_v6.csv</x:v>
      </x:c>
      <x:c r="G43" s="444" t="str">
        <x:v>C02277</x:v>
      </x:c>
      <x:c r="H43" s="444" t="str">
        <x:v>308</x:v>
      </x:c>
      <x:c r="I43" s="444" t="str">
        <x:v>3분기 연속 제로 성장… 현실이 된 ‘피크 코리아’</x:v>
      </x:c>
      <x:c r="J43" s="444" t="str">
        <x:v>2025-01-24</x:v>
      </x:c>
      <x:c r="K43" s="444" t="str">
        <x:v>https://www.chosun.com/economy/economy_general/2025/01/24/SCPOEWE2RNG4NPULCO2RIKRR2I</x:v>
      </x:c>
      <x:c r="L43" s="444" t="str">
        <x:v>한국은행은 23일 “2024년 실질 국내총생산(GDP)이 1년 전보다 2% 증가했다”고 밝혔다.</x:v>
      </x:c>
      <x:c r="M43" s="444" t="str">
        <x:v>그나마 수출이 잘됐던 작년 1분기(1.3%) 덕에 2% 턱걸이를 했다.</x:v>
      </x:c>
      <x:c r="N43" s="444" t="str">
        <x:v>특단의 대책 없이 방치하면 한국 경제가 구조적 저성장 단계로 접어들 수 있다는 우려가 나온다.</x:v>
      </x:c>
      <x:c r="O43" s="444" t="str">
        <x:v>무역지표</x:v>
      </x:c>
      <x:c r="P43" s="444" t="str">
        <x:v>무역지표; 비율·증감률; 날짜·시간</x:v>
      </x:c>
      <x:c r="Q43" s="444" t="str">
        <x:v>[1, 1.3, 2]</x:v>
      </x:c>
      <x:c r="R43" s="444" t="str">
        <x:v>['분', '%', '%']</x:v>
      </x:c>
      <x:c r="S43" s="444" t="str">
        <x:v>[]</x:v>
      </x:c>
      <x:c r="T43" s="444" t="str">
        <x:v>[]</x:v>
      </x:c>
      <x:c r="U43" s="444" t="str"/>
      <x:c r="V43" s="444" t="str">
        <x:v>360</x:v>
      </x:c>
      <x:c r="W43" s="444" t="str">
        <x:v>DT_1R11001_FRM101</x:v>
      </x:c>
      <x:c r="X43" s="444" t="str">
        <x:v>13102112831A.A</x:v>
      </x:c>
      <x:c r="Y43" s="444" t="str"/>
      <x:c r="Z43" s="444" t="str">
        <x:v>13103112831T1</x:v>
      </x:c>
      <x:c r="AA43" s="444" t="str">
        <x:v>Q</x:v>
      </x:c>
      <x:c r="AB43" s="444" t="str">
        <x:v>LEVEL</x:v>
      </x:c>
      <x:c r="AC43" s="444" t="str">
        <x:v>2</x:v>
      </x:c>
      <x:c r="AD43" s="444" t="str">
        <x:v>202401</x:v>
      </x:c>
      <x:c r="AE43" s="444" t="str">
        <x:v>202304</x:v>
      </x:c>
      <x:c r="AF43" s="444" t="str">
        <x:v>163304522</x:v>
      </x:c>
      <x:c r="AG43" s="444" t="str">
        <x:v>불일치</x:v>
      </x:c>
      <x:c r="AH43" s="444" t="str"/>
      <x:c r="AI43" s="444" t="str">
        <x:v>품목별 수출입 후보 선택. 품목/수출입/시점 코드 확인 필요 | obj_l1/itm_id 자동 후보 입력</x:v>
      </x:c>
      <x:c r="AJ43" s="444" t="str">
        <x:v>보류</x:v>
      </x:c>
      <x:c r="AK43" s="444" t="str"/>
      <x:c r="AL43" s="444" t="str"/>
      <x:c r="AM43" s="444" t="str"/>
      <x:c r="AN43" s="444" t="str"/>
      <x:c r="AO43" s="444" t="str"/>
      <x:c r="AP43" s="444" t="str"/>
      <x:c r="AQ43" s="444" t="str"/>
      <x:c r="AR43" s="444" t="str"/>
      <x:c r="AS43" s="444" t="str"/>
      <x:c r="AT43" s="444" t="str"/>
      <x:c r="AU43" s="444" t="str"/>
      <x:c r="AV43" s="444" t="str"/>
      <x:c r="AW43" s="444" t="str">
        <x:v>N/A</x:v>
      </x:c>
      <x:c r="AX43" s="444" t="str"/>
      <x:c r="AY43" s="444" t="str"/>
      <x:c r="AZ43" s="444" t="str"/>
      <x:c r="BA43" s="444" t="str"/>
      <x:c r="BB43" s="444" t="str"/>
      <x:c r="BC43" s="444" t="str"/>
      <x:c r="BD43" s="444" t="str">
        <x:v>Y</x:v>
      </x:c>
      <x:c r="BE43" s="444" t="str"/>
      <x:c r="BF43" s="444" t="str">
        <x:v>301</x:v>
      </x:c>
      <x:c r="BG43" s="444" t="str">
        <x:v>DT_200Y104</x:v>
      </x:c>
      <x:c r="BH43" s="444" t="str">
        <x:v>13102136259ACC_ITEM.1400</x:v>
      </x:c>
      <x:c r="BI43" s="444" t="str"/>
      <x:c r="BJ43" s="444" t="str">
        <x:v>13103136259999</x:v>
      </x:c>
      <x:c r="BK43" s="444" t="str">
        <x:v>Q</x:v>
      </x:c>
      <x:c r="BL43" s="444" t="str">
        <x:v>1.3</x:v>
      </x:c>
      <x:c r="BM43" s="444" t="str">
        <x:v>202401</x:v>
      </x:c>
      <x:c r="BN43" s="444" t="str">
        <x:v>202304</x:v>
      </x:c>
      <x:c r="BO43" s="444" t="str">
        <x:v>CHANGE_RATE</x:v>
      </x:c>
      <x:c r="BP43" s="444" t="str">
        <x:v>일치</x:v>
      </x:c>
      <x:c r="BQ43" s="444" t="str">
        <x:v>KOSIS 실질 GDP 계절조정계열 현재 개정치 2024년 1분기 575171.3, 2023년 4분기 569404.4로 전기 대비 약 1.013%. 기사 1.3%와 0.29%p 차이로 개정·허용오차 0.3%p 이내</x:v>
      </x:c>
      <x:c r="BR43" s="444" t="str">
        <x:v>수동확정_현재KOSIS개정치기준</x:v>
      </x:c>
      <x:c r="BS43" s="444" t="str">
        <x:v>검증가능</x:v>
      </x:c>
      <x:c r="BT43" s="444" t="str">
        <x:v>N</x:v>
      </x:c>
      <x:c r="BU43" s="444" t="str">
        <x:v>N</x:v>
      </x:c>
      <x:c r="BV43" s="444" t="str">
        <x:v>N</x:v>
      </x:c>
      <x:c r="BW43" s="444" t="str">
        <x:v>N</x:v>
      </x:c>
      <x:c r="BX43" s="444" t="str">
        <x:v>N</x:v>
      </x:c>
      <x:c r="BY43" s="444" t="str">
        <x:v>N</x:v>
      </x:c>
      <x:c r="BZ43" s="444" t="str">
        <x:v>N</x:v>
      </x:c>
      <x:c r="CA43" s="444" t="str">
        <x:v>N</x:v>
      </x:c>
      <x:c r="CB43" s="444" t="str">
        <x:v>N</x:v>
      </x:c>
      <x:c r="CC43" s="444" t="str">
        <x:v>검증가능여부;통계표;항목;시점;주장수치;비교방식;최종판정</x:v>
      </x:c>
      <x:c r="CD43" s="444" t="str">
        <x:v>검증가능 지표를 코드북이 지원하지 않아 보류</x:v>
      </x:c>
    </x:row>
    <x:row r="44" ht="38" customHeight="1">
      <x:c r="A44" s="444" t="str">
        <x:v>43</x:v>
      </x:c>
      <x:c r="B44" s="444" t="str">
        <x:v>무역</x:v>
      </x:c>
      <x:c r="C44" s="444" t="str">
        <x:v>독립층화:판단불가</x:v>
      </x:c>
      <x:c r="D44" s="444" t="str">
        <x:v>판단불가</x:v>
      </x:c>
      <x:c r="E44" s="444" t="str"/>
      <x:c r="F44" s="444" t="str">
        <x:v>outputs\archive\bteam_poc_20260714\bteam_verification\bteam_kosis_review_manual_prioritized_4403.csv</x:v>
      </x:c>
      <x:c r="G44" s="444" t="str">
        <x:v>C04244</x:v>
      </x:c>
      <x:c r="H44" s="444" t="str">
        <x:v>538</x:v>
      </x:c>
      <x:c r="I44" s="444" t="str">
        <x:v>1~10일 일평균 수출액 6.4% 줄어...17개월 만 최대폭 감소</x:v>
      </x:c>
      <x:c r="J44" s="444" t="str">
        <x:v>2025-02-11</x:v>
      </x:c>
      <x:c r="K44" s="444" t="str">
        <x:v>https://www.chosun.com/economy/economy_general/2025/02/11/3H2PYHOJFBEXLARKGB4QNSQZ2A</x:v>
      </x:c>
      <x:c r="L44" s="444" t="str">
        <x:v>반도체(1.8%)와 승용차(27.1%) 등 주요 수출 품목은 증가세를 이어갔지만, 석유제품(-22.3%)과 철강(8.8%), 자동차부품(-27.1%), 가전제품(-33.7%) 등은 중국산 저가 공습 등에 밀려 고전을 면치 못했다.</x:v>
      </x:c>
      <x:c r="M44" s="444" t="str">
        <x:v>국가별로는 대(對)중국 수출이 29조5200만달러로 4.5% 증가한 반면, 대미 수출은 8.6% 줄었다.</x:v>
      </x:c>
      <x:c r="N44" s="444" t="str">
        <x:v>일본(-22%)과 홍콩(-34.5%), 말레이시아(-28.1%) 등을 대상으로 한 수출도 큰 폭으로 줄었다.</x:v>
      </x:c>
      <x:c r="O44" s="444" t="str">
        <x:v>무역지표</x:v>
      </x:c>
      <x:c r="P44" s="444" t="str">
        <x:v>무역지표; 비율·증감률</x:v>
      </x:c>
      <x:c r="Q44" s="444" t="str">
        <x:v>[4.5, 8.6]</x:v>
      </x:c>
      <x:c r="R44" s="444" t="str">
        <x:v>['%', '%']</x:v>
      </x:c>
      <x:c r="S44" s="444" t="str">
        <x:v>[]</x:v>
      </x:c>
      <x:c r="T44" s="444" t="str">
        <x:v>[]</x:v>
      </x:c>
      <x:c r="U44" s="444" t="str"/>
      <x:c r="V44" s="444" t="str"/>
      <x:c r="W44" s="444" t="str"/>
      <x:c r="X44" s="444" t="str"/>
      <x:c r="Y44" s="444" t="str"/>
      <x:c r="Z44" s="444" t="str"/>
      <x:c r="AA44" s="444" t="str"/>
      <x:c r="AB44" s="444" t="str"/>
      <x:c r="AC44" s="444" t="str"/>
      <x:c r="AD44" s="444" t="str"/>
      <x:c r="AE44" s="444" t="str"/>
      <x:c r="AF44" s="444" t="str"/>
      <x:c r="AG44" s="444" t="str"/>
      <x:c r="AH44" s="444" t="str"/>
      <x:c r="AI44" s="444" t="str">
        <x:v>[Claude 검토] 후보 없음: 관세청 1~10일 국가별 수출 증감(중국/미국), KOSIS 월별 통계와 시점 단위 불일치</x:v>
      </x:c>
      <x:c r="AJ44" s="444" t="str">
        <x:v>보류</x:v>
      </x:c>
      <x:c r="AK44" s="444" t="str"/>
      <x:c r="AL44" s="444" t="str"/>
      <x:c r="AM44" s="444" t="str"/>
      <x:c r="AN44" s="444" t="str"/>
      <x:c r="AO44" s="444" t="str"/>
      <x:c r="AP44" s="444" t="str"/>
      <x:c r="AQ44" s="444" t="str"/>
      <x:c r="AR44" s="444" t="str"/>
      <x:c r="AS44" s="444" t="str"/>
      <x:c r="AT44" s="444" t="str"/>
      <x:c r="AU44" s="444" t="str"/>
      <x:c r="AV44" s="444" t="str"/>
      <x:c r="AW44" s="444" t="str">
        <x:v>N/A</x:v>
      </x:c>
      <x:c r="AX44" s="444" t="str"/>
      <x:c r="AY44" s="444" t="str"/>
      <x:c r="AZ44" s="444" t="str"/>
      <x:c r="BA44" s="444" t="str"/>
      <x:c r="BB44" s="444" t="str"/>
      <x:c r="BC44" s="444" t="str"/>
      <x:c r="BD44" s="444" t="str">
        <x:v>N</x:v>
      </x:c>
      <x:c r="BE44" s="444" t="str">
        <x:v>KOSIS 미제공</x:v>
      </x:c>
      <x:c r="BF44" s="444" t="str"/>
      <x:c r="BG44" s="444" t="str"/>
      <x:c r="BH44" s="444" t="str"/>
      <x:c r="BI44" s="444" t="str"/>
      <x:c r="BJ44" s="444" t="str"/>
      <x:c r="BK44" s="444" t="str"/>
      <x:c r="BL44" s="444" t="str"/>
      <x:c r="BM44" s="444" t="str"/>
      <x:c r="BN44" s="444" t="str"/>
      <x:c r="BO44" s="444" t="str"/>
      <x:c r="BP44" s="444" t="str"/>
      <x:c r="BQ44" s="444" t="str">
        <x:v>관세청 2월 1~10일 잠정 수출입 보도자료의 국가별 실적으로 KOSIS 월간 확정 통계와 동일한 10일 구간을 제공하지 않음</x:v>
      </x:c>
      <x:c r="BR44" s="444" t="str">
        <x:v>수동확정_검증불가</x:v>
      </x:c>
      <x:c r="BS44" s="444" t="str">
        <x:v>검증불가</x:v>
      </x:c>
      <x:c r="BT44" s="444" t="str">
        <x:v>N</x:v>
      </x:c>
      <x:c r="BU44" s="444" t="str">
        <x:v>N/A</x:v>
      </x:c>
      <x:c r="BV44" s="444" t="str">
        <x:v>N/A</x:v>
      </x:c>
      <x:c r="BW44" s="444" t="str">
        <x:v>N/A</x:v>
      </x:c>
      <x:c r="BX44" s="444" t="str">
        <x:v>N/A</x:v>
      </x:c>
      <x:c r="BY44" s="444" t="str">
        <x:v>N/A</x:v>
      </x:c>
      <x:c r="BZ44" s="444" t="str">
        <x:v>N/A</x:v>
      </x:c>
      <x:c r="CA44" s="444" t="str">
        <x:v>N/A</x:v>
      </x:c>
      <x:c r="CB44" s="444" t="str">
        <x:v>N/A</x:v>
      </x:c>
      <x:c r="CC44" s="444" t="str">
        <x:v>검증가능여부</x:v>
      </x:c>
      <x:c r="CD44" s="444" t="str">
        <x:v>검증불가 사유를 자동 분류하지 못해 보류</x:v>
      </x:c>
    </x:row>
    <x:row r="45" ht="38" customHeight="1">
      <x:c r="A45" s="444" t="str">
        <x:v>44</x:v>
      </x:c>
      <x:c r="B45" s="444" t="str">
        <x:v>무역</x:v>
      </x:c>
      <x:c r="C45" s="444" t="str">
        <x:v>독립층화:수준값재검토</x:v>
      </x:c>
      <x:c r="D45" s="444" t="str">
        <x:v>수준값재검토</x:v>
      </x:c>
      <x:c r="E45" s="444" t="str">
        <x:v>재검토필요_수준값불일치</x:v>
      </x:c>
      <x:c r="F45" s="444" t="str">
        <x:v>outputs\bteam_review\final_verified_filled_2001_remapped_v6.csv</x:v>
      </x:c>
      <x:c r="G45" s="444" t="str">
        <x:v>C05931</x:v>
      </x:c>
      <x:c r="H45" s="444" t="str">
        <x:v>751</x:v>
      </x:c>
      <x:c r="I45" s="444" t="str">
        <x:v>“반도체·자동차·철강 등 한국, 향후 4년 수출 둔화… AI 인재 5만명 키워야”</x:v>
      </x:c>
      <x:c r="J45" s="444" t="str">
        <x:v>2025-02-27</x:v>
      </x:c>
      <x:c r="K45" s="444" t="str">
        <x:v>https://www.chosun.com/economy/economy_general/2025/02/27/LOVOXISKTFBUTJ3IYI6D7TIPDY</x:v>
      </x:c>
      <x:c r="L45" s="444" t="str">
        <x:v>개인이 생필품과 기본 서비스 등을 확보하면서 저축할 수 있는지를 가르는 경계다.</x:v>
      </x:c>
      <x:c r="M45" s="444" t="str">
        <x:v>전 세계 인구 60%가 이 아래에 있다.</x:v>
      </x:c>
      <x:c r="N45" s="444" t="str">
        <x:v>이 문제를 해결하기 위해 AI를 활용해야 한다.</x:v>
      </x:c>
      <x:c r="O45" s="444" t="str">
        <x:v>인구지표</x:v>
      </x:c>
      <x:c r="P45" s="444" t="str">
        <x:v>인구지표; 비율·증감률</x:v>
      </x:c>
      <x:c r="Q45" s="444" t="str">
        <x:v>[60]</x:v>
      </x:c>
      <x:c r="R45" s="444" t="str">
        <x:v>['%']</x:v>
      </x:c>
      <x:c r="S45" s="444" t="str">
        <x:v>[]</x:v>
      </x:c>
      <x:c r="T45" s="444" t="str">
        <x:v>[]</x:v>
      </x:c>
      <x:c r="U45" s="444" t="str"/>
      <x:c r="V45" s="444" t="str">
        <x:v>360</x:v>
      </x:c>
      <x:c r="W45" s="444" t="str">
        <x:v>DT_1R11001_FRM101</x:v>
      </x:c>
      <x:c r="X45" s="444" t="str">
        <x:v>13102112831A.7763</x:v>
      </x:c>
      <x:c r="Y45" s="444" t="str"/>
      <x:c r="Z45" s="444" t="str">
        <x:v>13103112831T1</x:v>
      </x:c>
      <x:c r="AA45" s="444" t="str">
        <x:v>Y</x:v>
      </x:c>
      <x:c r="AB45" s="444" t="str">
        <x:v>LEVEL</x:v>
      </x:c>
      <x:c r="AC45" s="444" t="str">
        <x:v>60</x:v>
      </x:c>
      <x:c r="AD45" s="444" t="str">
        <x:v>2025</x:v>
      </x:c>
      <x:c r="AE45" s="444" t="str">
        <x:v>2024</x:v>
      </x:c>
      <x:c r="AF45" s="444" t="str">
        <x:v>3370573</x:v>
      </x:c>
      <x:c r="AG45" s="444" t="str">
        <x:v>불일치</x:v>
      </x:c>
      <x:c r="AH45" s="444" t="str"/>
      <x:c r="AI45" s="444" t="str">
        <x:v>품목별 수출입 후보 선택. 품목/수출입/시점 코드 확인 필요 | 품목 세부 코드 필요: 총액 코드로 확정하지 않음 | 품목 코드 자동 후보: 반도체 디바이스</x:v>
      </x:c>
      <x:c r="AJ45" s="444" t="str">
        <x:v>보류</x:v>
      </x:c>
      <x:c r="AK45" s="444" t="str"/>
      <x:c r="AL45" s="444" t="str"/>
      <x:c r="AM45" s="444" t="str"/>
      <x:c r="AN45" s="444" t="str"/>
      <x:c r="AO45" s="444" t="str"/>
      <x:c r="AP45" s="444" t="str"/>
      <x:c r="AQ45" s="444" t="str"/>
      <x:c r="AR45" s="444" t="str"/>
      <x:c r="AS45" s="444" t="str"/>
      <x:c r="AT45" s="444" t="str"/>
      <x:c r="AU45" s="444" t="str"/>
      <x:c r="AV45" s="444" t="str"/>
      <x:c r="AW45" s="444" t="str">
        <x:v>N/A</x:v>
      </x:c>
      <x:c r="AX45" s="444" t="str"/>
      <x:c r="AY45" s="444" t="str"/>
      <x:c r="AZ45" s="444" t="str"/>
      <x:c r="BA45" s="444" t="str"/>
      <x:c r="BB45" s="444" t="str"/>
      <x:c r="BC45" s="444" t="str"/>
      <x:c r="BD45" s="444" t="str">
        <x:v>N</x:v>
      </x:c>
      <x:c r="BE45" s="444" t="str">
        <x:v>정보 부족</x:v>
      </x:c>
      <x:c r="BF45" s="444" t="str"/>
      <x:c r="BG45" s="444" t="str"/>
      <x:c r="BH45" s="444" t="str"/>
      <x:c r="BI45" s="444" t="str"/>
      <x:c r="BJ45" s="444" t="str"/>
      <x:c r="BK45" s="444" t="str"/>
      <x:c r="BL45" s="444" t="str"/>
      <x:c r="BM45" s="444" t="str"/>
      <x:c r="BN45" s="444" t="str"/>
      <x:c r="BO45" s="444" t="str"/>
      <x:c r="BP45" s="444" t="str"/>
      <x:c r="BQ45" s="444" t="str">
        <x:v>전 세계 인구 60%가 아래에 있다는 기준선·지표명·시점이 문장에 특정되지 않아 동일 통계표와 값을 식별할 수 없음</x:v>
      </x:c>
      <x:c r="BR45" s="444" t="str">
        <x:v>수동확정_검증불가</x:v>
      </x:c>
      <x:c r="BS45" s="444" t="str">
        <x:v>검증불가</x:v>
      </x:c>
      <x:c r="BT45" s="444" t="str">
        <x:v>N</x:v>
      </x:c>
      <x:c r="BU45" s="444" t="str">
        <x:v>N/A</x:v>
      </x:c>
      <x:c r="BV45" s="444" t="str">
        <x:v>N/A</x:v>
      </x:c>
      <x:c r="BW45" s="444" t="str">
        <x:v>N/A</x:v>
      </x:c>
      <x:c r="BX45" s="444" t="str">
        <x:v>N/A</x:v>
      </x:c>
      <x:c r="BY45" s="444" t="str">
        <x:v>N/A</x:v>
      </x:c>
      <x:c r="BZ45" s="444" t="str">
        <x:v>N/A</x:v>
      </x:c>
      <x:c r="CA45" s="444" t="str">
        <x:v>N/A</x:v>
      </x:c>
      <x:c r="CB45" s="444" t="str">
        <x:v>N/A</x:v>
      </x:c>
      <x:c r="CC45" s="444" t="str">
        <x:v>검증가능여부</x:v>
      </x:c>
      <x:c r="CD45" s="444" t="str">
        <x:v>검증불가 사유를 자동 분류하지 못해 보류</x:v>
      </x:c>
    </x:row>
    <x:row r="46" ht="38" customHeight="1">
      <x:c r="A46" s="444" t="str">
        <x:v>45</x:v>
      </x:c>
      <x:c r="B46" s="444" t="str">
        <x:v>무역</x:v>
      </x:c>
      <x:c r="C46" s="444" t="str">
        <x:v>독립층화:판단불가</x:v>
      </x:c>
      <x:c r="D46" s="444" t="str">
        <x:v>판단불가</x:v>
      </x:c>
      <x:c r="E46" s="444" t="str"/>
      <x:c r="F46" s="444" t="str">
        <x:v>outputs\archive\bteam_poc_20260714\bteam_verification\bteam_kosis_review_manual_prioritized_4403.csv</x:v>
      </x:c>
      <x:c r="G46" s="444" t="str">
        <x:v>C08058</x:v>
      </x:c>
      <x:c r="H46" s="444" t="str">
        <x:v>1037</x:v>
      </x:c>
      <x:c r="I46" s="444" t="str">
        <x:v>반도체·車 수출 호조에 3월 1~20일 수출, 전년 동기 대비 4.5% 증가</x:v>
      </x:c>
      <x:c r="J46" s="444" t="str">
        <x:v>2025-03-21</x:v>
      </x:c>
      <x:c r="K46" s="444" t="str">
        <x:v>https://www.chosun.com/economy/economy_general/2025/03/21/DJTK7PWYEBCM3HVMSAKDZI74ZI</x:v>
      </x:c>
      <x:c r="L46" s="444" t="str">
        <x:v>휴일을 뺀 조업 일수 하루 평균 수출액 역시 이달 1~20일 25억4000만달러를 기록해 전년 동기(23억5000만달러) 대비 8.2% 늘었다.</x:v>
      </x:c>
      <x:c r="M46" s="444" t="str">
        <x:v>수입액은 원유·가스·석탄 등 에너지 수입액 감소 여파로 전년 동기 대비 1.4%로 줄어든 344억달러로 집계됐다.</x:v>
      </x:c>
      <x:c r="N46" s="444" t="str">
        <x:v>수출액이 수입액을 웃돌면서 이 기간 무역수지는 11억 달러 흑자를 기록했다.</x:v>
      </x:c>
      <x:c r="O46" s="444" t="str">
        <x:v>무역지표</x:v>
      </x:c>
      <x:c r="P46" s="444" t="str">
        <x:v>무역지표; 비율·증감률</x:v>
      </x:c>
      <x:c r="Q46" s="444" t="str">
        <x:v>[1.4]</x:v>
      </x:c>
      <x:c r="R46" s="444" t="str">
        <x:v>['%']</x:v>
      </x:c>
      <x:c r="S46" s="444" t="str">
        <x:v>[]</x:v>
      </x:c>
      <x:c r="T46" s="444" t="str">
        <x:v>[]</x:v>
      </x:c>
      <x:c r="U46" s="444" t="str"/>
      <x:c r="V46" s="444" t="str"/>
      <x:c r="W46" s="444" t="str"/>
      <x:c r="X46" s="444" t="str"/>
      <x:c r="Y46" s="444" t="str"/>
      <x:c r="Z46" s="444" t="str"/>
      <x:c r="AA46" s="444" t="str"/>
      <x:c r="AB46" s="444" t="str"/>
      <x:c r="AC46" s="444" t="str"/>
      <x:c r="AD46" s="444" t="str"/>
      <x:c r="AE46" s="444" t="str"/>
      <x:c r="AF46" s="444" t="str"/>
      <x:c r="AG46" s="444" t="str"/>
      <x:c r="AH46" s="444" t="str"/>
      <x:c r="AI46" s="444" t="str">
        <x:v>[Claude 검토] 후보 없음: 관세청 1~20일 수입액(C08054 연결), KOSIS 시점 단위 불일치</x:v>
      </x:c>
      <x:c r="AJ46" s="444" t="str">
        <x:v>보류</x:v>
      </x:c>
      <x:c r="AK46" s="444" t="str"/>
      <x:c r="AL46" s="444" t="str"/>
      <x:c r="AM46" s="444" t="str"/>
      <x:c r="AN46" s="444" t="str"/>
      <x:c r="AO46" s="444" t="str"/>
      <x:c r="AP46" s="444" t="str"/>
      <x:c r="AQ46" s="444" t="str"/>
      <x:c r="AR46" s="444" t="str"/>
      <x:c r="AS46" s="444" t="str"/>
      <x:c r="AT46" s="444" t="str"/>
      <x:c r="AU46" s="444" t="str"/>
      <x:c r="AV46" s="444" t="str"/>
      <x:c r="AW46" s="444" t="str">
        <x:v>N/A</x:v>
      </x:c>
      <x:c r="AX46" s="444" t="str"/>
      <x:c r="AY46" s="444" t="str"/>
      <x:c r="AZ46" s="444" t="str"/>
      <x:c r="BA46" s="444" t="str"/>
      <x:c r="BB46" s="444" t="str"/>
      <x:c r="BC46" s="444" t="str"/>
      <x:c r="BD46" s="444" t="str">
        <x:v>N</x:v>
      </x:c>
      <x:c r="BE46" s="444" t="str">
        <x:v>KOSIS 미제공</x:v>
      </x:c>
      <x:c r="BF46" s="444" t="str"/>
      <x:c r="BG46" s="444" t="str"/>
      <x:c r="BH46" s="444" t="str"/>
      <x:c r="BI46" s="444" t="str"/>
      <x:c r="BJ46" s="444" t="str"/>
      <x:c r="BK46" s="444" t="str"/>
      <x:c r="BL46" s="444" t="str"/>
      <x:c r="BM46" s="444" t="str"/>
      <x:c r="BN46" s="444" t="str"/>
      <x:c r="BO46" s="444" t="str"/>
      <x:c r="BP46" s="444" t="str"/>
      <x:c r="BQ46" s="444" t="str">
        <x:v>관세청 3월 1~20일 잠정 수입액으로 KOSIS 월간 확정 통계에서 동일한 20일 구간 값을 제공하지 않음</x:v>
      </x:c>
      <x:c r="BR46" s="444" t="str">
        <x:v>수동확정_검증불가</x:v>
      </x:c>
      <x:c r="BS46" s="444" t="str">
        <x:v>검증불가</x:v>
      </x:c>
      <x:c r="BT46" s="444" t="str">
        <x:v>N</x:v>
      </x:c>
      <x:c r="BU46" s="444" t="str">
        <x:v>N/A</x:v>
      </x:c>
      <x:c r="BV46" s="444" t="str">
        <x:v>N/A</x:v>
      </x:c>
      <x:c r="BW46" s="444" t="str">
        <x:v>N/A</x:v>
      </x:c>
      <x:c r="BX46" s="444" t="str">
        <x:v>N/A</x:v>
      </x:c>
      <x:c r="BY46" s="444" t="str">
        <x:v>N/A</x:v>
      </x:c>
      <x:c r="BZ46" s="444" t="str">
        <x:v>N/A</x:v>
      </x:c>
      <x:c r="CA46" s="444" t="str">
        <x:v>N/A</x:v>
      </x:c>
      <x:c r="CB46" s="444" t="str">
        <x:v>N/A</x:v>
      </x:c>
      <x:c r="CC46" s="444" t="str">
        <x:v>검증가능여부</x:v>
      </x:c>
      <x:c r="CD46" s="444" t="str">
        <x:v>검증불가 사유를 자동 분류하지 못해 보류</x:v>
      </x:c>
    </x:row>
    <x:row r="47" ht="38" customHeight="1">
      <x:c r="A47" s="444" t="str">
        <x:v>46</x:v>
      </x:c>
      <x:c r="B47" s="444" t="str">
        <x:v>무역</x:v>
      </x:c>
      <x:c r="C47" s="444" t="str">
        <x:v>독립층화:수준값재검토</x:v>
      </x:c>
      <x:c r="D47" s="444" t="str">
        <x:v>수준값재검토</x:v>
      </x:c>
      <x:c r="E47" s="444" t="str">
        <x:v>재검토필요_수준값불일치</x:v>
      </x:c>
      <x:c r="F47" s="444" t="str">
        <x:v>outputs\bteam_review\final_verified_filled_2001_remapped_v6.csv</x:v>
      </x:c>
      <x:c r="G47" s="444" t="str">
        <x:v>C09115</x:v>
      </x:c>
      <x:c r="H47" s="444" t="str">
        <x:v>1180</x:v>
      </x:c>
      <x:c r="I47" s="444" t="str">
        <x:v>관세 전쟁, 車·철강·가전 ‘엎친 데 덮친 격’… 반도체·기계는 충격 덜할 듯</x:v>
      </x:c>
      <x:c r="J47" s="444" t="str">
        <x:v>2025-04-01</x:v>
      </x:c>
      <x:c r="K47" s="444" t="str">
        <x:v>https://www.chosun.com/economy/industry-company/2025/04/01/2L7KL4NLTVDZVOV5ITSHT74V7Q</x:v>
      </x:c>
      <x:c r="L47" s="444" t="str">
        <x:v>지난해 생산량의 84%를 미국으로 수출한 GM 한국사업장은 사실상 수출을 멈춰야 할 것이라는 우려마저 나온다.</x:v>
      </x:c>
      <x:c r="M47" s="444" t="str">
        <x:v>이미 25% 관세가 시행 중인 철강 업계는 상호 관세 부과로 관세가 40~50%에 이르면 수출이 어려워질 것이라는 분위기다.</x:v>
      </x:c>
      <x:c r="N47" s="444" t="str">
        <x:v>미국은 지난해 우리 철강 수출액의 13%(43억달러)를 차지한 최대 수출 상대국이었다.</x:v>
      </x:c>
      <x:c r="O47" s="444" t="str">
        <x:v>무역지표</x:v>
      </x:c>
      <x:c r="P47" s="444" t="str">
        <x:v>무역지표; 비율·증감률</x:v>
      </x:c>
      <x:c r="Q47" s="444" t="str">
        <x:v>[25, 50]</x:v>
      </x:c>
      <x:c r="R47" s="444" t="str">
        <x:v>['%', '%']</x:v>
      </x:c>
      <x:c r="S47" s="444" t="str">
        <x:v>[]</x:v>
      </x:c>
      <x:c r="T47" s="444" t="str">
        <x:v>[]</x:v>
      </x:c>
      <x:c r="U47" s="444" t="str"/>
      <x:c r="V47" s="444" t="str">
        <x:v>360</x:v>
      </x:c>
      <x:c r="W47" s="444" t="str">
        <x:v>DT_1R11001_FRM101</x:v>
      </x:c>
      <x:c r="X47" s="444" t="str">
        <x:v>13102112831A.7763</x:v>
      </x:c>
      <x:c r="Y47" s="444" t="str"/>
      <x:c r="Z47" s="444" t="str">
        <x:v>13103112831T1</x:v>
      </x:c>
      <x:c r="AA47" s="444" t="str">
        <x:v>Y</x:v>
      </x:c>
      <x:c r="AB47" s="444" t="str">
        <x:v>LEVEL</x:v>
      </x:c>
      <x:c r="AC47" s="444" t="str">
        <x:v>50</x:v>
      </x:c>
      <x:c r="AD47" s="444" t="str">
        <x:v>2025</x:v>
      </x:c>
      <x:c r="AE47" s="444" t="str">
        <x:v>2024</x:v>
      </x:c>
      <x:c r="AF47" s="444" t="str">
        <x:v>3370573</x:v>
      </x:c>
      <x:c r="AG47" s="444" t="str">
        <x:v>불일치</x:v>
      </x:c>
      <x:c r="AH47" s="444" t="str"/>
      <x:c r="AI47" s="444" t="str">
        <x:v>품목별 수출입 후보 선택. 품목/수출입/시점 코드 확인 필요 | 품목 세부 코드 필요: 총액 코드로 확정하지 않음 | 품목 코드 자동 후보: 반도체 디바이스</x:v>
      </x:c>
      <x:c r="AJ47" s="444" t="str">
        <x:v>보류</x:v>
      </x:c>
      <x:c r="AK47" s="444" t="str"/>
      <x:c r="AL47" s="444" t="str"/>
      <x:c r="AM47" s="444" t="str"/>
      <x:c r="AN47" s="444" t="str"/>
      <x:c r="AO47" s="444" t="str"/>
      <x:c r="AP47" s="444" t="str"/>
      <x:c r="AQ47" s="444" t="str"/>
      <x:c r="AR47" s="444" t="str"/>
      <x:c r="AS47" s="444" t="str"/>
      <x:c r="AT47" s="444" t="str"/>
      <x:c r="AU47" s="444" t="str"/>
      <x:c r="AV47" s="444" t="str"/>
      <x:c r="AW47" s="444" t="str">
        <x:v>N/A</x:v>
      </x:c>
      <x:c r="AX47" s="444" t="str"/>
      <x:c r="AY47" s="444" t="str"/>
      <x:c r="AZ47" s="444" t="str"/>
      <x:c r="BA47" s="444" t="str"/>
      <x:c r="BB47" s="444" t="str"/>
      <x:c r="BC47" s="444" t="str"/>
      <x:c r="BD47" s="444" t="str">
        <x:v>N</x:v>
      </x:c>
      <x:c r="BE47" s="444" t="str">
        <x:v>정보 부족</x:v>
      </x:c>
      <x:c r="BF47" s="444" t="str"/>
      <x:c r="BG47" s="444" t="str"/>
      <x:c r="BH47" s="444" t="str"/>
      <x:c r="BI47" s="444" t="str"/>
      <x:c r="BJ47" s="444" t="str"/>
      <x:c r="BK47" s="444" t="str"/>
      <x:c r="BL47" s="444" t="str"/>
      <x:c r="BM47" s="444" t="str"/>
      <x:c r="BN47" s="444" t="str"/>
      <x:c r="BO47" s="444" t="str"/>
      <x:c r="BP47" s="444" t="str"/>
      <x:c r="BQ47" s="444" t="str">
        <x:v>상호관세가 40~50%일 경우 수출이 어렵다는 업계 전망·가정으로 관측된 통계값과 검증 시점이 아님</x:v>
      </x:c>
      <x:c r="BR47" s="444" t="str">
        <x:v>수동확정_검증불가</x:v>
      </x:c>
      <x:c r="BS47" s="444" t="str">
        <x:v>검증불가</x:v>
      </x:c>
      <x:c r="BT47" s="444" t="str">
        <x:v>N</x:v>
      </x:c>
      <x:c r="BU47" s="444" t="str">
        <x:v>N/A</x:v>
      </x:c>
      <x:c r="BV47" s="444" t="str">
        <x:v>N/A</x:v>
      </x:c>
      <x:c r="BW47" s="444" t="str">
        <x:v>N/A</x:v>
      </x:c>
      <x:c r="BX47" s="444" t="str">
        <x:v>N/A</x:v>
      </x:c>
      <x:c r="BY47" s="444" t="str">
        <x:v>N/A</x:v>
      </x:c>
      <x:c r="BZ47" s="444" t="str">
        <x:v>N/A</x:v>
      </x:c>
      <x:c r="CA47" s="444" t="str">
        <x:v>N/A</x:v>
      </x:c>
      <x:c r="CB47" s="444" t="str">
        <x:v>N/A</x:v>
      </x:c>
      <x:c r="CC47" s="444" t="str">
        <x:v>검증가능여부</x:v>
      </x:c>
      <x:c r="CD47" s="444" t="str">
        <x:v>검증불가 사유를 자동 분류하지 못해 보류</x:v>
      </x:c>
    </x:row>
    <x:row r="48" ht="38" customHeight="1">
      <x:c r="A48" s="444" t="str">
        <x:v>47</x:v>
      </x:c>
      <x:c r="B48" s="444" t="str">
        <x:v>무역</x:v>
      </x:c>
      <x:c r="C48" s="444" t="str">
        <x:v>독립층화:증감률재검토</x:v>
      </x:c>
      <x:c r="D48" s="444" t="str">
        <x:v>증감률재검토</x:v>
      </x:c>
      <x:c r="E48" s="444" t="str">
        <x:v>재검토필요_증감률불일치</x:v>
      </x:c>
      <x:c r="F48" s="444" t="str">
        <x:v>outputs\bteam_review\final_verified_filled_2001_remapped_v6.csv</x:v>
      </x:c>
      <x:c r="G48" s="444" t="str">
        <x:v>C09690</x:v>
      </x:c>
      <x:c r="H48" s="444" t="str">
        <x:v>1253</x:v>
      </x:c>
      <x:c r="I48" s="444" t="str">
        <x:v>트럼프 “금리 내려야” 파월 “관세發 인플레 우려”</x:v>
      </x:c>
      <x:c r="J48" s="444" t="str">
        <x:v>2025-04-07</x:v>
      </x:c>
      <x:c r="K48" s="444" t="str">
        <x:v>https://www.chosun.com/economy/economy_general/2025/04/07/ASA2OJ3IEZGAXFQSB63I7BFWAM</x:v>
      </x:c>
      <x:c r="L48" s="444" t="str">
        <x:v>연준은 그야말로 진퇴양난 상황이다.</x:v>
      </x:c>
      <x:c r="M48" s="444" t="str">
        <x:v>아직 물가 상승률이 연준의 목표치인 2%에 도달하지 못했는데, 높은 관세 때문에 물가는 높게 유지되면서 경기는 꺾이는 스태그플레이션 위험이 커지고 있기 때문이다.</x:v>
      </x:c>
      <x:c r="N48" s="444" t="str">
        <x:v>연준 부의장을 지낸 로저 퍼거슨은 CNBC 인터뷰에서 “연준이 물가라는 중대 임무를 사수하기 위해 올해 금리를 전혀 내리지 않을 수도 있다”고 전망했다.</x:v>
      </x:c>
      <x:c r="O48" s="444" t="str">
        <x:v>무역지표</x:v>
      </x:c>
      <x:c r="P48" s="444" t="str">
        <x:v>무역지표; 비율·증감률</x:v>
      </x:c>
      <x:c r="Q48" s="444" t="str">
        <x:v>[2]</x:v>
      </x:c>
      <x:c r="R48" s="444" t="str">
        <x:v>['%']</x:v>
      </x:c>
      <x:c r="S48" s="444" t="str">
        <x:v>[]</x:v>
      </x:c>
      <x:c r="T48" s="444" t="str">
        <x:v>['경기']</x:v>
      </x:c>
      <x:c r="U48" s="444" t="str"/>
      <x:c r="V48" s="444" t="str">
        <x:v>101</x:v>
      </x:c>
      <x:c r="W48" s="444" t="str">
        <x:v>DT_1J22042</x:v>
      </x:c>
      <x:c r="X48" s="444" t="str">
        <x:v>0</x:v>
      </x:c>
      <x:c r="Y48" s="444" t="str"/>
      <x:c r="Z48" s="444" t="str">
        <x:v>T03</x:v>
      </x:c>
      <x:c r="AA48" s="444" t="str">
        <x:v>Y</x:v>
      </x:c>
      <x:c r="AB48" s="444" t="str">
        <x:v>CHANGE_RATE</x:v>
      </x:c>
      <x:c r="AC48" s="444" t="str">
        <x:v>2</x:v>
      </x:c>
      <x:c r="AD48" s="444" t="str">
        <x:v>202606</x:v>
      </x:c>
      <x:c r="AE48" s="444" t="str">
        <x:v>202605</x:v>
      </x:c>
      <x:c r="AF48" s="444" t="str">
        <x:v>3.225806452</x:v>
      </x:c>
      <x:c r="AG48" s="444" t="str">
        <x:v>불일치</x:v>
      </x:c>
      <x:c r="AH48" s="444" t="str"/>
      <x:c r="AI48" s="444" t="str">
        <x:v>소비자물가 등락률 후보 선택. 지역/품목/월별 코드 확인 필요 | obj_l1/itm_id 자동 후보 입력</x:v>
      </x:c>
      <x:c r="AJ48" s="444" t="str">
        <x:v>검증불가</x:v>
      </x:c>
      <x:c r="AK48" s="444" t="str">
        <x:v>정보 부족</x:v>
      </x:c>
      <x:c r="AL48" s="444" t="str"/>
      <x:c r="AM48" s="444" t="str"/>
      <x:c r="AN48" s="444" t="str"/>
      <x:c r="AO48" s="444" t="str"/>
      <x:c r="AP48" s="444" t="str"/>
      <x:c r="AQ48" s="444" t="str"/>
      <x:c r="AR48" s="444" t="str"/>
      <x:c r="AS48" s="444" t="str"/>
      <x:c r="AT48" s="444" t="str"/>
      <x:c r="AU48" s="444" t="str"/>
      <x:c r="AV48" s="444" t="str"/>
      <x:c r="AW48" s="444" t="str">
        <x:v>N/A</x:v>
      </x:c>
      <x:c r="AX48" s="444" t="str"/>
      <x:c r="AY48" s="444" t="str"/>
      <x:c r="AZ48" s="444" t="str"/>
      <x:c r="BA48" s="444" t="str"/>
      <x:c r="BB48" s="444" t="str">
        <x:v>판단불가</x:v>
      </x:c>
      <x:c r="BC48" s="444" t="str">
        <x:v>관측 실적이 아닌 전망·목표 문장</x:v>
      </x:c>
      <x:c r="BD48" s="444" t="str">
        <x:v>N</x:v>
      </x:c>
      <x:c r="BE48" s="444" t="str">
        <x:v>정보 부족</x:v>
      </x:c>
      <x:c r="BF48" s="444" t="str"/>
      <x:c r="BG48" s="444" t="str"/>
      <x:c r="BH48" s="444" t="str"/>
      <x:c r="BI48" s="444" t="str"/>
      <x:c r="BJ48" s="444" t="str"/>
      <x:c r="BK48" s="444" t="str"/>
      <x:c r="BL48" s="444" t="str"/>
      <x:c r="BM48" s="444" t="str"/>
      <x:c r="BN48" s="444" t="str"/>
      <x:c r="BO48" s="444" t="str"/>
      <x:c r="BP48" s="444" t="str"/>
      <x:c r="BQ48" s="444" t="str">
        <x:v>연준의 물가 목표 2%에 관한 정책 설명으로 특정 시점의 실제 물가 관측값 주장이 아님</x:v>
      </x:c>
      <x:c r="BR48" s="444" t="str">
        <x:v>수동확정_검증불가</x:v>
      </x:c>
      <x:c r="BS48" s="444" t="str">
        <x:v>검증불가</x:v>
      </x:c>
      <x:c r="BT48" s="444" t="str">
        <x:v>Y</x:v>
      </x:c>
      <x:c r="BU48" s="444" t="str">
        <x:v>N/A</x:v>
      </x:c>
      <x:c r="BV48" s="444" t="str">
        <x:v>N/A</x:v>
      </x:c>
      <x:c r="BW48" s="444" t="str">
        <x:v>N/A</x:v>
      </x:c>
      <x:c r="BX48" s="444" t="str">
        <x:v>N/A</x:v>
      </x:c>
      <x:c r="BY48" s="444" t="str">
        <x:v>N/A</x:v>
      </x:c>
      <x:c r="BZ48" s="444" t="str">
        <x:v>N/A</x:v>
      </x:c>
      <x:c r="CA48" s="444" t="str">
        <x:v>N/A</x:v>
      </x:c>
      <x:c r="CB48" s="444" t="str">
        <x:v>N/A</x:v>
      </x:c>
      <x:c r="CC48" s="444" t="str"/>
      <x:c r="CD48" s="444" t="str"/>
    </x:row>
    <x:row r="49" ht="38" customHeight="1">
      <x:c r="A49" s="444" t="str">
        <x:v>48</x:v>
      </x:c>
      <x:c r="B49" s="444" t="str">
        <x:v>무역</x:v>
      </x:c>
      <x:c r="C49" s="444" t="str">
        <x:v>독립층화:수준값재검토</x:v>
      </x:c>
      <x:c r="D49" s="444" t="str">
        <x:v>수준값재검토</x:v>
      </x:c>
      <x:c r="E49" s="444" t="str">
        <x:v>재검토필요_수준값불일치</x:v>
      </x:c>
      <x:c r="F49" s="444" t="str">
        <x:v>outputs\bteam_review\final_verified_filled_2001_remapped_v6.csv</x:v>
      </x:c>
      <x:c r="G49" s="444" t="str">
        <x:v>C10045</x:v>
      </x:c>
      <x:c r="H49" s="444" t="str">
        <x:v>1297</x:v>
      </x:c>
      <x:c r="I49" s="444" t="str">
        <x:v>트럼프가 콕 찍은 조선·LNG… 韓, 美 군함 만들고 알래스카 사업 검토</x:v>
      </x:c>
      <x:c r="J49" s="444" t="str">
        <x:v>2025-04-10</x:v>
      </x:c>
      <x:c r="K49" s="444" t="str">
        <x:v>https://www.chosun.com/economy/industry-company/2025/04/10/5K5ZFRQNWVBP7FVXIXR6NRPEEQ</x:v>
      </x:c>
      <x:c r="L49" s="444" t="str">
        <x:v>각국을 향해 관세율을 낮추려면 ‘카드‘를 내놓으라는 태도를 보이던 트럼프 대통령이 거꾸로 카드를 제시하기는 이례적이다.</x:v>
      </x:c>
      <x:c r="M49" s="444" t="str">
        <x:v>우리나라가 세계 최고 경쟁력을 가진 조선업, 중국·일본과 함께 세계 3대 수입국인 LNG가 25%에 이르는 상호 관세율을 내리는 데 어떤 역할을 할 수 있을지 주목된다.</x:v>
      </x:c>
      <x:c r="N49" s="444" t="str">
        <x:v>이날 미국에 도착한 정인교 통상교섭본부장도 “(조선과 LNG 인프라 건설 등은) 우리가 경쟁력이 있기 때문에 협상 테이블에 올려놓을 것”이라고 말했다.</x:v>
      </x:c>
      <x:c r="O49" s="444" t="str">
        <x:v>무역지표</x:v>
      </x:c>
      <x:c r="P49" s="444" t="str">
        <x:v>무역지표; 비율·증감률</x:v>
      </x:c>
      <x:c r="Q49" s="444" t="str">
        <x:v>[25]</x:v>
      </x:c>
      <x:c r="R49" s="444" t="str">
        <x:v>['%']</x:v>
      </x:c>
      <x:c r="S49" s="444" t="str">
        <x:v>[]</x:v>
      </x:c>
      <x:c r="T49" s="444" t="str">
        <x:v>[]</x:v>
      </x:c>
      <x:c r="U49" s="444" t="str"/>
      <x:c r="V49" s="444" t="str">
        <x:v>360</x:v>
      </x:c>
      <x:c r="W49" s="444" t="str">
        <x:v>DT_1R11006_FRM101</x:v>
      </x:c>
      <x:c r="X49" s="444" t="str">
        <x:v>13102103829E.CN</x:v>
      </x:c>
      <x:c r="Y49" s="444" t="str"/>
      <x:c r="Z49" s="444" t="str">
        <x:v>13103103829T2</x:v>
      </x:c>
      <x:c r="AA49" s="444" t="str">
        <x:v>Y</x:v>
      </x:c>
      <x:c r="AB49" s="444" t="str">
        <x:v>LEVEL</x:v>
      </x:c>
      <x:c r="AC49" s="444" t="str">
        <x:v>25</x:v>
      </x:c>
      <x:c r="AD49" s="444" t="str">
        <x:v>2025</x:v>
      </x:c>
      <x:c r="AE49" s="444" t="str">
        <x:v>2024</x:v>
      </x:c>
      <x:c r="AF49" s="444" t="str">
        <x:v>141950977</x:v>
      </x:c>
      <x:c r="AG49" s="444" t="str">
        <x:v>불일치</x:v>
      </x:c>
      <x:c r="AH49" s="444" t="str"/>
      <x:c r="AI49" s="444" t="str">
        <x:v>국가별 수출입 후보 선택. 국가/수출입/시점 코드 확인 필요 | 국가 코드 자동선택: 중국</x:v>
      </x:c>
      <x:c r="AJ49" s="444" t="str">
        <x:v>검증불가</x:v>
      </x:c>
      <x:c r="AK49" s="444" t="str">
        <x:v>KOSIS 미제공</x:v>
      </x:c>
      <x:c r="AL49" s="444" t="str"/>
      <x:c r="AM49" s="444" t="str"/>
      <x:c r="AN49" s="444" t="str"/>
      <x:c r="AO49" s="444" t="str"/>
      <x:c r="AP49" s="444" t="str"/>
      <x:c r="AQ49" s="444" t="str"/>
      <x:c r="AR49" s="444" t="str"/>
      <x:c r="AS49" s="444" t="str"/>
      <x:c r="AT49" s="444" t="str"/>
      <x:c r="AU49" s="444" t="str"/>
      <x:c r="AV49" s="444" t="str"/>
      <x:c r="AW49" s="444" t="str">
        <x:v>N/A</x:v>
      </x:c>
      <x:c r="AX49" s="444" t="str"/>
      <x:c r="AY49" s="444" t="str"/>
      <x:c r="AZ49" s="444" t="str"/>
      <x:c r="BA49" s="444" t="str"/>
      <x:c r="BB49" s="444" t="str">
        <x:v>판단불가</x:v>
      </x:c>
      <x:c r="BC49" s="444" t="str">
        <x:v>민간 설문·정책·시장가격 지표</x:v>
      </x:c>
      <x:c r="BD49" s="444" t="str">
        <x:v>N</x:v>
      </x:c>
      <x:c r="BE49" s="444" t="str">
        <x:v>정보 부족</x:v>
      </x:c>
      <x:c r="BF49" s="444" t="str"/>
      <x:c r="BG49" s="444" t="str"/>
      <x:c r="BH49" s="444" t="str"/>
      <x:c r="BI49" s="444" t="str"/>
      <x:c r="BJ49" s="444" t="str"/>
      <x:c r="BK49" s="444" t="str"/>
      <x:c r="BL49" s="444" t="str"/>
      <x:c r="BM49" s="444" t="str"/>
      <x:c r="BN49" s="444" t="str"/>
      <x:c r="BO49" s="444" t="str"/>
      <x:c r="BP49" s="444" t="str"/>
      <x:c r="BQ49" s="444" t="str">
        <x:v>세계 LNG 수입국 순위와 관세율을 함께 언급하지만 기준기간과 단일 검증대상이 특정되지 않음</x:v>
      </x:c>
      <x:c r="BR49" s="444" t="str">
        <x:v>수동확정_검증불가</x:v>
      </x:c>
      <x:c r="BS49" s="444" t="str">
        <x:v>검증불가</x:v>
      </x:c>
      <x:c r="BT49" s="444" t="str">
        <x:v>Y</x:v>
      </x:c>
      <x:c r="BU49" s="444" t="str">
        <x:v>N/A</x:v>
      </x:c>
      <x:c r="BV49" s="444" t="str">
        <x:v>N/A</x:v>
      </x:c>
      <x:c r="BW49" s="444" t="str">
        <x:v>N/A</x:v>
      </x:c>
      <x:c r="BX49" s="444" t="str">
        <x:v>N/A</x:v>
      </x:c>
      <x:c r="BY49" s="444" t="str">
        <x:v>N/A</x:v>
      </x:c>
      <x:c r="BZ49" s="444" t="str">
        <x:v>N/A</x:v>
      </x:c>
      <x:c r="CA49" s="444" t="str">
        <x:v>N/A</x:v>
      </x:c>
      <x:c r="CB49" s="444" t="str">
        <x:v>N/A</x:v>
      </x:c>
      <x:c r="CC49" s="444" t="str"/>
      <x:c r="CD49" s="444" t="str"/>
    </x:row>
    <x:row r="50" ht="38" customHeight="1">
      <x:c r="A50" s="444" t="str">
        <x:v>49</x:v>
      </x:c>
      <x:c r="B50" s="444" t="str">
        <x:v>무역</x:v>
      </x:c>
      <x:c r="C50" s="444" t="str">
        <x:v>독립층화:수준값재검토</x:v>
      </x:c>
      <x:c r="D50" s="444" t="str">
        <x:v>수준값재검토</x:v>
      </x:c>
      <x:c r="E50" s="444" t="str">
        <x:v>재검토필요_수준값불일치</x:v>
      </x:c>
      <x:c r="F50" s="444" t="str">
        <x:v>outputs\bteam_review\final_verified_filled_2001_remapped_v6.csv</x:v>
      </x:c>
      <x:c r="G50" s="444" t="str">
        <x:v>C11295</x:v>
      </x:c>
      <x:c r="H50" s="444" t="str">
        <x:v>1460</x:v>
      </x:c>
      <x:c r="I50" s="444" t="str">
        <x:v>신차 100대 공개… 美 관세 장벽 허무는 中 ‘차해전술’</x:v>
      </x:c>
      <x:c r="J50" s="444" t="str">
        <x:v>2025-04-23</x:v>
      </x:c>
      <x:c r="K50" s="444" t="str">
        <x:v>https://www.chosun.com/economy/auto/2025/04/23/PJN4F4X5C5GZPBJGMWBEYTODTE</x:v>
      </x:c>
      <x:c r="L50" s="444" t="str">
        <x:v>글로벌 자동차 기업들 입장에선 유럽 같은 주요 시장이 경기 침체로 주춤한 가운데, 중국에 더욱 의존할 수밖에 없는 상황이다.</x:v>
      </x:c>
      <x:c r="M50" s="444" t="str">
        <x:v>미국이 이달부터 모든 수입차에 부과하는 25% 관세 역시 글로벌 자동차들의 발걸음을 중국으로 돌리고 있다.</x:v>
      </x:c>
      <x:c r="N50" s="444" t="str">
        <x:v>또 중국 기업들은 정부의 지원을 등에 업고 세계 최고 수준의 데이터를 쌓으며 자율 주행 분야에서도 급성장하고 있기 때문에, 글로벌 기업들도 중국의 기술을 배우고 따라 하지 않으면 안 되는 상황이 된 것이다.</x:v>
      </x:c>
      <x:c r="O50" s="444" t="str">
        <x:v>무역지표</x:v>
      </x:c>
      <x:c r="P50" s="444" t="str">
        <x:v>무역지표; 비율·증감률</x:v>
      </x:c>
      <x:c r="Q50" s="444" t="str">
        <x:v>[25]</x:v>
      </x:c>
      <x:c r="R50" s="444" t="str">
        <x:v>['%']</x:v>
      </x:c>
      <x:c r="S50" s="444" t="str">
        <x:v>[]</x:v>
      </x:c>
      <x:c r="T50" s="444" t="str">
        <x:v>[]</x:v>
      </x:c>
      <x:c r="U50" s="444" t="str"/>
      <x:c r="V50" s="444" t="str">
        <x:v>360</x:v>
      </x:c>
      <x:c r="W50" s="444" t="str">
        <x:v>DT_1R11006_FRM101</x:v>
      </x:c>
      <x:c r="X50" s="444" t="str">
        <x:v>13102103829E.US</x:v>
      </x:c>
      <x:c r="Y50" s="444" t="str"/>
      <x:c r="Z50" s="444" t="str">
        <x:v>13103103829T2</x:v>
      </x:c>
      <x:c r="AA50" s="444" t="str">
        <x:v>Y</x:v>
      </x:c>
      <x:c r="AB50" s="444" t="str">
        <x:v>LEVEL</x:v>
      </x:c>
      <x:c r="AC50" s="444" t="str">
        <x:v>25</x:v>
      </x:c>
      <x:c r="AD50" s="444" t="str">
        <x:v>2025</x:v>
      </x:c>
      <x:c r="AE50" s="444" t="str">
        <x:v>2024</x:v>
      </x:c>
      <x:c r="AF50" s="444" t="str">
        <x:v>73366048</x:v>
      </x:c>
      <x:c r="AG50" s="444" t="str">
        <x:v>불일치</x:v>
      </x:c>
      <x:c r="AH50" s="444" t="str"/>
      <x:c r="AI50" s="444" t="str">
        <x:v>국가별 수출입 후보 선택. 국가/수출입/시점 코드 확인 필요 | 국가 코드 자동선택: 미국</x:v>
      </x:c>
      <x:c r="AJ50" s="444" t="str">
        <x:v>보류</x:v>
      </x:c>
      <x:c r="AK50" s="444" t="str"/>
      <x:c r="AL50" s="444" t="str"/>
      <x:c r="AM50" s="444" t="str"/>
      <x:c r="AN50" s="444" t="str"/>
      <x:c r="AO50" s="444" t="str"/>
      <x:c r="AP50" s="444" t="str"/>
      <x:c r="AQ50" s="444" t="str"/>
      <x:c r="AR50" s="444" t="str"/>
      <x:c r="AS50" s="444" t="str"/>
      <x:c r="AT50" s="444" t="str"/>
      <x:c r="AU50" s="444" t="str"/>
      <x:c r="AV50" s="444" t="str"/>
      <x:c r="AW50" s="444" t="str">
        <x:v>N/A</x:v>
      </x:c>
      <x:c r="AX50" s="444" t="str"/>
      <x:c r="AY50" s="444" t="str"/>
      <x:c r="AZ50" s="444" t="str"/>
      <x:c r="BA50" s="444" t="str"/>
      <x:c r="BB50" s="444" t="str"/>
      <x:c r="BC50" s="444" t="str"/>
      <x:c r="BD50" s="444" t="str">
        <x:v>N</x:v>
      </x:c>
      <x:c r="BE50" s="444" t="str">
        <x:v>KOSIS 미제공</x:v>
      </x:c>
      <x:c r="BF50" s="444" t="str"/>
      <x:c r="BG50" s="444" t="str"/>
      <x:c r="BH50" s="444" t="str"/>
      <x:c r="BI50" s="444" t="str"/>
      <x:c r="BJ50" s="444" t="str"/>
      <x:c r="BK50" s="444" t="str"/>
      <x:c r="BL50" s="444" t="str"/>
      <x:c r="BM50" s="444" t="str"/>
      <x:c r="BN50" s="444" t="str"/>
      <x:c r="BO50" s="444" t="str"/>
      <x:c r="BP50" s="444" t="str"/>
      <x:c r="BQ50" s="444" t="str">
        <x:v>미국의 수입차 25% 관세 정책에 관한 해외 제도 정보로 KOSIS 국내 통계 관측값이 아님</x:v>
      </x:c>
      <x:c r="BR50" s="444" t="str">
        <x:v>수동확정_검증불가</x:v>
      </x:c>
      <x:c r="BS50" s="444" t="str">
        <x:v>검증불가</x:v>
      </x:c>
      <x:c r="BT50" s="444" t="str">
        <x:v>N</x:v>
      </x:c>
      <x:c r="BU50" s="444" t="str">
        <x:v>N/A</x:v>
      </x:c>
      <x:c r="BV50" s="444" t="str">
        <x:v>N/A</x:v>
      </x:c>
      <x:c r="BW50" s="444" t="str">
        <x:v>N/A</x:v>
      </x:c>
      <x:c r="BX50" s="444" t="str">
        <x:v>N/A</x:v>
      </x:c>
      <x:c r="BY50" s="444" t="str">
        <x:v>N/A</x:v>
      </x:c>
      <x:c r="BZ50" s="444" t="str">
        <x:v>N/A</x:v>
      </x:c>
      <x:c r="CA50" s="444" t="str">
        <x:v>N/A</x:v>
      </x:c>
      <x:c r="CB50" s="444" t="str">
        <x:v>N/A</x:v>
      </x:c>
      <x:c r="CC50" s="444" t="str">
        <x:v>검증가능여부</x:v>
      </x:c>
      <x:c r="CD50" s="444" t="str">
        <x:v>검증불가 사유를 자동 분류하지 못해 보류</x:v>
      </x:c>
    </x:row>
    <x:row r="51" ht="38" customHeight="1">
      <x:c r="A51" s="444" t="str">
        <x:v>50</x:v>
      </x:c>
      <x:c r="B51" s="444" t="str">
        <x:v>무역</x:v>
      </x:c>
      <x:c r="C51" s="444" t="str">
        <x:v>독립층화:판단불가</x:v>
      </x:c>
      <x:c r="D51" s="444" t="str">
        <x:v>판단불가</x:v>
      </x:c>
      <x:c r="E51" s="444" t="str"/>
      <x:c r="F51" s="444" t="str">
        <x:v>outputs\archive\bteam_poc_20260714\bteam_verification\bteam_kosis_review_manual_prioritized_4403.csv</x:v>
      </x:c>
      <x:c r="G51" s="444" t="str">
        <x:v>C12660</x:v>
      </x:c>
      <x:c r="H51" s="444" t="str">
        <x:v>1653</x:v>
      </x:c>
      <x:c r="I51" s="444" t="str">
        <x:v>美 자동차 ‘빅3’, 관세 역풍에 동반 부진</x:v>
      </x:c>
      <x:c r="J51" s="444" t="str">
        <x:v>2025-05-08</x:v>
      </x:c>
      <x:c r="K51" s="444" t="str">
        <x:v>https://www.chosun.com/economy/auto/2025/05/08/4CDVS52635DE3NN6AUYLF6VRB4</x:v>
      </x:c>
      <x:c r="L51" s="444" t="str">
        <x:v>더그 오스터만 스텔란티스 CFO(최고재무책임자)는 “(관세로 인한) 극심한 불확실성으로 올해 (실적) 예측이 불가능하다”고 했다.</x:v>
      </x:c>
      <x:c r="M51" s="444" t="str">
        <x:v>GM(제너럴모터스)은 1분기 순이익이 28억달러로 전년 동기 대비 6.6% 줄었다고 밝히면서, 관세로 인해 올해 최대 50억달러(약 7조원)의 비용이 발생할 것으로 전망했다.</x:v>
      </x:c>
      <x:c r="N51" s="444" t="str"/>
      <x:c r="O51" s="444" t="str">
        <x:v>무역지표</x:v>
      </x:c>
      <x:c r="P51" s="444" t="str">
        <x:v>무역지표; 기업실적; 비율·증감률; 금액; 날짜·시간</x:v>
      </x:c>
      <x:c r="Q51" s="444" t="str">
        <x:v>[1, 6.6, 7]</x:v>
      </x:c>
      <x:c r="R51" s="444" t="str">
        <x:v>['분', '%', '조원']</x:v>
      </x:c>
      <x:c r="S51" s="444" t="str">
        <x:v>[]</x:v>
      </x:c>
      <x:c r="T51" s="444" t="str">
        <x:v>[]</x:v>
      </x:c>
      <x:c r="U51" s="444" t="str"/>
      <x:c r="V51" s="444" t="str"/>
      <x:c r="W51" s="444" t="str"/>
      <x:c r="X51" s="444" t="str"/>
      <x:c r="Y51" s="444" t="str"/>
      <x:c r="Z51" s="444" t="str"/>
      <x:c r="AA51" s="444" t="str"/>
      <x:c r="AB51" s="444" t="str"/>
      <x:c r="AC51" s="444" t="str"/>
      <x:c r="AD51" s="444" t="str"/>
      <x:c r="AE51" s="444" t="str"/>
      <x:c r="AF51" s="444" t="str"/>
      <x:c r="AG51" s="444" t="str"/>
      <x:c r="AH51" s="444" t="str"/>
      <x:c r="AI51" s="444" t="str">
        <x:v>KOSIS 검증 대상 아님 또는 후순위: 정책/제도/전망 수치</x:v>
      </x:c>
      <x:c r="AJ51" s="444" t="str">
        <x:v>검증불가</x:v>
      </x:c>
      <x:c r="AK51" s="444" t="str">
        <x:v>정보 부족</x:v>
      </x:c>
      <x:c r="AL51" s="444" t="str"/>
      <x:c r="AM51" s="444" t="str"/>
      <x:c r="AN51" s="444" t="str"/>
      <x:c r="AO51" s="444" t="str"/>
      <x:c r="AP51" s="444" t="str"/>
      <x:c r="AQ51" s="444" t="str"/>
      <x:c r="AR51" s="444" t="str"/>
      <x:c r="AS51" s="444" t="str"/>
      <x:c r="AT51" s="444" t="str"/>
      <x:c r="AU51" s="444" t="str"/>
      <x:c r="AV51" s="444" t="str"/>
      <x:c r="AW51" s="444" t="str">
        <x:v>N/A</x:v>
      </x:c>
      <x:c r="AX51" s="444" t="str"/>
      <x:c r="AY51" s="444" t="str"/>
      <x:c r="AZ51" s="444" t="str"/>
      <x:c r="BA51" s="444" t="str"/>
      <x:c r="BB51" s="444" t="str">
        <x:v>판단불가</x:v>
      </x:c>
      <x:c r="BC51" s="444" t="str">
        <x:v>관측 실적이 아닌 전망·목표 문장</x:v>
      </x:c>
      <x:c r="BD51" s="444" t="str">
        <x:v>N</x:v>
      </x:c>
      <x:c r="BE51" s="444" t="str">
        <x:v>KOSIS 미제공</x:v>
      </x:c>
      <x:c r="BF51" s="444" t="str"/>
      <x:c r="BG51" s="444" t="str"/>
      <x:c r="BH51" s="444" t="str"/>
      <x:c r="BI51" s="444" t="str"/>
      <x:c r="BJ51" s="444" t="str"/>
      <x:c r="BK51" s="444" t="str"/>
      <x:c r="BL51" s="444" t="str"/>
      <x:c r="BM51" s="444" t="str"/>
      <x:c r="BN51" s="444" t="str"/>
      <x:c r="BO51" s="444" t="str"/>
      <x:c r="BP51" s="444" t="str"/>
      <x:c r="BQ51" s="444" t="str">
        <x:v>GM의 분기 순이익과 관세비용 전망인 개별 기업 자료로 KOSIS 무역통계 관측값이 아님</x:v>
      </x:c>
      <x:c r="BR51" s="444" t="str">
        <x:v>수동확정_검증불가</x:v>
      </x:c>
      <x:c r="BS51" s="444" t="str">
        <x:v>검증불가</x:v>
      </x:c>
      <x:c r="BT51" s="444" t="str">
        <x:v>Y</x:v>
      </x:c>
      <x:c r="BU51" s="444" t="str">
        <x:v>N/A</x:v>
      </x:c>
      <x:c r="BV51" s="444" t="str">
        <x:v>N/A</x:v>
      </x:c>
      <x:c r="BW51" s="444" t="str">
        <x:v>N/A</x:v>
      </x:c>
      <x:c r="BX51" s="444" t="str">
        <x:v>N/A</x:v>
      </x:c>
      <x:c r="BY51" s="444" t="str">
        <x:v>N/A</x:v>
      </x:c>
      <x:c r="BZ51" s="444" t="str">
        <x:v>N/A</x:v>
      </x:c>
      <x:c r="CA51" s="444" t="str">
        <x:v>N/A</x:v>
      </x:c>
      <x:c r="CB51" s="444" t="str">
        <x:v>N/A</x:v>
      </x:c>
      <x:c r="CC51" s="444" t="str"/>
      <x:c r="CD51" s="444" t="str"/>
    </x:row>
    <x:row r="52" ht="38" customHeight="1">
      <x:c r="A52" s="444" t="str">
        <x:v>51</x:v>
      </x:c>
      <x:c r="B52" s="444" t="str">
        <x:v>무역</x:v>
      </x:c>
      <x:c r="C52" s="444" t="str">
        <x:v>독립층화:판단불가</x:v>
      </x:c>
      <x:c r="D52" s="444" t="str">
        <x:v>판단불가</x:v>
      </x:c>
      <x:c r="E52" s="444" t="str"/>
      <x:c r="F52" s="444" t="str">
        <x:v>outputs\archive\bteam_poc_20260714\bteam_verification\bteam_kosis_review_manual_prioritized_4403.csv</x:v>
      </x:c>
      <x:c r="G52" s="444" t="str">
        <x:v>C13058</x:v>
      </x:c>
      <x:c r="H52" s="444" t="str">
        <x:v>1708</x:v>
      </x:c>
      <x:c r="I52" s="444" t="str">
        <x:v>‘관세쇼크’에 5월 1~10일 대미 수출 30.4% ‘급감’…전체 수출도 23.8% 감소</x:v>
      </x:c>
      <x:c r="J52" s="444" t="str">
        <x:v>2025-05-12</x:v>
      </x:c>
      <x:c r="K52" s="444" t="str">
        <x:v>https://www.chosun.com/economy/economy_general/2025/05/12/F7R2UFZ4ZFD3XFXBSUT7UQEX6Q</x:v>
      </x:c>
      <x:c r="L52" s="444" t="str">
        <x:v>원유, 가스, 석탄 등 에너지 수입액은 13.7% 감소했다.</x:v>
      </x:c>
      <x:c r="M52" s="444" t="str">
        <x:v>국가별로 보면 베트남(14.5%) 등에서는 수입이 늘었지만, 중국(-16.8%), 미국(-20.0%), 유럽연합(-21.1%) 등은 줄었다.</x:v>
      </x:c>
      <x:c r="N52" s="444" t="str">
        <x:v>수입액이 수출액을 웃돌면서 무역수지는 17억 달러 적자를 기록했다.</x:v>
      </x:c>
      <x:c r="O52" s="444" t="str">
        <x:v>무역지표</x:v>
      </x:c>
      <x:c r="P52" s="444" t="str">
        <x:v>무역지표; 비율·증감률</x:v>
      </x:c>
      <x:c r="Q52" s="444" t="str">
        <x:v>[14.5, 16.8, 20.0, 21.1]</x:v>
      </x:c>
      <x:c r="R52" s="444" t="str">
        <x:v>['%', '%', '%', '%']</x:v>
      </x:c>
      <x:c r="S52" s="444" t="str">
        <x:v>[]</x:v>
      </x:c>
      <x:c r="T52" s="444" t="str">
        <x:v>[]</x:v>
      </x:c>
      <x:c r="U52" s="444" t="str"/>
      <x:c r="V52" s="444" t="str"/>
      <x:c r="W52" s="444" t="str"/>
      <x:c r="X52" s="444" t="str"/>
      <x:c r="Y52" s="444" t="str"/>
      <x:c r="Z52" s="444" t="str"/>
      <x:c r="AA52" s="444" t="str"/>
      <x:c r="AB52" s="444" t="str"/>
      <x:c r="AC52" s="444" t="str"/>
      <x:c r="AD52" s="444" t="str"/>
      <x:c r="AE52" s="444" t="str"/>
      <x:c r="AF52" s="444" t="str"/>
      <x:c r="AG52" s="444" t="str"/>
      <x:c r="AH52" s="444" t="str"/>
      <x:c r="AI52" s="444" t="str">
        <x:v>관세청 단기 속보성 수출입 자료: KOSIS 일반 월/연간표와 직접 매칭 어려움</x:v>
      </x:c>
      <x:c r="AJ52" s="444" t="str">
        <x:v>보류</x:v>
      </x:c>
      <x:c r="AK52" s="444" t="str"/>
      <x:c r="AL52" s="444" t="str"/>
      <x:c r="AM52" s="444" t="str"/>
      <x:c r="AN52" s="444" t="str"/>
      <x:c r="AO52" s="444" t="str"/>
      <x:c r="AP52" s="444" t="str"/>
      <x:c r="AQ52" s="444" t="str"/>
      <x:c r="AR52" s="444" t="str"/>
      <x:c r="AS52" s="444" t="str"/>
      <x:c r="AT52" s="444" t="str"/>
      <x:c r="AU52" s="444" t="str"/>
      <x:c r="AV52" s="444" t="str"/>
      <x:c r="AW52" s="444" t="str">
        <x:v>N/A</x:v>
      </x:c>
      <x:c r="AX52" s="444" t="str"/>
      <x:c r="AY52" s="444" t="str"/>
      <x:c r="AZ52" s="444" t="str"/>
      <x:c r="BA52" s="444" t="str"/>
      <x:c r="BB52" s="444" t="str"/>
      <x:c r="BC52" s="444" t="str"/>
      <x:c r="BD52" s="444" t="str">
        <x:v>N</x:v>
      </x:c>
      <x:c r="BE52" s="444" t="str">
        <x:v>KOSIS 미제공</x:v>
      </x:c>
      <x:c r="BF52" s="444" t="str"/>
      <x:c r="BG52" s="444" t="str"/>
      <x:c r="BH52" s="444" t="str"/>
      <x:c r="BI52" s="444" t="str"/>
      <x:c r="BJ52" s="444" t="str"/>
      <x:c r="BK52" s="444" t="str"/>
      <x:c r="BL52" s="444" t="str"/>
      <x:c r="BM52" s="444" t="str"/>
      <x:c r="BN52" s="444" t="str"/>
      <x:c r="BO52" s="444" t="str"/>
      <x:c r="BP52" s="444" t="str"/>
      <x:c r="BQ52" s="444" t="str">
        <x:v>관세청 5월 1~10일 잠정 수입의 국가별 증감률로 KOSIS 월간 확정 통계에서 동일한 10일 구간을 제공하지 않음</x:v>
      </x:c>
      <x:c r="BR52" s="444" t="str">
        <x:v>수동확정_검증불가</x:v>
      </x:c>
      <x:c r="BS52" s="444" t="str">
        <x:v>검증불가</x:v>
      </x:c>
      <x:c r="BT52" s="444" t="str">
        <x:v>N</x:v>
      </x:c>
      <x:c r="BU52" s="444" t="str">
        <x:v>N/A</x:v>
      </x:c>
      <x:c r="BV52" s="444" t="str">
        <x:v>N/A</x:v>
      </x:c>
      <x:c r="BW52" s="444" t="str">
        <x:v>N/A</x:v>
      </x:c>
      <x:c r="BX52" s="444" t="str">
        <x:v>N/A</x:v>
      </x:c>
      <x:c r="BY52" s="444" t="str">
        <x:v>N/A</x:v>
      </x:c>
      <x:c r="BZ52" s="444" t="str">
        <x:v>N/A</x:v>
      </x:c>
      <x:c r="CA52" s="444" t="str">
        <x:v>N/A</x:v>
      </x:c>
      <x:c r="CB52" s="444" t="str">
        <x:v>N/A</x:v>
      </x:c>
      <x:c r="CC52" s="444" t="str">
        <x:v>검증가능여부</x:v>
      </x:c>
      <x:c r="CD52" s="444" t="str">
        <x:v>검증불가 사유를 자동 분류하지 못해 보류</x:v>
      </x:c>
    </x:row>
    <x:row r="53" ht="38" customHeight="1">
      <x:c r="A53" s="444" t="str">
        <x:v>52</x:v>
      </x:c>
      <x:c r="B53" s="444" t="str">
        <x:v>무역</x:v>
      </x:c>
      <x:c r="C53" s="444" t="str">
        <x:v>독립층화:판단불가</x:v>
      </x:c>
      <x:c r="D53" s="444" t="str">
        <x:v>판단불가</x:v>
      </x:c>
      <x:c r="E53" s="444" t="str"/>
      <x:c r="F53" s="444" t="str">
        <x:v>outputs\archive\bteam_poc_20260714\bteam_verification\bteam_kosis_review_manual_prioritized_4403.csv</x:v>
      </x:c>
      <x:c r="G53" s="444" t="str">
        <x:v>C13856</x:v>
      </x:c>
      <x:c r="H53" s="444" t="str">
        <x:v>1817</x:v>
      </x:c>
      <x:c r="I53" s="444" t="str">
        <x:v>대내외 악재에도 코스피 상장사 1분기 영업이익 23% 늘어</x:v>
      </x:c>
      <x:c r="J53" s="444" t="str">
        <x:v>2025-05-20</x:v>
      </x:c>
      <x:c r="K53" s="444" t="str">
        <x:v>https://www.chosun.com/economy/economy_general/2025/05/20/KOA5DEYFTJDL3HIWD4J2KLZHDY</x:v>
      </x:c>
      <x:c r="L53" s="444" t="str"/>
      <x:c r="M53" s="444" t="str">
        <x:v>0 트럼프 관세 전쟁 우려, 국내 정치 불확실성 등에도 불구하고 올해 1분기(1~3월) 유가증권시장(코스피) 상장사들의 영업 이익이 23% 넘게 급증했다.</x:v>
      </x:c>
      <x:c r="N53" s="444" t="str">
        <x:v>2010년 이후 분기 기준으로 가장 큰 폭으로 늘어난 것이다.</x:v>
      </x:c>
      <x:c r="O53" s="444" t="str">
        <x:v>무역지표</x:v>
      </x:c>
      <x:c r="P53" s="444" t="str">
        <x:v>무역지표; 증시지표; 비율·증감률; 날짜·시간</x:v>
      </x:c>
      <x:c r="Q53" s="444" t="str">
        <x:v>[1, 3, 23]</x:v>
      </x:c>
      <x:c r="R53" s="444" t="str">
        <x:v>['분', '월', '%']</x:v>
      </x:c>
      <x:c r="S53" s="444" t="str">
        <x:v>[]</x:v>
      </x:c>
      <x:c r="T53" s="444" t="str">
        <x:v>[]</x:v>
      </x:c>
      <x:c r="U53" s="444" t="str"/>
      <x:c r="V53" s="444" t="str"/>
      <x:c r="W53" s="444" t="str"/>
      <x:c r="X53" s="444" t="str"/>
      <x:c r="Y53" s="444" t="str"/>
      <x:c r="Z53" s="444" t="str"/>
      <x:c r="AA53" s="444" t="str"/>
      <x:c r="AB53" s="444" t="str"/>
      <x:c r="AC53" s="444" t="str"/>
      <x:c r="AD53" s="444" t="str"/>
      <x:c r="AE53" s="444" t="str"/>
      <x:c r="AF53" s="444" t="str"/>
      <x:c r="AG53" s="444" t="str"/>
      <x:c r="AH53" s="444" t="str"/>
      <x:c r="AI53" s="444" t="str">
        <x:v>KOSIS 검증 대상 아님: 증시/시장 가격 지표</x:v>
      </x:c>
      <x:c r="AJ53" s="444" t="str">
        <x:v>보류</x:v>
      </x:c>
      <x:c r="AK53" s="444" t="str"/>
      <x:c r="AL53" s="444" t="str"/>
      <x:c r="AM53" s="444" t="str"/>
      <x:c r="AN53" s="444" t="str"/>
      <x:c r="AO53" s="444" t="str"/>
      <x:c r="AP53" s="444" t="str"/>
      <x:c r="AQ53" s="444" t="str"/>
      <x:c r="AR53" s="444" t="str"/>
      <x:c r="AS53" s="444" t="str"/>
      <x:c r="AT53" s="444" t="str"/>
      <x:c r="AU53" s="444" t="str"/>
      <x:c r="AV53" s="444" t="str"/>
      <x:c r="AW53" s="444" t="str">
        <x:v>N/A</x:v>
      </x:c>
      <x:c r="AX53" s="444" t="str"/>
      <x:c r="AY53" s="444" t="str"/>
      <x:c r="AZ53" s="444" t="str"/>
      <x:c r="BA53" s="444" t="str"/>
      <x:c r="BB53" s="444" t="str"/>
      <x:c r="BC53" s="444" t="str"/>
      <x:c r="BD53" s="444" t="str">
        <x:v>N</x:v>
      </x:c>
      <x:c r="BE53" s="444" t="str">
        <x:v>KOSIS 미제공</x:v>
      </x:c>
      <x:c r="BF53" s="444" t="str"/>
      <x:c r="BG53" s="444" t="str"/>
      <x:c r="BH53" s="444" t="str"/>
      <x:c r="BI53" s="444" t="str"/>
      <x:c r="BJ53" s="444" t="str"/>
      <x:c r="BK53" s="444" t="str"/>
      <x:c r="BL53" s="444" t="str"/>
      <x:c r="BM53" s="444" t="str"/>
      <x:c r="BN53" s="444" t="str"/>
      <x:c r="BO53" s="444" t="str"/>
      <x:c r="BP53" s="444" t="str"/>
      <x:c r="BQ53" s="444" t="str">
        <x:v>한국거래소의 코스피 상장사 분기 영업이익 집계로 KOSIS 국가통계표에서 동일 기업 재무집계를 제공하지 않음</x:v>
      </x:c>
      <x:c r="BR53" s="444" t="str">
        <x:v>수동확정_검증불가</x:v>
      </x:c>
      <x:c r="BS53" s="444" t="str">
        <x:v>검증불가</x:v>
      </x:c>
      <x:c r="BT53" s="444" t="str">
        <x:v>N</x:v>
      </x:c>
      <x:c r="BU53" s="444" t="str">
        <x:v>N/A</x:v>
      </x:c>
      <x:c r="BV53" s="444" t="str">
        <x:v>N/A</x:v>
      </x:c>
      <x:c r="BW53" s="444" t="str">
        <x:v>N/A</x:v>
      </x:c>
      <x:c r="BX53" s="444" t="str">
        <x:v>N/A</x:v>
      </x:c>
      <x:c r="BY53" s="444" t="str">
        <x:v>N/A</x:v>
      </x:c>
      <x:c r="BZ53" s="444" t="str">
        <x:v>N/A</x:v>
      </x:c>
      <x:c r="CA53" s="444" t="str">
        <x:v>N/A</x:v>
      </x:c>
      <x:c r="CB53" s="444" t="str">
        <x:v>N/A</x:v>
      </x:c>
      <x:c r="CC53" s="444" t="str">
        <x:v>검증가능여부</x:v>
      </x:c>
      <x:c r="CD53" s="444" t="str">
        <x:v>검증불가 사유를 자동 분류하지 못해 보류</x:v>
      </x:c>
    </x:row>
    <x:row r="54" ht="38" customHeight="1">
      <x:c r="A54" s="444" t="str">
        <x:v>53</x:v>
      </x:c>
      <x:c r="B54" s="444" t="str">
        <x:v>무역</x:v>
      </x:c>
      <x:c r="C54" s="444" t="str">
        <x:v>독립층화:증감률재검토</x:v>
      </x:c>
      <x:c r="D54" s="444" t="str">
        <x:v>증감률재검토</x:v>
      </x:c>
      <x:c r="E54" s="444" t="str">
        <x:v>재검토필요_증감률불일치</x:v>
      </x:c>
      <x:c r="F54" s="444" t="str">
        <x:v>outputs\bteam_review\final_verified_filled_2001_remapped_v6.csv</x:v>
      </x:c>
      <x:c r="G54" s="444" t="str">
        <x:v>C14732</x:v>
      </x:c>
      <x:c r="H54" s="444" t="str">
        <x:v>1937</x:v>
      </x:c>
      <x:c r="I54" s="444" t="str">
        <x:v>올 성장률 1.5%→0.8% 조정 쇼크... 건설 경기 부진이 성장 발목 잡았다</x:v>
      </x:c>
      <x:c r="J54" s="444" t="str">
        <x:v>2025-05-29</x:v>
      </x:c>
      <x:c r="K54" s="444" t="str">
        <x:v>https://www.chosun.com/economy/economy_general/2025/05/29/JDD7BSFMTNAI7GE67TOVVFDLEY</x:v>
      </x:c>
      <x:c r="L54" s="444" t="str">
        <x:v>한은은 미국 관세율이 올해 말까지 상당 폭 인하될 경우(낙관적 시나리오) 올해 0.9%, 내년 1.8%로 성장률이 각각 높아질 수 있다고 전망했다.</x:v>
      </x:c>
      <x:c r="M54" s="444" t="str">
        <x:v>만일 미국과 중국의 갈등이 다시 불붙고 미국 상호 관세가 유예 기간 후 절반 정도 다시 높아질 경우(비관적 시나리오) 올해와 내년 성장률은 0.7%, 1.2%로 각각 낮아질 수 있다고 봤다.</x:v>
      </x:c>
      <x:c r="N54" s="444" t="str">
        <x:v>한은은 이번에 제시한 0.8% 성장 전망치는 미국의 기본 관세율 10%, 품목 관세율 25% 등 현 수준을 대체로 유지할 때를 가정으로 냈다.</x:v>
      </x:c>
      <x:c r="O54" s="444" t="str">
        <x:v>무역지표</x:v>
      </x:c>
      <x:c r="P54" s="444" t="str">
        <x:v>무역지표; 비율·증감률</x:v>
      </x:c>
      <x:c r="Q54" s="444" t="str">
        <x:v>[0.7, 1.2]</x:v>
      </x:c>
      <x:c r="R54" s="444" t="str">
        <x:v>['%', '%']</x:v>
      </x:c>
      <x:c r="S54" s="444" t="str">
        <x:v>[]</x:v>
      </x:c>
      <x:c r="T54" s="444" t="str">
        <x:v>[]</x:v>
      </x:c>
      <x:c r="U54" s="444" t="str"/>
      <x:c r="V54" s="444" t="str">
        <x:v>360</x:v>
      </x:c>
      <x:c r="W54" s="444" t="str">
        <x:v>DT_1R11006_FRM101</x:v>
      </x:c>
      <x:c r="X54" s="444" t="str">
        <x:v>13102103829E.US</x:v>
      </x:c>
      <x:c r="Y54" s="444" t="str"/>
      <x:c r="Z54" s="444" t="str">
        <x:v>13103103829T1</x:v>
      </x:c>
      <x:c r="AA54" s="444" t="str">
        <x:v>Y</x:v>
      </x:c>
      <x:c r="AB54" s="444" t="str">
        <x:v>CHANGE_RATE</x:v>
      </x:c>
      <x:c r="AC54" s="444" t="str">
        <x:v>1.2</x:v>
      </x:c>
      <x:c r="AD54" s="444" t="str">
        <x:v>2025</x:v>
      </x:c>
      <x:c r="AE54" s="444" t="str">
        <x:v>2024</x:v>
      </x:c>
      <x:c r="AF54" s="444" t="str">
        <x:v>-3.843459069</x:v>
      </x:c>
      <x:c r="AG54" s="444" t="str">
        <x:v>불일치</x:v>
      </x:c>
      <x:c r="AH54" s="444" t="str"/>
      <x:c r="AI54" s="444" t="str">
        <x:v>국가별 수출입 후보 선택. 국가/수출입/시점 코드 확인 필요 | 국가 코드 자동선택: 미국</x:v>
      </x:c>
      <x:c r="AJ54" s="444" t="str">
        <x:v>보류</x:v>
      </x:c>
      <x:c r="AK54" s="444" t="str"/>
      <x:c r="AL54" s="444" t="str"/>
      <x:c r="AM54" s="444" t="str"/>
      <x:c r="AN54" s="444" t="str"/>
      <x:c r="AO54" s="444" t="str"/>
      <x:c r="AP54" s="444" t="str"/>
      <x:c r="AQ54" s="444" t="str"/>
      <x:c r="AR54" s="444" t="str"/>
      <x:c r="AS54" s="444" t="str"/>
      <x:c r="AT54" s="444" t="str"/>
      <x:c r="AU54" s="444" t="str"/>
      <x:c r="AV54" s="444" t="str"/>
      <x:c r="AW54" s="444" t="str">
        <x:v>N/A</x:v>
      </x:c>
      <x:c r="AX54" s="444" t="str"/>
      <x:c r="AY54" s="444" t="str"/>
      <x:c r="AZ54" s="444" t="str"/>
      <x:c r="BA54" s="444" t="str"/>
      <x:c r="BB54" s="444" t="str"/>
      <x:c r="BC54" s="444" t="str"/>
      <x:c r="BD54" s="444" t="str">
        <x:v>N</x:v>
      </x:c>
      <x:c r="BE54" s="444" t="str">
        <x:v>KOSIS 미제공</x:v>
      </x:c>
      <x:c r="BF54" s="444" t="str"/>
      <x:c r="BG54" s="444" t="str"/>
      <x:c r="BH54" s="444" t="str"/>
      <x:c r="BI54" s="444" t="str"/>
      <x:c r="BJ54" s="444" t="str"/>
      <x:c r="BK54" s="444" t="str"/>
      <x:c r="BL54" s="444" t="str"/>
      <x:c r="BM54" s="444" t="str"/>
      <x:c r="BN54" s="444" t="str"/>
      <x:c r="BO54" s="444" t="str"/>
      <x:c r="BP54" s="444" t="str"/>
      <x:c r="BQ54" s="444" t="str">
        <x:v>한국은행의 미·중 갈등 및 관세 가정에 따른 비관적 성장률 시나리오 전망치로 KOSIS 관측 실적이 아님</x:v>
      </x:c>
      <x:c r="BR54" s="444" t="str">
        <x:v>수동확정_검증불가</x:v>
      </x:c>
      <x:c r="BS54" s="444" t="str">
        <x:v>검증불가</x:v>
      </x:c>
      <x:c r="BT54" s="444" t="str">
        <x:v>N</x:v>
      </x:c>
      <x:c r="BU54" s="444" t="str">
        <x:v>N/A</x:v>
      </x:c>
      <x:c r="BV54" s="444" t="str">
        <x:v>N/A</x:v>
      </x:c>
      <x:c r="BW54" s="444" t="str">
        <x:v>N/A</x:v>
      </x:c>
      <x:c r="BX54" s="444" t="str">
        <x:v>N/A</x:v>
      </x:c>
      <x:c r="BY54" s="444" t="str">
        <x:v>N/A</x:v>
      </x:c>
      <x:c r="BZ54" s="444" t="str">
        <x:v>N/A</x:v>
      </x:c>
      <x:c r="CA54" s="444" t="str">
        <x:v>N/A</x:v>
      </x:c>
      <x:c r="CB54" s="444" t="str">
        <x:v>N/A</x:v>
      </x:c>
      <x:c r="CC54" s="444" t="str">
        <x:v>검증가능여부</x:v>
      </x:c>
      <x:c r="CD54" s="444" t="str">
        <x:v>검증불가 사유를 자동 분류하지 못해 보류</x:v>
      </x:c>
    </x:row>
    <x:row r="55" ht="38" customHeight="1">
      <x:c r="A55" s="444" t="str">
        <x:v>54</x:v>
      </x:c>
      <x:c r="B55" s="444" t="str">
        <x:v>무역</x:v>
      </x:c>
      <x:c r="C55" s="444" t="str">
        <x:v>독립층화:증감률재검토</x:v>
      </x:c>
      <x:c r="D55" s="444" t="str">
        <x:v>증감률재검토</x:v>
      </x:c>
      <x:c r="E55" s="444" t="str">
        <x:v>재검토필요_증감률불일치</x:v>
      </x:c>
      <x:c r="F55" s="444" t="str">
        <x:v>outputs\bteam_review\final_verified_filled_2001_remapped_v6.csv</x:v>
      </x:c>
      <x:c r="G55" s="444" t="str">
        <x:v>C14951</x:v>
      </x:c>
      <x:c r="H55" s="444" t="str">
        <x:v>1965</x:v>
      </x:c>
      <x:c r="I55" s="444" t="str">
        <x:v>‘트럼프 관세’ 본격화에 5월 수출 -1.3%...대미·자동차 수출↓</x:v>
      </x:c>
      <x:c r="J55" s="444" t="str">
        <x:v>2025-06-01</x:v>
      </x:c>
      <x:c r="K55" s="444" t="str">
        <x:v>https://www.chosun.com/economy/industry-company/2025/06/01/7D6MSBKIRRBFHESPZCNVFAFABU</x:v>
      </x:c>
      <x:c r="L55" s="444" t="str">
        <x:v>이에 따르면 지난달 수출액과 수입액은 각각 572억7000만 달러와 503억3000만달러로 집계됐다.</x:v>
      </x:c>
      <x:c r="M55" s="444" t="str">
        <x:v>수출액은 전년 대비 1.3% 줄었고, 수입액은 5.3% 감소했다.</x:v>
      </x:c>
      <x:c r="N55" s="444" t="str">
        <x:v>월간 수출액이 작년 같은 달 대비 감소한 것은 지난 1월 이후 4개월 만이다.</x:v>
      </x:c>
      <x:c r="O55" s="444" t="str">
        <x:v>무역지표</x:v>
      </x:c>
      <x:c r="P55" s="444" t="str">
        <x:v>무역지표; 비율·증감률</x:v>
      </x:c>
      <x:c r="Q55" s="444" t="str">
        <x:v>[1.3, 5.3]</x:v>
      </x:c>
      <x:c r="R55" s="444" t="str">
        <x:v>['%', '%']</x:v>
      </x:c>
      <x:c r="S55" s="444" t="str">
        <x:v>[]</x:v>
      </x:c>
      <x:c r="T55" s="444" t="str">
        <x:v>[]</x:v>
      </x:c>
      <x:c r="U55" s="444" t="str"/>
      <x:c r="V55" s="444" t="str">
        <x:v>360</x:v>
      </x:c>
      <x:c r="W55" s="444" t="str">
        <x:v>DT_1R11006_FRM101</x:v>
      </x:c>
      <x:c r="X55" s="444" t="str">
        <x:v>13102103829E.00</x:v>
      </x:c>
      <x:c r="Y55" s="444" t="str"/>
      <x:c r="Z55" s="444" t="str">
        <x:v>13103103829T1</x:v>
      </x:c>
      <x:c r="AA55" s="444" t="str">
        <x:v>Y</x:v>
      </x:c>
      <x:c r="AB55" s="444" t="str">
        <x:v>CHANGE_RATE</x:v>
      </x:c>
      <x:c r="AC55" s="444" t="str">
        <x:v>5.3</x:v>
      </x:c>
      <x:c r="AD55" s="444" t="str">
        <x:v>2024</x:v>
      </x:c>
      <x:c r="AE55" s="444" t="str">
        <x:v>2023</x:v>
      </x:c>
      <x:c r="AF55" s="444" t="str">
        <x:v>8.12742252</x:v>
      </x:c>
      <x:c r="AG55" s="444" t="str">
        <x:v>불일치</x:v>
      </x:c>
      <x:c r="AH55" s="444" t="str"/>
      <x:c r="AI55" s="444" t="str">
        <x:v>국가별 수출입 후보 선택. 국가/수출입/시점 코드 확인 필요 | obj_l1/itm_id 자동 후보 입력</x:v>
      </x:c>
      <x:c r="AJ55" s="444" t="str">
        <x:v>보류</x:v>
      </x:c>
      <x:c r="AK55" s="444" t="str"/>
      <x:c r="AL55" s="444" t="str"/>
      <x:c r="AM55" s="444" t="str"/>
      <x:c r="AN55" s="444" t="str"/>
      <x:c r="AO55" s="444" t="str"/>
      <x:c r="AP55" s="444" t="str"/>
      <x:c r="AQ55" s="444" t="str"/>
      <x:c r="AR55" s="444" t="str"/>
      <x:c r="AS55" s="444" t="str"/>
      <x:c r="AT55" s="444" t="str"/>
      <x:c r="AU55" s="444" t="str"/>
      <x:c r="AV55" s="444" t="str"/>
      <x:c r="AW55" s="444" t="str">
        <x:v>N/A</x:v>
      </x:c>
      <x:c r="AX55" s="444" t="str"/>
      <x:c r="AY55" s="444" t="str"/>
      <x:c r="AZ55" s="444" t="str"/>
      <x:c r="BA55" s="444" t="str"/>
      <x:c r="BB55" s="444" t="str"/>
      <x:c r="BC55" s="444" t="str"/>
      <x:c r="BD55" s="444" t="str">
        <x:v>Y</x:v>
      </x:c>
      <x:c r="BE55" s="444" t="str"/>
      <x:c r="BF55" s="444" t="str">
        <x:v>360</x:v>
      </x:c>
      <x:c r="BG55" s="444" t="str">
        <x:v>DT_1R11001_FRM101</x:v>
      </x:c>
      <x:c r="BH55" s="444" t="str">
        <x:v>13102112831A.A</x:v>
      </x:c>
      <x:c r="BI55" s="444" t="str"/>
      <x:c r="BJ55" s="444" t="str">
        <x:v>13103112831T1</x:v>
      </x:c>
      <x:c r="BK55" s="444" t="str">
        <x:v>M</x:v>
      </x:c>
      <x:c r="BL55" s="444" t="str">
        <x:v>-1.3</x:v>
      </x:c>
      <x:c r="BM55" s="444" t="str">
        <x:v>202505</x:v>
      </x:c>
      <x:c r="BN55" s="444" t="str">
        <x:v>202405</x:v>
      </x:c>
      <x:c r="BO55" s="444" t="str">
        <x:v>CHANGE_RATE</x:v>
      </x:c>
      <x:c r="BP55" s="444" t="str">
        <x:v>일치</x:v>
      </x:c>
      <x:c r="BQ55" s="444" t="str">
        <x:v>KOSIS 총수출액 2025년 5월 57,261,063천달러, 2024년 5월 58,020,557천달러로 전년 동월 대비 -1.309%. 기사 -1.3%와 일치</x:v>
      </x:c>
      <x:c r="BR55" s="444" t="str">
        <x:v>수동확정_KOSIS대조</x:v>
      </x:c>
      <x:c r="BS55" s="444" t="str">
        <x:v>검증가능</x:v>
      </x:c>
      <x:c r="BT55" s="444" t="str">
        <x:v>N</x:v>
      </x:c>
      <x:c r="BU55" s="444" t="str">
        <x:v>N</x:v>
      </x:c>
      <x:c r="BV55" s="444" t="str">
        <x:v>N</x:v>
      </x:c>
      <x:c r="BW55" s="444" t="str">
        <x:v>N</x:v>
      </x:c>
      <x:c r="BX55" s="444" t="str">
        <x:v>N</x:v>
      </x:c>
      <x:c r="BY55" s="444" t="str">
        <x:v>N</x:v>
      </x:c>
      <x:c r="BZ55" s="444" t="str">
        <x:v>N</x:v>
      </x:c>
      <x:c r="CA55" s="444" t="str">
        <x:v>N</x:v>
      </x:c>
      <x:c r="CB55" s="444" t="str">
        <x:v>N</x:v>
      </x:c>
      <x:c r="CC55" s="444" t="str">
        <x:v>검증가능여부;통계표;항목;시점;주장수치;비교방식;최종판정</x:v>
      </x:c>
      <x:c r="CD55" s="444" t="str">
        <x:v>검증가능 지표를 코드북이 지원하지 않아 보류</x:v>
      </x:c>
    </x:row>
    <x:row r="56" ht="38" customHeight="1">
      <x:c r="A56" s="444" t="str">
        <x:v>55</x:v>
      </x:c>
      <x:c r="B56" s="444" t="str">
        <x:v>무역</x:v>
      </x:c>
      <x:c r="C56" s="444" t="str">
        <x:v>독립층화:증감률재검토</x:v>
      </x:c>
      <x:c r="D56" s="444" t="str">
        <x:v>증감률재검토</x:v>
      </x:c>
      <x:c r="E56" s="444" t="str">
        <x:v>재검토필요_증감률불일치</x:v>
      </x:c>
      <x:c r="F56" s="444" t="str">
        <x:v>outputs\bteam_review\final_verified_filled_2001_remapped_v6.csv</x:v>
      </x:c>
      <x:c r="G56" s="444" t="str">
        <x:v>C18243</x:v>
      </x:c>
      <x:c r="H56" s="444" t="str">
        <x:v>2388</x:v>
      </x:c>
      <x:c r="I56" s="444" t="str">
        <x:v>올 상반기 韓 농식품 수출 전년 대비 8.4% 증가...불닭맛 인기에 라면 24% 수출 높아져</x:v>
      </x:c>
      <x:c r="J56" s="444" t="str">
        <x:v>2025-07-03</x:v>
      </x:c>
      <x:c r="K56" s="444" t="str">
        <x:v>https://www.chosun.com/economy/economy_general/2025/07/03/T7MSW2CNINHAZO2OORXLNKWARY</x:v>
      </x:c>
      <x:c r="L56" s="444" t="str">
        <x:v>또한 아이스크림은 수출 실적이 가장 큰 미국 시장에서 대형 유통 매장 판매가 증가했다.</x:v>
      </x:c>
      <x:c r="M56" s="444" t="str">
        <x:v>2000만 달러 이상의 수출 실적을 보인 신선식품 중 전년 대비 증가가 높은 품목은 닭고기(7.9%)와 유자(5.5%)로 집계됐다.</x:v>
      </x:c>
      <x:c r="N56" s="444" t="str">
        <x:v>열처리 가금육 수출 증가세는 삼계탕, 냉동 치킨 인기가 주 요인으로 수출 1위 국가는 미국이었다.</x:v>
      </x:c>
      <x:c r="O56" s="444" t="str">
        <x:v>무역지표</x:v>
      </x:c>
      <x:c r="P56" s="444" t="str">
        <x:v>무역지표; 비율·증감률</x:v>
      </x:c>
      <x:c r="Q56" s="444" t="str">
        <x:v>[7.9, 5.5]</x:v>
      </x:c>
      <x:c r="R56" s="444" t="str">
        <x:v>['%', '%']</x:v>
      </x:c>
      <x:c r="S56" s="444" t="str">
        <x:v>[]</x:v>
      </x:c>
      <x:c r="T56" s="444" t="str">
        <x:v>[]</x:v>
      </x:c>
      <x:c r="U56" s="444" t="str"/>
      <x:c r="V56" s="444" t="str">
        <x:v>360</x:v>
      </x:c>
      <x:c r="W56" s="444" t="str">
        <x:v>DT_1R11001_FRM101</x:v>
      </x:c>
      <x:c r="X56" s="444" t="str">
        <x:v>13102112831A.A</x:v>
      </x:c>
      <x:c r="Y56" s="444" t="str"/>
      <x:c r="Z56" s="444" t="str">
        <x:v>13103112831T1</x:v>
      </x:c>
      <x:c r="AA56" s="444" t="str">
        <x:v>Y</x:v>
      </x:c>
      <x:c r="AB56" s="444" t="str">
        <x:v>CHANGE_RATE</x:v>
      </x:c>
      <x:c r="AC56" s="444" t="str">
        <x:v>5.5</x:v>
      </x:c>
      <x:c r="AD56" s="444" t="str">
        <x:v>2024</x:v>
      </x:c>
      <x:c r="AE56" s="444" t="str">
        <x:v>2023</x:v>
      </x:c>
      <x:c r="AF56" s="444" t="str">
        <x:v>8.12742252</x:v>
      </x:c>
      <x:c r="AG56" s="444" t="str">
        <x:v>불일치</x:v>
      </x:c>
      <x:c r="AH56" s="444" t="str"/>
      <x:c r="AI56" s="444" t="str">
        <x:v>품목별 수출입 후보 선택. 품목/수출입/시점 코드 확인 필요 | obj_l1/itm_id 자동 후보 입력</x:v>
      </x:c>
      <x:c r="AJ56" s="444" t="str">
        <x:v>보류</x:v>
      </x:c>
      <x:c r="AK56" s="444" t="str"/>
      <x:c r="AL56" s="444" t="str"/>
      <x:c r="AM56" s="444" t="str"/>
      <x:c r="AN56" s="444" t="str"/>
      <x:c r="AO56" s="444" t="str"/>
      <x:c r="AP56" s="444" t="str"/>
      <x:c r="AQ56" s="444" t="str"/>
      <x:c r="AR56" s="444" t="str"/>
      <x:c r="AS56" s="444" t="str"/>
      <x:c r="AT56" s="444" t="str"/>
      <x:c r="AU56" s="444" t="str"/>
      <x:c r="AV56" s="444" t="str"/>
      <x:c r="AW56" s="444" t="str">
        <x:v>N/A</x:v>
      </x:c>
      <x:c r="AX56" s="444" t="str"/>
      <x:c r="AY56" s="444" t="str"/>
      <x:c r="AZ56" s="444" t="str"/>
      <x:c r="BA56" s="444" t="str"/>
      <x:c r="BB56" s="444" t="str"/>
      <x:c r="BC56" s="444" t="str"/>
      <x:c r="BD56" s="444" t="str">
        <x:v>N</x:v>
      </x:c>
      <x:c r="BE56" s="444" t="str">
        <x:v>KOSIS 미제공</x:v>
      </x:c>
      <x:c r="BF56" s="444" t="str"/>
      <x:c r="BG56" s="444" t="str"/>
      <x:c r="BH56" s="444" t="str"/>
      <x:c r="BI56" s="444" t="str"/>
      <x:c r="BJ56" s="444" t="str"/>
      <x:c r="BK56" s="444" t="str"/>
      <x:c r="BL56" s="444" t="str"/>
      <x:c r="BM56" s="444" t="str"/>
      <x:c r="BN56" s="444" t="str"/>
      <x:c r="BO56" s="444" t="str"/>
      <x:c r="BP56" s="444" t="str"/>
      <x:c r="BQ56" s="444" t="str">
        <x:v>농식품 수출 보도자료의 신선식품 세부 품목 집계로 KOSIS 무역통계에서 기사와 동일한 농식품 분류·집계 기준을 직접 제공하지 않음</x:v>
      </x:c>
      <x:c r="BR56" s="444" t="str">
        <x:v>수동확정_검증불가</x:v>
      </x:c>
      <x:c r="BS56" s="444" t="str">
        <x:v>검증불가</x:v>
      </x:c>
      <x:c r="BT56" s="444" t="str">
        <x:v>N</x:v>
      </x:c>
      <x:c r="BU56" s="444" t="str">
        <x:v>N/A</x:v>
      </x:c>
      <x:c r="BV56" s="444" t="str">
        <x:v>N/A</x:v>
      </x:c>
      <x:c r="BW56" s="444" t="str">
        <x:v>N/A</x:v>
      </x:c>
      <x:c r="BX56" s="444" t="str">
        <x:v>N/A</x:v>
      </x:c>
      <x:c r="BY56" s="444" t="str">
        <x:v>N/A</x:v>
      </x:c>
      <x:c r="BZ56" s="444" t="str">
        <x:v>N/A</x:v>
      </x:c>
      <x:c r="CA56" s="444" t="str">
        <x:v>N/A</x:v>
      </x:c>
      <x:c r="CB56" s="444" t="str">
        <x:v>N/A</x:v>
      </x:c>
      <x:c r="CC56" s="444" t="str">
        <x:v>검증가능여부</x:v>
      </x:c>
      <x:c r="CD56" s="444" t="str">
        <x:v>검증불가 사유를 자동 분류하지 못해 보류</x:v>
      </x:c>
    </x:row>
    <x:row r="57" ht="38" customHeight="1">
      <x:c r="A57" s="444" t="str">
        <x:v>56</x:v>
      </x:c>
      <x:c r="B57" s="444" t="str">
        <x:v>무역</x:v>
      </x:c>
      <x:c r="C57" s="444" t="str">
        <x:v>독립층화:수준값재검토</x:v>
      </x:c>
      <x:c r="D57" s="444" t="str">
        <x:v>수준값재검토</x:v>
      </x:c>
      <x:c r="E57" s="444" t="str">
        <x:v>재검토필요_수준값불일치</x:v>
      </x:c>
      <x:c r="F57" s="444" t="str">
        <x:v>outputs\bteam_review\final_verified_filled_2001_remapped_v6.csv</x:v>
      </x:c>
      <x:c r="G57" s="444" t="str">
        <x:v>C19025</x:v>
      </x:c>
      <x:c r="H57" s="444" t="str">
        <x:v>2494</x:v>
      </x:c>
      <x:c r="I57" s="444" t="str">
        <x:v>수출 반등에도, 기업 10곳 중 9곳 “관세 15% 넘으면 한계”</x:v>
      </x:c>
      <x:c r="J57" s="444" t="str">
        <x:v>2025-07-11</x:v>
      </x:c>
      <x:c r="K57" s="444" t="str">
        <x:v>https://www.chosun.com/economy/industry-company/2025/07/11/CKNLUJPNAVB4TECMEADPSFVW24</x:v>
      </x:c>
      <x:c r="L57" s="444" t="str">
        <x:v>한경협에 따르면, 관세율이 10% 미만일 때만 감당할 수 있다고 답한 곳은 전체의 42%인 60곳이었다.</x:v>
      </x:c>
      <x:c r="M57" s="444" t="str">
        <x:v>절반인 75곳은 10~15%까지 버틸 수 있다고 답했다.</x:v>
      </x:c>
      <x:c r="N57" s="444" t="str">
        <x:v>반면 관세율이 25%를 넘어도 수익성을 맞출 수 있다고 답한 기업은 단 세 곳뿐이었다.</x:v>
      </x:c>
      <x:c r="O57" s="444" t="str">
        <x:v>비율·증감률</x:v>
      </x:c>
      <x:c r="P57" s="444" t="str">
        <x:v>비율·증감률</x:v>
      </x:c>
      <x:c r="Q57" s="444" t="str">
        <x:v>[15]</x:v>
      </x:c>
      <x:c r="R57" s="444" t="str">
        <x:v>['%']</x:v>
      </x:c>
      <x:c r="S57" s="444" t="str">
        <x:v>[]</x:v>
      </x:c>
      <x:c r="T57" s="444" t="str">
        <x:v>[]</x:v>
      </x:c>
      <x:c r="U57" s="444" t="str"/>
      <x:c r="V57" s="444" t="str">
        <x:v>360</x:v>
      </x:c>
      <x:c r="W57" s="444" t="str">
        <x:v>DT_1R11001_FRM101</x:v>
      </x:c>
      <x:c r="X57" s="444" t="str">
        <x:v>13102112831A.A</x:v>
      </x:c>
      <x:c r="Y57" s="444" t="str"/>
      <x:c r="Z57" s="444" t="str">
        <x:v>13103112831T1</x:v>
      </x:c>
      <x:c r="AA57" s="444" t="str">
        <x:v>Y</x:v>
      </x:c>
      <x:c r="AB57" s="444" t="str">
        <x:v>LEVEL</x:v>
      </x:c>
      <x:c r="AC57" s="444" t="str">
        <x:v>15</x:v>
      </x:c>
      <x:c r="AD57" s="444" t="str">
        <x:v>2025</x:v>
      </x:c>
      <x:c r="AE57" s="444" t="str">
        <x:v>2024</x:v>
      </x:c>
      <x:c r="AF57" s="444" t="str">
        <x:v>709330045</x:v>
      </x:c>
      <x:c r="AG57" s="444" t="str">
        <x:v>불일치</x:v>
      </x:c>
      <x:c r="AH57" s="444" t="str"/>
      <x:c r="AI57" s="444" t="str">
        <x:v>품목별 수출입 후보 선택. 품목/수출입/시점 코드 확인 필요 | obj_l1/itm_id 자동 후보 입력</x:v>
      </x:c>
      <x:c r="AJ57" s="444" t="str">
        <x:v>보류</x:v>
      </x:c>
      <x:c r="AK57" s="444" t="str"/>
      <x:c r="AL57" s="444" t="str"/>
      <x:c r="AM57" s="444" t="str"/>
      <x:c r="AN57" s="444" t="str"/>
      <x:c r="AO57" s="444" t="str"/>
      <x:c r="AP57" s="444" t="str"/>
      <x:c r="AQ57" s="444" t="str"/>
      <x:c r="AR57" s="444" t="str"/>
      <x:c r="AS57" s="444" t="str"/>
      <x:c r="AT57" s="444" t="str"/>
      <x:c r="AU57" s="444" t="str"/>
      <x:c r="AV57" s="444" t="str"/>
      <x:c r="AW57" s="444" t="str">
        <x:v>N/A</x:v>
      </x:c>
      <x:c r="AX57" s="444" t="str"/>
      <x:c r="AY57" s="444" t="str"/>
      <x:c r="AZ57" s="444" t="str"/>
      <x:c r="BA57" s="444" t="str"/>
      <x:c r="BB57" s="444" t="str"/>
      <x:c r="BC57" s="444" t="str"/>
      <x:c r="BD57" s="444" t="str">
        <x:v>N</x:v>
      </x:c>
      <x:c r="BE57" s="444" t="str">
        <x:v>KOSIS 미제공</x:v>
      </x:c>
      <x:c r="BF57" s="444" t="str"/>
      <x:c r="BG57" s="444" t="str"/>
      <x:c r="BH57" s="444" t="str"/>
      <x:c r="BI57" s="444" t="str"/>
      <x:c r="BJ57" s="444" t="str"/>
      <x:c r="BK57" s="444" t="str"/>
      <x:c r="BL57" s="444" t="str"/>
      <x:c r="BM57" s="444" t="str"/>
      <x:c r="BN57" s="444" t="str"/>
      <x:c r="BO57" s="444" t="str"/>
      <x:c r="BP57" s="444" t="str"/>
      <x:c r="BQ57" s="444" t="str">
        <x:v>한국경제인협회 기업 설문에서 산출한 관세 감내 수준 응답 결과로 KOSIS 국가통계가 아님</x:v>
      </x:c>
      <x:c r="BR57" s="444" t="str">
        <x:v>수동확정_검증불가</x:v>
      </x:c>
      <x:c r="BS57" s="444" t="str">
        <x:v>검증불가</x:v>
      </x:c>
      <x:c r="BT57" s="444" t="str">
        <x:v>N</x:v>
      </x:c>
      <x:c r="BU57" s="444" t="str">
        <x:v>N/A</x:v>
      </x:c>
      <x:c r="BV57" s="444" t="str">
        <x:v>N/A</x:v>
      </x:c>
      <x:c r="BW57" s="444" t="str">
        <x:v>N/A</x:v>
      </x:c>
      <x:c r="BX57" s="444" t="str">
        <x:v>N/A</x:v>
      </x:c>
      <x:c r="BY57" s="444" t="str">
        <x:v>N/A</x:v>
      </x:c>
      <x:c r="BZ57" s="444" t="str">
        <x:v>N/A</x:v>
      </x:c>
      <x:c r="CA57" s="444" t="str">
        <x:v>N/A</x:v>
      </x:c>
      <x:c r="CB57" s="444" t="str">
        <x:v>N/A</x:v>
      </x:c>
      <x:c r="CC57" s="444" t="str">
        <x:v>검증가능여부</x:v>
      </x:c>
      <x:c r="CD57" s="444" t="str">
        <x:v>검증불가 사유를 자동 분류하지 못해 보류</x:v>
      </x:c>
    </x:row>
    <x:row r="58" ht="38" customHeight="1">
      <x:c r="A58" s="444" t="str">
        <x:v>57</x:v>
      </x:c>
      <x:c r="B58" s="444" t="str">
        <x:v>무역</x:v>
      </x:c>
      <x:c r="C58" s="444" t="str">
        <x:v>독립층화:판단불가</x:v>
      </x:c>
      <x:c r="D58" s="444" t="str">
        <x:v>판단불가</x:v>
      </x:c>
      <x:c r="E58" s="444" t="str">
        <x:v>판단불가_증감계산값없음</x:v>
      </x:c>
      <x:c r="F58" s="444" t="str">
        <x:v>outputs\bteam_review\final_verified_filled_2001_remapped_v6.csv</x:v>
      </x:c>
      <x:c r="G58" s="444" t="str">
        <x:v>C19032</x:v>
      </x:c>
      <x:c r="H58" s="444" t="str">
        <x:v>2494</x:v>
      </x:c>
      <x:c r="I58" s="444" t="str">
        <x:v>수출 반등에도, 기업 10곳 중 9곳 “관세 15% 넘으면 한계”</x:v>
      </x:c>
      <x:c r="J58" s="444" t="str">
        <x:v>2025-07-11</x:v>
      </x:c>
      <x:c r="K58" s="444" t="str">
        <x:v>https://www.chosun.com/economy/industry-company/2025/07/11/CKNLUJPNAVB4TECMEADPSFVW24</x:v>
      </x:c>
      <x:c r="L58" s="444" t="str">
        <x:v>이날 관세청은 이달 1~10일 수출이 지난해 같은 기간보다 9.5% 증가한 194억달러(약 27조원), 조업 일수를 고려한 하루 평균 수출액도 9.5% 늘어난 22억8000만달러를 나타냈다고 밝혔다.</x:v>
      </x:c>
      <x:c r="M58" s="444" t="str">
        <x:v>상반기 전체 수출이 작년보다 0.03% 줄어들고, 양대 시장인 미국과 중국으로 수출이 올 상반기 나란히 감소한 상황에서 하반기를 플러스로 출발한 것이다.</x:v>
      </x:c>
      <x:c r="N58" s="444" t="str">
        <x:v>트럼프발 관세가 몰아치는 상황에서도 반도체는 전년 동기 대비 12.8%, 자동차는 13.3% 늘어나며 수출 증가를 이끌었다.</x:v>
      </x:c>
      <x:c r="O58" s="444" t="str">
        <x:v>무역지표</x:v>
      </x:c>
      <x:c r="P58" s="444" t="str">
        <x:v>무역지표; 비율·증감률</x:v>
      </x:c>
      <x:c r="Q58" s="444" t="str">
        <x:v>[0.03]</x:v>
      </x:c>
      <x:c r="R58" s="444" t="str">
        <x:v>['%']</x:v>
      </x:c>
      <x:c r="S58" s="444" t="str">
        <x:v>[]</x:v>
      </x:c>
      <x:c r="T58" s="444" t="str">
        <x:v>[]</x:v>
      </x:c>
      <x:c r="U58" s="444" t="str"/>
      <x:c r="V58" s="444" t="str">
        <x:v>360</x:v>
      </x:c>
      <x:c r="W58" s="444" t="str">
        <x:v>DT_1R11006_FRM101</x:v>
      </x:c>
      <x:c r="X58" s="444" t="str">
        <x:v>13102103829E.US</x:v>
      </x:c>
      <x:c r="Y58" s="444" t="str"/>
      <x:c r="Z58" s="444" t="str">
        <x:v>13103103829T1</x:v>
      </x:c>
      <x:c r="AA58" s="444" t="str">
        <x:v>H</x:v>
      </x:c>
      <x:c r="AB58" s="444" t="str">
        <x:v>CHANGE_RATE</x:v>
      </x:c>
      <x:c r="AC58" s="444" t="str">
        <x:v>0.03</x:v>
      </x:c>
      <x:c r="AD58" s="444" t="str"/>
      <x:c r="AE58" s="444" t="str"/>
      <x:c r="AF58" s="444" t="str"/>
      <x:c r="AG58" s="444" t="str">
        <x:v>판단불가</x:v>
      </x:c>
      <x:c r="AH58" s="444" t="str">
        <x:v>데이터 없음(응답은 성공했으나 매칭 실패)</x:v>
      </x:c>
      <x:c r="AI58" s="444" t="str">
        <x:v>국가별 수출입 후보 선택. 국가/수출입/시점 코드 확인 필요 | 국가 코드 자동선택: 미국</x:v>
      </x:c>
      <x:c r="AJ58" s="444" t="str">
        <x:v>보류</x:v>
      </x:c>
      <x:c r="AK58" s="444" t="str"/>
      <x:c r="AL58" s="444" t="str"/>
      <x:c r="AM58" s="444" t="str"/>
      <x:c r="AN58" s="444" t="str"/>
      <x:c r="AO58" s="444" t="str"/>
      <x:c r="AP58" s="444" t="str"/>
      <x:c r="AQ58" s="444" t="str"/>
      <x:c r="AR58" s="444" t="str"/>
      <x:c r="AS58" s="444" t="str"/>
      <x:c r="AT58" s="444" t="str"/>
      <x:c r="AU58" s="444" t="str"/>
      <x:c r="AV58" s="444" t="str"/>
      <x:c r="AW58" s="444" t="str">
        <x:v>N/A</x:v>
      </x:c>
      <x:c r="AX58" s="444" t="str"/>
      <x:c r="AY58" s="444" t="str"/>
      <x:c r="AZ58" s="444" t="str"/>
      <x:c r="BA58" s="444" t="str"/>
      <x:c r="BB58" s="444" t="str"/>
      <x:c r="BC58" s="444" t="str"/>
      <x:c r="BD58" s="444" t="str">
        <x:v>Y</x:v>
      </x:c>
      <x:c r="BE58" s="444" t="str"/>
      <x:c r="BF58" s="444" t="str">
        <x:v>360</x:v>
      </x:c>
      <x:c r="BG58" s="444" t="str">
        <x:v>DT_1R11001_FRM101</x:v>
      </x:c>
      <x:c r="BH58" s="444" t="str">
        <x:v>13102112831A.A</x:v>
      </x:c>
      <x:c r="BI58" s="444" t="str"/>
      <x:c r="BJ58" s="444" t="str">
        <x:v>13103112831T1</x:v>
      </x:c>
      <x:c r="BK58" s="444" t="str">
        <x:v>M</x:v>
      </x:c>
      <x:c r="BL58" s="444" t="str">
        <x:v>-0.03</x:v>
      </x:c>
      <x:c r="BM58" s="444" t="str">
        <x:v>202501:202506</x:v>
      </x:c>
      <x:c r="BN58" s="444" t="str">
        <x:v>202401:202406</x:v>
      </x:c>
      <x:c r="BO58" s="444" t="str">
        <x:v>SUM_PERIODS_CHANGE_RATE</x:v>
      </x:c>
      <x:c r="BP58" s="444" t="str">
        <x:v>일치</x:v>
      </x:c>
      <x:c r="BQ58" s="444" t="str">
        <x:v>KOSIS 월별 총수출액 합계는 2025년 상반기 334,664,452천달러, 2024년 상반기 334,815,012천달러로 약 -0.045%. 기사 -0.03%와 반올림·현재 개정치 범위에서 일치</x:v>
      </x:c>
      <x:c r="BR58" s="444" t="str">
        <x:v>수동확정_현재KOSIS개정치기준</x:v>
      </x:c>
      <x:c r="BS58" s="444" t="str">
        <x:v>검증가능</x:v>
      </x:c>
      <x:c r="BT58" s="444" t="str">
        <x:v>N</x:v>
      </x:c>
      <x:c r="BU58" s="444" t="str">
        <x:v>N</x:v>
      </x:c>
      <x:c r="BV58" s="444" t="str">
        <x:v>N</x:v>
      </x:c>
      <x:c r="BW58" s="444" t="str">
        <x:v>N</x:v>
      </x:c>
      <x:c r="BX58" s="444" t="str">
        <x:v>N</x:v>
      </x:c>
      <x:c r="BY58" s="444" t="str">
        <x:v>N</x:v>
      </x:c>
      <x:c r="BZ58" s="444" t="str">
        <x:v>N</x:v>
      </x:c>
      <x:c r="CA58" s="444" t="str">
        <x:v>N</x:v>
      </x:c>
      <x:c r="CB58" s="444" t="str">
        <x:v>N</x:v>
      </x:c>
      <x:c r="CC58" s="444" t="str">
        <x:v>검증가능여부;통계표;항목;시점;주장수치;비교방식;최종판정</x:v>
      </x:c>
      <x:c r="CD58" s="444" t="str">
        <x:v>검증가능 지표를 코드북이 지원하지 않아 보류</x:v>
      </x:c>
    </x:row>
    <x:row r="59" ht="38" customHeight="1">
      <x:c r="A59" s="444" t="str">
        <x:v>58</x:v>
      </x:c>
      <x:c r="B59" s="444" t="str">
        <x:v>무역</x:v>
      </x:c>
      <x:c r="C59" s="444" t="str">
        <x:v>독립층화:증감률재검토</x:v>
      </x:c>
      <x:c r="D59" s="444" t="str">
        <x:v>증감률재검토</x:v>
      </x:c>
      <x:c r="E59" s="444" t="str">
        <x:v>재검토필요_증감률불일치</x:v>
      </x:c>
      <x:c r="F59" s="444" t="str">
        <x:v>outputs\bteam_review\final_verified_filled_2001_remapped_v6.csv</x:v>
      </x:c>
      <x:c r="G59" s="444" t="str">
        <x:v>C19138</x:v>
      </x:c>
      <x:c r="H59" s="444" t="str">
        <x:v>2508</x:v>
      </x:c>
      <x:c r="I59" s="444" t="str">
        <x:v>8년 만에 제일 많이 샀는데… 브라질 국채 투자자, 美 관세 눈치 게임</x:v>
      </x:c>
      <x:c r="J59" s="444" t="str">
        <x:v>2025-07-12</x:v>
      </x:c>
      <x:c r="K59" s="444" t="str">
        <x:v>https://www.chosun.com/economy/money/2025/07/12/XYIFGKEOB6RMEPJOGUKOUE2XSE</x:v>
      </x:c>
      <x:c r="L59" s="444" t="str">
        <x:v>김은기 삼성증권 연구원은 “헤알화 환율 변동성이 장기간 확대되면 외국인 투자자 이탈에 따른 헤알화 가치 하락과 더불어 장기 국채 금리 상승까지 나타날 수 있다”고 했다.</x:v>
      </x:c>
      <x:c r="M59" s="444" t="str">
        <x:v>김 연구원은 다만 “브라질 시장 내 외국인 투자자 비율이 10% 안팎으로 과거보다 영향력이 크게 감소했고, 미국 입장에서 (높은 관세율 부과가) 실익이 크지 않은 만큼 협상 중 타협점을 찾을 것”이라고 했다.</x:v>
      </x:c>
      <x:c r="N59" s="444" t="str">
        <x:v>코스피 코스닥 증권</x:v>
      </x:c>
      <x:c r="O59" s="444" t="str">
        <x:v>무역지표</x:v>
      </x:c>
      <x:c r="P59" s="444" t="str">
        <x:v>무역지표; 비율·증감률</x:v>
      </x:c>
      <x:c r="Q59" s="444" t="str">
        <x:v>[10]</x:v>
      </x:c>
      <x:c r="R59" s="444" t="str">
        <x:v>['%']</x:v>
      </x:c>
      <x:c r="S59" s="444" t="str">
        <x:v>[]</x:v>
      </x:c>
      <x:c r="T59" s="444" t="str">
        <x:v>[]</x:v>
      </x:c>
      <x:c r="U59" s="444" t="str"/>
      <x:c r="V59" s="444" t="str">
        <x:v>360</x:v>
      </x:c>
      <x:c r="W59" s="444" t="str">
        <x:v>DT_1R11006_FRM101</x:v>
      </x:c>
      <x:c r="X59" s="444" t="str">
        <x:v>13102103829E.US</x:v>
      </x:c>
      <x:c r="Y59" s="444" t="str"/>
      <x:c r="Z59" s="444" t="str">
        <x:v>13103103829T1</x:v>
      </x:c>
      <x:c r="AA59" s="444" t="str">
        <x:v>Y</x:v>
      </x:c>
      <x:c r="AB59" s="444" t="str">
        <x:v>CHANGE_RATE</x:v>
      </x:c>
      <x:c r="AC59" s="444" t="str">
        <x:v>10</x:v>
      </x:c>
      <x:c r="AD59" s="444" t="str">
        <x:v>2025</x:v>
      </x:c>
      <x:c r="AE59" s="444" t="str">
        <x:v>2024</x:v>
      </x:c>
      <x:c r="AF59" s="444" t="str">
        <x:v>-3.843459069</x:v>
      </x:c>
      <x:c r="AG59" s="444" t="str">
        <x:v>불일치</x:v>
      </x:c>
      <x:c r="AH59" s="444" t="str"/>
      <x:c r="AI59" s="444" t="str">
        <x:v>국가별 수출입 후보 선택. 국가/수출입/시점 코드 확인 필요 | 국가 코드 자동선택: 미국</x:v>
      </x:c>
      <x:c r="AJ59" s="444" t="str">
        <x:v>검증불가</x:v>
      </x:c>
      <x:c r="AK59" s="444" t="str">
        <x:v>KOSIS 미제공</x:v>
      </x:c>
      <x:c r="AL59" s="444" t="str"/>
      <x:c r="AM59" s="444" t="str"/>
      <x:c r="AN59" s="444" t="str"/>
      <x:c r="AO59" s="444" t="str"/>
      <x:c r="AP59" s="444" t="str"/>
      <x:c r="AQ59" s="444" t="str"/>
      <x:c r="AR59" s="444" t="str"/>
      <x:c r="AS59" s="444" t="str"/>
      <x:c r="AT59" s="444" t="str"/>
      <x:c r="AU59" s="444" t="str"/>
      <x:c r="AV59" s="444" t="str"/>
      <x:c r="AW59" s="444" t="str">
        <x:v>N/A</x:v>
      </x:c>
      <x:c r="AX59" s="444" t="str"/>
      <x:c r="AY59" s="444" t="str"/>
      <x:c r="AZ59" s="444" t="str"/>
      <x:c r="BA59" s="444" t="str"/>
      <x:c r="BB59" s="444" t="str">
        <x:v>판단불가</x:v>
      </x:c>
      <x:c r="BC59" s="444" t="str">
        <x:v>민간 설문·정책·시장가격 지표</x:v>
      </x:c>
      <x:c r="BD59" s="444" t="str">
        <x:v>N</x:v>
      </x:c>
      <x:c r="BE59" s="444" t="str">
        <x:v>KOSIS 미제공</x:v>
      </x:c>
      <x:c r="BF59" s="444" t="str"/>
      <x:c r="BG59" s="444" t="str"/>
      <x:c r="BH59" s="444" t="str"/>
      <x:c r="BI59" s="444" t="str"/>
      <x:c r="BJ59" s="444" t="str"/>
      <x:c r="BK59" s="444" t="str"/>
      <x:c r="BL59" s="444" t="str"/>
      <x:c r="BM59" s="444" t="str"/>
      <x:c r="BN59" s="444" t="str"/>
      <x:c r="BO59" s="444" t="str"/>
      <x:c r="BP59" s="444" t="str"/>
      <x:c r="BQ59" s="444" t="str">
        <x:v>브라질 시장의 외국인 투자자 비율에 관한 증권사 분석으로 KOSIS 국내 통계에서 제공하지 않음</x:v>
      </x:c>
      <x:c r="BR59" s="444" t="str">
        <x:v>수동확정_검증불가</x:v>
      </x:c>
      <x:c r="BS59" s="444" t="str">
        <x:v>검증불가</x:v>
      </x:c>
      <x:c r="BT59" s="444" t="str">
        <x:v>Y</x:v>
      </x:c>
      <x:c r="BU59" s="444" t="str">
        <x:v>N/A</x:v>
      </x:c>
      <x:c r="BV59" s="444" t="str">
        <x:v>N/A</x:v>
      </x:c>
      <x:c r="BW59" s="444" t="str">
        <x:v>N/A</x:v>
      </x:c>
      <x:c r="BX59" s="444" t="str">
        <x:v>N/A</x:v>
      </x:c>
      <x:c r="BY59" s="444" t="str">
        <x:v>N/A</x:v>
      </x:c>
      <x:c r="BZ59" s="444" t="str">
        <x:v>N/A</x:v>
      </x:c>
      <x:c r="CA59" s="444" t="str">
        <x:v>N/A</x:v>
      </x:c>
      <x:c r="CB59" s="444" t="str">
        <x:v>N/A</x:v>
      </x:c>
      <x:c r="CC59" s="444" t="str"/>
      <x:c r="CD59" s="444" t="str"/>
    </x:row>
    <x:row r="60" ht="38" customHeight="1">
      <x:c r="A60" s="444" t="str">
        <x:v>59</x:v>
      </x:c>
      <x:c r="B60" s="444" t="str">
        <x:v>무역</x:v>
      </x:c>
      <x:c r="C60" s="444" t="str">
        <x:v>독립층화:수준값재검토</x:v>
      </x:c>
      <x:c r="D60" s="444" t="str">
        <x:v>수준값재검토</x:v>
      </x:c>
      <x:c r="E60" s="444" t="str">
        <x:v>재검토필요_수준값불일치</x:v>
      </x:c>
      <x:c r="F60" s="444" t="str">
        <x:v>outputs\bteam_review\final_verified_filled_2001_remapped_v6.csv</x:v>
      </x:c>
      <x:c r="G60" s="444" t="str">
        <x:v>C20463</x:v>
      </x:c>
      <x:c r="H60" s="444" t="str">
        <x:v>2704</x:v>
      </x:c>
      <x:c r="I60" s="444" t="str">
        <x:v>수출 ‘톱10′ 기업 비중 40%로 역대 최대...‘대기업 쏠림’ 심화</x:v>
      </x:c>
      <x:c r="J60" s="444" t="str">
        <x:v>2025-11-10</x:v>
      </x:c>
      <x:c r="K60" s="444" t="str">
        <x:v>https://www.chosun.com/economy/economy_general/2025/11/10/STP3LFTONFGQLFJKML7SF2LS24/</x:v>
      </x:c>
      <x:c r="L60" s="444" t="str">
        <x:v>전체 수출에서 차지하는 비중을 보면, 대기업이 전체 수출의 66.1%를 차지하며 지난해 3분기(67.0%)와 비슷한 수준을 유지했다.</x:v>
      </x:c>
      <x:c r="M60" s="444" t="str">
        <x:v>중견기업(17.5%)과 중소기업(16.1%) 비중도 거의 변하지 않았다.</x:v>
      </x:c>
      <x:c r="N60" s="444" t="str">
        <x:v>수출 기업 수가 6만9808개로 4.5% 늘었지만, 대다수 기업들이 체감하는 수출 증가 효과는 미미한 것이다.</x:v>
      </x:c>
      <x:c r="O60" s="444" t="str">
        <x:v>비율·증감률</x:v>
      </x:c>
      <x:c r="P60" s="444" t="str">
        <x:v>비율·증감률</x:v>
      </x:c>
      <x:c r="Q60" s="444" t="str">
        <x:v>[17.5, 16.1]</x:v>
      </x:c>
      <x:c r="R60" s="444" t="str">
        <x:v>['%', '%']</x:v>
      </x:c>
      <x:c r="S60" s="444" t="str">
        <x:v>[]</x:v>
      </x:c>
      <x:c r="T60" s="444" t="str">
        <x:v>[]</x:v>
      </x:c>
      <x:c r="U60" s="444" t="str">
        <x:v>중견기업; 중소기업</x:v>
      </x:c>
      <x:c r="V60" s="444" t="str">
        <x:v>360</x:v>
      </x:c>
      <x:c r="W60" s="444" t="str">
        <x:v>DT_1R11001_FRM101</x:v>
      </x:c>
      <x:c r="X60" s="444" t="str">
        <x:v>13102112831A.A</x:v>
      </x:c>
      <x:c r="Y60" s="444" t="str"/>
      <x:c r="Z60" s="444" t="str">
        <x:v>13103112831T1</x:v>
      </x:c>
      <x:c r="AA60" s="444" t="str">
        <x:v>Y</x:v>
      </x:c>
      <x:c r="AB60" s="444" t="str">
        <x:v>LEVEL</x:v>
      </x:c>
      <x:c r="AC60" s="444" t="str">
        <x:v>16.1</x:v>
      </x:c>
      <x:c r="AD60" s="444" t="str">
        <x:v>2025</x:v>
      </x:c>
      <x:c r="AE60" s="444" t="str">
        <x:v>2024</x:v>
      </x:c>
      <x:c r="AF60" s="444" t="str">
        <x:v>709330045</x:v>
      </x:c>
      <x:c r="AG60" s="444" t="str">
        <x:v>불일치</x:v>
      </x:c>
      <x:c r="AH60" s="444" t="str"/>
      <x:c r="AI60" s="444" t="str">
        <x:v>품목별 수출입 후보 선택. 품목/수출입/시점 코드 확인 필요 | obj_l1/itm_id 자동 후보 입력</x:v>
      </x:c>
      <x:c r="AJ60" s="444" t="str">
        <x:v>보류</x:v>
      </x:c>
      <x:c r="AK60" s="444" t="str"/>
      <x:c r="AL60" s="444" t="str"/>
      <x:c r="AM60" s="444" t="str"/>
      <x:c r="AN60" s="444" t="str"/>
      <x:c r="AO60" s="444" t="str"/>
      <x:c r="AP60" s="444" t="str"/>
      <x:c r="AQ60" s="444" t="str"/>
      <x:c r="AR60" s="444" t="str"/>
      <x:c r="AS60" s="444" t="str"/>
      <x:c r="AT60" s="444" t="str"/>
      <x:c r="AU60" s="444" t="str"/>
      <x:c r="AV60" s="444" t="str"/>
      <x:c r="AW60" s="444" t="str">
        <x:v>N/A</x:v>
      </x:c>
      <x:c r="AX60" s="444" t="str"/>
      <x:c r="AY60" s="444" t="str"/>
      <x:c r="AZ60" s="444" t="str"/>
      <x:c r="BA60" s="444" t="str"/>
      <x:c r="BB60" s="444" t="str"/>
      <x:c r="BC60" s="444" t="str"/>
      <x:c r="BD60" s="444" t="str">
        <x:v>Y</x:v>
      </x:c>
      <x:c r="BE60" s="444" t="str"/>
      <x:c r="BF60" s="444" t="str">
        <x:v>101</x:v>
      </x:c>
      <x:c r="BG60" s="444" t="str">
        <x:v>DT_1TEC_P116</x:v>
      </x:c>
      <x:c r="BH60" s="444" t="str">
        <x:v>01</x:v>
      </x:c>
      <x:c r="BI60" s="444" t="str">
        <x:v>30</x:v>
      </x:c>
      <x:c r="BJ60" s="444" t="str">
        <x:v>T20</x:v>
      </x:c>
      <x:c r="BK60" s="444" t="str">
        <x:v>Q</x:v>
      </x:c>
      <x:c r="BL60" s="444" t="str">
        <x:v>16.1</x:v>
      </x:c>
      <x:c r="BM60" s="444" t="str">
        <x:v>202503</x:v>
      </x:c>
      <x:c r="BN60" s="444" t="str"/>
      <x:c r="BO60" s="444" t="str">
        <x:v>RATIO</x:v>
      </x:c>
      <x:c r="BP60" s="444" t="str">
        <x:v>일치</x:v>
      </x:c>
      <x:c r="BQ60" s="444" t="str">
        <x:v>KOSIS 2025년 3분기 수출액 중 중소기업 29,527,892천달러 / 전체 184,887,772천달러 = 15.97%로 기사 16.1%와 반올림 일치. 중견기업도 17.71%로 기사 17.5%와 근접</x:v>
      </x:c>
      <x:c r="BR60" s="444" t="str">
        <x:v>수동확정_KOSIS대조</x:v>
      </x:c>
      <x:c r="BS60" s="444" t="str">
        <x:v>검증가능</x:v>
      </x:c>
      <x:c r="BT60" s="444" t="str">
        <x:v>N</x:v>
      </x:c>
      <x:c r="BU60" s="444" t="str">
        <x:v>N</x:v>
      </x:c>
      <x:c r="BV60" s="444" t="str">
        <x:v>N</x:v>
      </x:c>
      <x:c r="BW60" s="444" t="str">
        <x:v>N</x:v>
      </x:c>
      <x:c r="BX60" s="444" t="str">
        <x:v>N</x:v>
      </x:c>
      <x:c r="BY60" s="444" t="str">
        <x:v>N</x:v>
      </x:c>
      <x:c r="BZ60" s="444" t="str">
        <x:v>N</x:v>
      </x:c>
      <x:c r="CA60" s="444" t="str">
        <x:v>N</x:v>
      </x:c>
      <x:c r="CB60" s="444" t="str">
        <x:v>N</x:v>
      </x:c>
      <x:c r="CC60" s="444" t="str">
        <x:v>검증가능여부;통계표;항목;시점;주장수치;비교방식;최종판정</x:v>
      </x:c>
      <x:c r="CD60" s="444" t="str">
        <x:v>검증가능 지표를 코드북이 지원하지 않아 보류</x:v>
      </x:c>
    </x:row>
    <x:row r="61" ht="38" customHeight="1">
      <x:c r="A61" s="444" t="str">
        <x:v>60</x:v>
      </x:c>
      <x:c r="B61" s="444" t="str">
        <x:v>무역</x:v>
      </x:c>
      <x:c r="C61" s="444" t="str">
        <x:v>독립층화:증감률재검토</x:v>
      </x:c>
      <x:c r="D61" s="444" t="str">
        <x:v>증감률재검토</x:v>
      </x:c>
      <x:c r="E61" s="444" t="str">
        <x:v>재검토필요_증감률불일치</x:v>
      </x:c>
      <x:c r="F61" s="444" t="str">
        <x:v>outputs\bteam_review\final_verified_filled_2001_remapped_v6.csv</x:v>
      </x:c>
      <x:c r="G61" s="444" t="str">
        <x:v>C20467</x:v>
      </x:c>
      <x:c r="H61" s="444" t="str">
        <x:v>2704</x:v>
      </x:c>
      <x:c r="I61" s="444" t="str">
        <x:v>수출 ‘톱10′ 기업 비중 40%로 역대 최대...‘대기업 쏠림’ 심화</x:v>
      </x:c>
      <x:c r="J61" s="444" t="str">
        <x:v>2025-11-10</x:v>
      </x:c>
      <x:c r="K61" s="444" t="str">
        <x:v>https://www.chosun.com/economy/economy_general/2025/11/10/STP3LFTONFGQLFJKML7SF2LS24/</x:v>
      </x:c>
      <x:c r="L61" s="444" t="str">
        <x:v>문제는 이런 수출 호황이 국내 경제 전반으로 파급되지 않는다는 점이다.</x:v>
      </x:c>
      <x:c r="M61" s="444" t="str">
        <x:v>대기업의 경우 자본재 수출이 773억달러로 12.2% 증가했지만, 원자재(-5.1%)와 소비재(-5.4%)는 감소했다.</x:v>
      </x:c>
      <x:c r="N61" s="444" t="str">
        <x:v>중견기업과 중소기업은 자본재, 소비재, 원자재 모두 증가했지만 절대 금액은 대기업에 비해 크게 작았다.</x:v>
      </x:c>
      <x:c r="O61" s="444" t="str">
        <x:v>무역지표</x:v>
      </x:c>
      <x:c r="P61" s="444" t="str">
        <x:v>무역지표; 비율·증감률</x:v>
      </x:c>
      <x:c r="Q61" s="444" t="str">
        <x:v>[12.2, 5.1, 5.4]</x:v>
      </x:c>
      <x:c r="R61" s="444" t="str">
        <x:v>['%', '%', '%']</x:v>
      </x:c>
      <x:c r="S61" s="444" t="str">
        <x:v>[]</x:v>
      </x:c>
      <x:c r="T61" s="444" t="str">
        <x:v>[]</x:v>
      </x:c>
      <x:c r="U61" s="444" t="str">
        <x:v>대기업</x:v>
      </x:c>
      <x:c r="V61" s="444" t="str">
        <x:v>360</x:v>
      </x:c>
      <x:c r="W61" s="444" t="str">
        <x:v>DT_1R11001_FRM101</x:v>
      </x:c>
      <x:c r="X61" s="444" t="str">
        <x:v>13102112831A.A</x:v>
      </x:c>
      <x:c r="Y61" s="444" t="str"/>
      <x:c r="Z61" s="444" t="str">
        <x:v>13103112831T1</x:v>
      </x:c>
      <x:c r="AA61" s="444" t="str">
        <x:v>Y</x:v>
      </x:c>
      <x:c r="AB61" s="444" t="str">
        <x:v>CHANGE_RATE</x:v>
      </x:c>
      <x:c r="AC61" s="444" t="str">
        <x:v>-5.4</x:v>
      </x:c>
      <x:c r="AD61" s="444" t="str">
        <x:v>2025</x:v>
      </x:c>
      <x:c r="AE61" s="444" t="str">
        <x:v>2024</x:v>
      </x:c>
      <x:c r="AF61" s="444" t="str">
        <x:v>3.762463431</x:v>
      </x:c>
      <x:c r="AG61" s="444" t="str">
        <x:v>불일치</x:v>
      </x:c>
      <x:c r="AH61" s="444" t="str"/>
      <x:c r="AI61" s="444" t="str">
        <x:v>품목별 수출입 후보 선택. 품목/수출입/시점 코드 확인 필요 | obj_l1/itm_id 자동 후보 입력</x:v>
      </x:c>
      <x:c r="AJ61" s="444" t="str">
        <x:v>보류</x:v>
      </x:c>
      <x:c r="AK61" s="444" t="str"/>
      <x:c r="AL61" s="444" t="str"/>
      <x:c r="AM61" s="444" t="str"/>
      <x:c r="AN61" s="444" t="str"/>
      <x:c r="AO61" s="444" t="str"/>
      <x:c r="AP61" s="444" t="str"/>
      <x:c r="AQ61" s="444" t="str"/>
      <x:c r="AR61" s="444" t="str"/>
      <x:c r="AS61" s="444" t="str"/>
      <x:c r="AT61" s="444" t="str"/>
      <x:c r="AU61" s="444" t="str"/>
      <x:c r="AV61" s="444" t="str"/>
      <x:c r="AW61" s="444" t="str">
        <x:v>N/A</x:v>
      </x:c>
      <x:c r="AX61" s="444" t="str"/>
      <x:c r="AY61" s="444" t="str"/>
      <x:c r="AZ61" s="444" t="str"/>
      <x:c r="BA61" s="444" t="str"/>
      <x:c r="BB61" s="444" t="str"/>
      <x:c r="BC61" s="444" t="str"/>
      <x:c r="BD61" s="444" t="str">
        <x:v>Y</x:v>
      </x:c>
      <x:c r="BE61" s="444" t="str"/>
      <x:c r="BF61" s="444" t="str">
        <x:v>101</x:v>
      </x:c>
      <x:c r="BG61" s="444" t="str">
        <x:v>DT_1TEC_P229</x:v>
      </x:c>
      <x:c r="BH61" s="444" t="str">
        <x:v>01</x:v>
      </x:c>
      <x:c r="BI61" s="444" t="str">
        <x:v>20/10</x:v>
      </x:c>
      <x:c r="BJ61" s="444" t="str">
        <x:v>T20</x:v>
      </x:c>
      <x:c r="BK61" s="444" t="str">
        <x:v>Q</x:v>
      </x:c>
      <x:c r="BL61" s="444" t="str">
        <x:v>-5.4</x:v>
      </x:c>
      <x:c r="BM61" s="444" t="str">
        <x:v>202503</x:v>
      </x:c>
      <x:c r="BN61" s="444" t="str">
        <x:v>202403</x:v>
      </x:c>
      <x:c r="BO61" s="444" t="str">
        <x:v>CHANGE_RATE</x:v>
      </x:c>
      <x:c r="BP61" s="444" t="str">
        <x:v>일치</x:v>
      </x:c>
      <x:c r="BQ61" s="444" t="str">
        <x:v>KOSIS 대기업 소비재 수출액은 2025년 3분기 12,266,727천달러, 2024년 3분기 12,962,133천달러로 -5.366%. 기사 -5.4%와 일치</x:v>
      </x:c>
      <x:c r="BR61" s="444" t="str">
        <x:v>수동확정_KOSIS대조</x:v>
      </x:c>
      <x:c r="BS61" s="444" t="str">
        <x:v>검증가능</x:v>
      </x:c>
      <x:c r="BT61" s="444" t="str">
        <x:v>N</x:v>
      </x:c>
      <x:c r="BU61" s="444" t="str">
        <x:v>N</x:v>
      </x:c>
      <x:c r="BV61" s="444" t="str">
        <x:v>N</x:v>
      </x:c>
      <x:c r="BW61" s="444" t="str">
        <x:v>N</x:v>
      </x:c>
      <x:c r="BX61" s="444" t="str">
        <x:v>N</x:v>
      </x:c>
      <x:c r="BY61" s="444" t="str">
        <x:v>N</x:v>
      </x:c>
      <x:c r="BZ61" s="444" t="str">
        <x:v>N</x:v>
      </x:c>
      <x:c r="CA61" s="444" t="str">
        <x:v>N</x:v>
      </x:c>
      <x:c r="CB61" s="444" t="str">
        <x:v>N</x:v>
      </x:c>
      <x:c r="CC61" s="444" t="str">
        <x:v>검증가능여부;통계표;항목;시점;주장수치;비교방식;최종판정</x:v>
      </x:c>
      <x:c r="CD61" s="444" t="str">
        <x:v>검증가능 지표를 코드북이 지원하지 않아 보류</x:v>
      </x:c>
    </x:row>
    <x:row r="62" ht="38" customHeight="1">
      <x:c r="A62" s="444" t="str">
        <x:v>61</x:v>
      </x:c>
      <x:c r="B62" s="444" t="str">
        <x:v>인구</x:v>
      </x:c>
      <x:c r="C62" s="444" t="str">
        <x:v>독립층화:판단불가</x:v>
      </x:c>
      <x:c r="D62" s="444" t="str">
        <x:v>판단불가</x:v>
      </x:c>
      <x:c r="E62" s="444" t="str"/>
      <x:c r="F62" s="444" t="str">
        <x:v>outputs\archive\bteam_poc_20260714\bteam_verification\bteam_kosis_review_manual_prioritized_4403.csv</x:v>
      </x:c>
      <x:c r="G62" s="444" t="str">
        <x:v>C02285</x:v>
      </x:c>
      <x:c r="H62" s="444" t="str">
        <x:v>308</x:v>
      </x:c>
      <x:c r="I62" s="444" t="str">
        <x:v>3분기 연속 제로 성장… 현실이 된 ‘피크 코리아’</x:v>
      </x:c>
      <x:c r="J62" s="444" t="str">
        <x:v>2025-01-24</x:v>
      </x:c>
      <x:c r="K62" s="444" t="str">
        <x:v>https://www.chosun.com/economy/economy_general/2025/01/24/SCPOEWE2RNG4NPULCO2RIKRR2I</x:v>
      </x:c>
      <x:c r="L62" s="444" t="str">
        <x:v>그간 고물가와 고금리 부담으로 부진했던 소비가 하반기 들어 물가가 1%대로 내려오고 금리도 낮아지면서 경기 회복세가 빨라질 것으로 봤는데 빗나간 것이다.</x:v>
      </x:c>
      <x:c r="M62" s="444" t="str">
        <x:v>이정희 중앙대 교수는 “작년 한국 인구의 20%가 65세 이상인 초고령사회로 진입하면서 구조적으로 소비 동력이 떨어져 내수가 살아나기 쉽지 않다”고 했다.</x:v>
      </x:c>
      <x:c r="N62" s="444" t="str">
        <x:v>비상계엄 사태와 탄핵 정국, 제주항공 여객기 참사 등 예상치 못한 변수들이 생기며 소비자들이 지갑을 닫아 민간 소비가 더 부진했다고 한은은 설명했다.</x:v>
      </x:c>
      <x:c r="O62" s="444" t="str">
        <x:v>인구지표</x:v>
      </x:c>
      <x:c r="P62" s="444" t="str">
        <x:v>인구지표; 비율·증감률</x:v>
      </x:c>
      <x:c r="Q62" s="444" t="str">
        <x:v>[20]</x:v>
      </x:c>
      <x:c r="R62" s="444" t="str">
        <x:v>['%']</x:v>
      </x:c>
      <x:c r="S62" s="444" t="str">
        <x:v>[]</x:v>
      </x:c>
      <x:c r="T62" s="444" t="str">
        <x:v>[]</x:v>
      </x:c>
      <x:c r="U62" s="444" t="str"/>
      <x:c r="V62" s="444" t="str">
        <x:v>101</x:v>
      </x:c>
      <x:c r="W62" s="444" t="str">
        <x:v>DT_1BPA002</x:v>
      </x:c>
      <x:c r="X62" s="444" t="str">
        <x:v>1</x:v>
      </x:c>
      <x:c r="Y62" s="444" t="str"/>
      <x:c r="Z62" s="444" t="str">
        <x:v>T10</x:v>
      </x:c>
      <x:c r="AA62" s="444" t="str">
        <x:v>Y</x:v>
      </x:c>
      <x:c r="AB62" s="444" t="str"/>
      <x:c r="AC62" s="444" t="str"/>
      <x:c r="AD62" s="444" t="str"/>
      <x:c r="AE62" s="444" t="str"/>
      <x:c r="AF62" s="444" t="str"/>
      <x:c r="AG62" s="444" t="str"/>
      <x:c r="AH62" s="444" t="str"/>
      <x:c r="AI62" s="444" t="str">
        <x:v>[Claude 검토] 통계청 장래인구추계(전국) 매칭, 65세이상 인구비중(초고령사회 20%) 확인 가능. 교수 발언은 해설이나 인용 수치는 공식 통계 기반 | obj_l1 수동 선택 필요(가정별, 후보 3개 -&gt; obj_l1_candidates 컬럼 참고) / 분류축이 2개라 obj_l2 이상 추가 필요할 수 있음: 인구구조부양비별</x:v>
      </x:c>
      <x:c r="AJ62" s="444" t="str">
        <x:v>보류</x:v>
      </x:c>
      <x:c r="AK62" s="444" t="str"/>
      <x:c r="AL62" s="444" t="str"/>
      <x:c r="AM62" s="444" t="str"/>
      <x:c r="AN62" s="444" t="str"/>
      <x:c r="AO62" s="444" t="str"/>
      <x:c r="AP62" s="444" t="str"/>
      <x:c r="AQ62" s="444" t="str"/>
      <x:c r="AR62" s="444" t="str"/>
      <x:c r="AS62" s="444" t="str"/>
      <x:c r="AT62" s="444" t="str"/>
      <x:c r="AU62" s="444" t="str"/>
      <x:c r="AV62" s="444" t="str"/>
      <x:c r="AW62" s="444" t="str">
        <x:v>N/A</x:v>
      </x:c>
      <x:c r="AX62" s="444" t="str"/>
      <x:c r="AY62" s="444" t="str"/>
      <x:c r="AZ62" s="444" t="str"/>
      <x:c r="BA62" s="444" t="str"/>
      <x:c r="BB62" s="444" t="str"/>
      <x:c r="BC62" s="444" t="str"/>
      <x:c r="BD62" s="444" t="str">
        <x:v>Y</x:v>
      </x:c>
      <x:c r="BE62" s="444" t="str"/>
      <x:c r="BF62" s="444" t="str">
        <x:v>101</x:v>
      </x:c>
      <x:c r="BG62" s="444" t="str">
        <x:v>DT_1B04006</x:v>
      </x:c>
      <x:c r="BH62" s="444" t="str">
        <x:v>00</x:v>
      </x:c>
      <x:c r="BI62" s="444" t="str">
        <x:v>65+</x:v>
      </x:c>
      <x:c r="BJ62" s="444" t="str">
        <x:v>T2</x:v>
      </x:c>
      <x:c r="BK62" s="444" t="str">
        <x:v>M</x:v>
      </x:c>
      <x:c r="BL62" s="444" t="str">
        <x:v>20</x:v>
      </x:c>
      <x:c r="BM62" s="444" t="str">
        <x:v>202412</x:v>
      </x:c>
      <x:c r="BN62" s="444" t="str"/>
      <x:c r="BO62" s="444" t="str">
        <x:v>RATIO_SUM_AGES</x:v>
      </x:c>
      <x:c r="BP62" s="444" t="str">
        <x:v>일치</x:v>
      </x:c>
      <x:c r="BQ62" s="444" t="str">
        <x:v>KOSIS 2024년 12월 전국 주민등록인구 51,217,221명 중 65세 이상 합계 10,256,782명으로 20.026%. 기사에서 말한 2024년 20%·초고령사회 진입과 일치</x:v>
      </x:c>
      <x:c r="BR62" s="444" t="str">
        <x:v>수동확정_KOSIS집계</x:v>
      </x:c>
      <x:c r="BS62" s="444" t="str">
        <x:v>검증가능</x:v>
      </x:c>
      <x:c r="BT62" s="444" t="str">
        <x:v>N</x:v>
      </x:c>
      <x:c r="BU62" s="444" t="str">
        <x:v>N</x:v>
      </x:c>
      <x:c r="BV62" s="444" t="str">
        <x:v>N</x:v>
      </x:c>
      <x:c r="BW62" s="444" t="str">
        <x:v>N</x:v>
      </x:c>
      <x:c r="BX62" s="444" t="str">
        <x:v>N</x:v>
      </x:c>
      <x:c r="BY62" s="444" t="str">
        <x:v>N</x:v>
      </x:c>
      <x:c r="BZ62" s="444" t="str">
        <x:v>N</x:v>
      </x:c>
      <x:c r="CA62" s="444" t="str">
        <x:v>N</x:v>
      </x:c>
      <x:c r="CB62" s="444" t="str">
        <x:v>N</x:v>
      </x:c>
      <x:c r="CC62" s="444" t="str">
        <x:v>검증가능여부;통계표;항목;시점;주장수치;비교방식;최종판정</x:v>
      </x:c>
      <x:c r="CD62" s="444" t="str">
        <x:v>검증가능 지표를 코드북이 지원하지 않아 보류</x:v>
      </x:c>
    </x:row>
    <x:row r="63" ht="38" customHeight="1">
      <x:c r="A63" s="444" t="str">
        <x:v>62</x:v>
      </x:c>
      <x:c r="B63" s="444" t="str">
        <x:v>인구</x:v>
      </x:c>
      <x:c r="C63" s="444" t="str">
        <x:v>독립층화:판단불가</x:v>
      </x:c>
      <x:c r="D63" s="444" t="str">
        <x:v>판단불가</x:v>
      </x:c>
      <x:c r="E63" s="444" t="str"/>
      <x:c r="F63" s="444" t="str">
        <x:v>outputs\archive\bteam_poc_20260714\bteam_verification\bteam_kosis_review_manual_prioritized_4403.csv</x:v>
      </x:c>
      <x:c r="G63" s="444" t="str">
        <x:v>C02705</x:v>
      </x:c>
      <x:c r="H63" s="444" t="str">
        <x:v>354</x:v>
      </x:c>
      <x:c r="I63" s="444" t="str">
        <x:v>올해 한국 초고령사회 진입…영수증 누가 지불할 것인가</x:v>
      </x:c>
      <x:c r="J63" s="444" t="str">
        <x:v>2025-01-28</x:v>
      </x:c>
      <x:c r="K63" s="444" t="str">
        <x:v>https://www.chosun.com/economy/economy_general/2025/01/28/RQTVHZUIN5HRRDBROUKFY5NLFM</x:v>
      </x:c>
      <x:c r="L63" s="444" t="str"/>
      <x:c r="M63" s="444" t="str">
        <x:v>4 2025년에 한국은 65세 이상 인구의 비중이 20%를 초과하는 초고령사회(super-aged society)에 진입한다.</x:v>
      </x:c>
      <x:c r="N63" s="444" t="str">
        <x:v>일본, 독일, 이탈리아와 같은 선진국이 초고령사회에 진입해 있다고는 하지만, 우리의 고령 인구 증가 속도는 세계 1위다.</x:v>
      </x:c>
      <x:c r="O63" s="444" t="str">
        <x:v>인구지표</x:v>
      </x:c>
      <x:c r="P63" s="444" t="str">
        <x:v>인구지표; 비율·증감률; 날짜·시간</x:v>
      </x:c>
      <x:c r="Q63" s="444" t="str">
        <x:v>[2025, 20]</x:v>
      </x:c>
      <x:c r="R63" s="444" t="str">
        <x:v>['년', '%']</x:v>
      </x:c>
      <x:c r="S63" s="444" t="str">
        <x:v>['2025']</x:v>
      </x:c>
      <x:c r="T63" s="444" t="str">
        <x:v>[]</x:v>
      </x:c>
      <x:c r="U63" s="444" t="str"/>
      <x:c r="V63" s="444" t="str">
        <x:v>101</x:v>
      </x:c>
      <x:c r="W63" s="444" t="str">
        <x:v>DT_1BPA002</x:v>
      </x:c>
      <x:c r="X63" s="444" t="str">
        <x:v>1</x:v>
      </x:c>
      <x:c r="Y63" s="444" t="str"/>
      <x:c r="Z63" s="444" t="str">
        <x:v>T10</x:v>
      </x:c>
      <x:c r="AA63" s="444" t="str">
        <x:v>Y</x:v>
      </x:c>
      <x:c r="AB63" s="444" t="str"/>
      <x:c r="AC63" s="444" t="str"/>
      <x:c r="AD63" s="444" t="str"/>
      <x:c r="AE63" s="444" t="str"/>
      <x:c r="AF63" s="444" t="str"/>
      <x:c r="AG63" s="444" t="str"/>
      <x:c r="AH63" s="444" t="str"/>
      <x:c r="AI63" s="444" t="str">
        <x:v>[Claude 검토] 통계청 장래인구추계(전국) 매칭, 2025년 65세이상 인구비중 20% 초과(초고령사회 진입) 확인 가능 | obj_l1 수동 선택 필요(가정별, 후보 3개 -&gt; obj_l1_candidates 컬럼 참고) / 분류축이 2개라 obj_l2 이상 추가 필요할 수 있음: 인구구조부양비별</x:v>
      </x:c>
      <x:c r="AJ63" s="444" t="str">
        <x:v>보류</x:v>
      </x:c>
      <x:c r="AK63" s="444" t="str"/>
      <x:c r="AL63" s="444" t="str"/>
      <x:c r="AM63" s="444" t="str"/>
      <x:c r="AN63" s="444" t="str"/>
      <x:c r="AO63" s="444" t="str"/>
      <x:c r="AP63" s="444" t="str"/>
      <x:c r="AQ63" s="444" t="str"/>
      <x:c r="AR63" s="444" t="str"/>
      <x:c r="AS63" s="444" t="str"/>
      <x:c r="AT63" s="444" t="str"/>
      <x:c r="AU63" s="444" t="str"/>
      <x:c r="AV63" s="444" t="str"/>
      <x:c r="AW63" s="444" t="str">
        <x:v>N/A</x:v>
      </x:c>
      <x:c r="AX63" s="444" t="str"/>
      <x:c r="AY63" s="444" t="str"/>
      <x:c r="AZ63" s="444" t="str"/>
      <x:c r="BA63" s="444" t="str"/>
      <x:c r="BB63" s="444" t="str"/>
      <x:c r="BC63" s="444" t="str"/>
      <x:c r="BD63" s="444" t="str">
        <x:v>Y</x:v>
      </x:c>
      <x:c r="BE63" s="444" t="str"/>
      <x:c r="BF63" s="444" t="str">
        <x:v>101</x:v>
      </x:c>
      <x:c r="BG63" s="444" t="str">
        <x:v>DT_1BPA002</x:v>
      </x:c>
      <x:c r="BH63" s="444" t="str">
        <x:v>1</x:v>
      </x:c>
      <x:c r="BI63" s="444" t="str">
        <x:v>33</x:v>
      </x:c>
      <x:c r="BJ63" s="444" t="str">
        <x:v>T10</x:v>
      </x:c>
      <x:c r="BK63" s="444" t="str">
        <x:v>Y</x:v>
      </x:c>
      <x:c r="BL63" s="444" t="str">
        <x:v>20</x:v>
      </x:c>
      <x:c r="BM63" s="444" t="str">
        <x:v>2025</x:v>
      </x:c>
      <x:c r="BN63" s="444" t="str"/>
      <x:c r="BO63" s="444" t="str">
        <x:v>THRESHOLD_GT</x:v>
      </x:c>
      <x:c r="BP63" s="444" t="str">
        <x:v>일치</x:v>
      </x:c>
      <x:c r="BQ63" s="444" t="str">
        <x:v>KOSIS 장래인구추계 중위 시나리오의 2025년 65세 이상 구성비는 20.3%로 20% 초과 주장과 일치</x:v>
      </x:c>
      <x:c r="BR63" s="444" t="str">
        <x:v>수동확정_KOSIS대조</x:v>
      </x:c>
      <x:c r="BS63" s="444" t="str">
        <x:v>검증가능</x:v>
      </x:c>
      <x:c r="BT63" s="444" t="str">
        <x:v>N</x:v>
      </x:c>
      <x:c r="BU63" s="444" t="str">
        <x:v>N</x:v>
      </x:c>
      <x:c r="BV63" s="444" t="str">
        <x:v>N</x:v>
      </x:c>
      <x:c r="BW63" s="444" t="str">
        <x:v>N</x:v>
      </x:c>
      <x:c r="BX63" s="444" t="str">
        <x:v>N</x:v>
      </x:c>
      <x:c r="BY63" s="444" t="str">
        <x:v>N</x:v>
      </x:c>
      <x:c r="BZ63" s="444" t="str">
        <x:v>N</x:v>
      </x:c>
      <x:c r="CA63" s="444" t="str">
        <x:v>N</x:v>
      </x:c>
      <x:c r="CB63" s="444" t="str">
        <x:v>N</x:v>
      </x:c>
      <x:c r="CC63" s="444" t="str">
        <x:v>검증가능여부;통계표;항목;시점;주장수치;비교방식;최종판정</x:v>
      </x:c>
      <x:c r="CD63" s="444" t="str">
        <x:v>검증가능 지표를 코드북이 지원하지 않아 보류</x:v>
      </x:c>
    </x:row>
    <x:row r="64" ht="38" customHeight="1">
      <x:c r="A64" s="444" t="str">
        <x:v>63</x:v>
      </x:c>
      <x:c r="B64" s="444" t="str">
        <x:v>인구</x:v>
      </x:c>
      <x:c r="C64" s="444" t="str">
        <x:v>독립층화:보충</x:v>
      </x:c>
      <x:c r="D64" s="444" t="str">
        <x:v>판단불가</x:v>
      </x:c>
      <x:c r="E64" s="444" t="str"/>
      <x:c r="F64" s="444" t="str">
        <x:v>outputs\archive\bteam_poc_20260714\bteam_verification\bteam_kosis_review_manual_prioritized_4403.csv</x:v>
      </x:c>
      <x:c r="G64" s="444" t="str">
        <x:v>C03047</x:v>
      </x:c>
      <x:c r="H64" s="444" t="str">
        <x:v>385</x:v>
      </x:c>
      <x:c r="I64" s="444" t="str">
        <x:v>큰손 ‘GG’세대 잡아라…새 소비권력 시니어 맞춤 전략은</x:v>
      </x:c>
      <x:c r="J64" s="444" t="str">
        <x:v>2025-01-30</x:v>
      </x:c>
      <x:c r="K64" s="444" t="str">
        <x:v>https://www.chosun.com/economy/industry-company/2025/01/30/WRIEL2CHFVBJ7P3NV25T4AIAD4</x:v>
      </x:c>
      <x:c r="L64" s="444" t="str">
        <x:v>#노후·은퇴 #헬스케어 대한상공회의소 시니어시장 시니어모델 GG세대 대한상의 노후·은퇴 더보기 초고령사회의 속옷… "기저귀는 다시 돌아오는 거야" 내의가 바뀐다는 것, 인생 주기가 달라졌음을 의미한다.</x:v>
      </x:c>
      <x:c r="M64" s="444" t="str">
        <x:v>대한민국 주민등록 인구 중 65세 이상 비율이 20%를 넘어섰다.</x:v>
      </x:c>
      <x:c r="N64" s="444" t="str">
        <x:v>우리나라가 초고령사회에...</x:v>
      </x:c>
      <x:c r="O64" s="444" t="str">
        <x:v>인구지표</x:v>
      </x:c>
      <x:c r="P64" s="444" t="str">
        <x:v>인구지표; 비율·증감률</x:v>
      </x:c>
      <x:c r="Q64" s="444" t="str">
        <x:v>[20]</x:v>
      </x:c>
      <x:c r="R64" s="444" t="str">
        <x:v>['%']</x:v>
      </x:c>
      <x:c r="S64" s="444" t="str">
        <x:v>[]</x:v>
      </x:c>
      <x:c r="T64" s="444" t="str">
        <x:v>[]</x:v>
      </x:c>
      <x:c r="U64" s="444" t="str"/>
      <x:c r="V64" s="444" t="str">
        <x:v>101</x:v>
      </x:c>
      <x:c r="W64" s="444" t="str">
        <x:v>DT_1BPA002</x:v>
      </x:c>
      <x:c r="X64" s="444" t="str">
        <x:v>1</x:v>
      </x:c>
      <x:c r="Y64" s="444" t="str"/>
      <x:c r="Z64" s="444" t="str"/>
      <x:c r="AA64" s="444" t="str">
        <x:v>M</x:v>
      </x:c>
      <x:c r="AB64" s="444" t="str"/>
      <x:c r="AC64" s="444" t="str"/>
      <x:c r="AD64" s="444" t="str"/>
      <x:c r="AE64" s="444" t="str"/>
      <x:c r="AF64" s="444" t="str"/>
      <x:c r="AG64" s="444" t="str"/>
      <x:c r="AH64" s="444" t="str"/>
      <x:c r="AI64" s="444" t="str">
        <x:v>[Claude 검토] 주민등록인구현황(시군구/1세별) 매칭, 전국 집계 후 65세이상 비율 계산 필요(20% 초과 확인) | obj_l1 수동 선택 필요(행정구역(시군구)별, 후보 313개 -&gt; obj_l1_candidates 컬럼 참고) / 분류축이 2개라 obj_l2 이상 추가 필요할 수 있음: 연령별 / itm_id 수동 선택 필요(후보 3개 -&gt; itm_id_candidates 컬럼 참고) | [Claude 재검토] 원래 DT_1B04006(읍면동단위, obj_l1 후보 과다)에서 DT_1BPA002(장래인구추계)로 표 변경 - 동일 패턴의 다른 행들과 통일</x:v>
      </x:c>
      <x:c r="AJ64" s="444" t="str">
        <x:v>보류</x:v>
      </x:c>
      <x:c r="AK64" s="444" t="str"/>
      <x:c r="AL64" s="444" t="str"/>
      <x:c r="AM64" s="444" t="str"/>
      <x:c r="AN64" s="444" t="str"/>
      <x:c r="AO64" s="444" t="str"/>
      <x:c r="AP64" s="444" t="str"/>
      <x:c r="AQ64" s="444" t="str"/>
      <x:c r="AR64" s="444" t="str"/>
      <x:c r="AS64" s="444" t="str"/>
      <x:c r="AT64" s="444" t="str"/>
      <x:c r="AU64" s="444" t="str"/>
      <x:c r="AV64" s="444" t="str"/>
      <x:c r="AW64" s="444" t="str">
        <x:v>N/A</x:v>
      </x:c>
      <x:c r="AX64" s="444" t="str"/>
      <x:c r="AY64" s="444" t="str"/>
      <x:c r="AZ64" s="444" t="str"/>
      <x:c r="BA64" s="444" t="str"/>
      <x:c r="BB64" s="444" t="str"/>
      <x:c r="BC64" s="444" t="str"/>
      <x:c r="BD64" s="444" t="str">
        <x:v>Y</x:v>
      </x:c>
      <x:c r="BE64" s="444" t="str"/>
      <x:c r="BF64" s="444" t="str">
        <x:v>101</x:v>
      </x:c>
      <x:c r="BG64" s="444" t="str">
        <x:v>DT_1B04006</x:v>
      </x:c>
      <x:c r="BH64" s="444" t="str">
        <x:v>00</x:v>
      </x:c>
      <x:c r="BI64" s="444" t="str">
        <x:v>65+</x:v>
      </x:c>
      <x:c r="BJ64" s="444" t="str">
        <x:v>T2</x:v>
      </x:c>
      <x:c r="BK64" s="444" t="str">
        <x:v>M</x:v>
      </x:c>
      <x:c r="BL64" s="444" t="str">
        <x:v>20</x:v>
      </x:c>
      <x:c r="BM64" s="444" t="str">
        <x:v>202412</x:v>
      </x:c>
      <x:c r="BN64" s="444" t="str"/>
      <x:c r="BO64" s="444" t="str">
        <x:v>THRESHOLD_GT_RATIO_SUM_AGES</x:v>
      </x:c>
      <x:c r="BP64" s="444" t="str">
        <x:v>일치</x:v>
      </x:c>
      <x:c r="BQ64" s="444" t="str">
        <x:v>KOSIS 2024년 12월 주민등록인구 기준 65세 이상 비율은 20.026%로 20%를 넘어섰다는 주장과 일치</x:v>
      </x:c>
      <x:c r="BR64" s="444" t="str">
        <x:v>수동확정_KOSIS집계</x:v>
      </x:c>
      <x:c r="BS64" s="444" t="str">
        <x:v>검증가능</x:v>
      </x:c>
      <x:c r="BT64" s="444" t="str">
        <x:v>N</x:v>
      </x:c>
      <x:c r="BU64" s="444" t="str">
        <x:v>N</x:v>
      </x:c>
      <x:c r="BV64" s="444" t="str">
        <x:v>N</x:v>
      </x:c>
      <x:c r="BW64" s="444" t="str">
        <x:v>N</x:v>
      </x:c>
      <x:c r="BX64" s="444" t="str">
        <x:v>N</x:v>
      </x:c>
      <x:c r="BY64" s="444" t="str">
        <x:v>N</x:v>
      </x:c>
      <x:c r="BZ64" s="444" t="str">
        <x:v>N</x:v>
      </x:c>
      <x:c r="CA64" s="444" t="str">
        <x:v>N</x:v>
      </x:c>
      <x:c r="CB64" s="444" t="str">
        <x:v>N</x:v>
      </x:c>
      <x:c r="CC64" s="444" t="str">
        <x:v>검증가능여부;통계표;항목;시점;주장수치;비교방식;최종판정</x:v>
      </x:c>
      <x:c r="CD64" s="444" t="str">
        <x:v>검증가능 지표를 코드북이 지원하지 않아 보류</x:v>
      </x:c>
    </x:row>
    <x:row r="65" ht="38" customHeight="1">
      <x:c r="A65" s="444" t="str">
        <x:v>64</x:v>
      </x:c>
      <x:c r="B65" s="444" t="str">
        <x:v>인구</x:v>
      </x:c>
      <x:c r="C65" s="444" t="str">
        <x:v>독립층화:보충</x:v>
      </x:c>
      <x:c r="D65" s="444" t="str">
        <x:v>판단불가</x:v>
      </x:c>
      <x:c r="E65" s="444" t="str"/>
      <x:c r="F65" s="444" t="str">
        <x:v>outputs\archive\bteam_poc_20260714\bteam_verification\bteam_kosis_review_manual_prioritized_4403.csv</x:v>
      </x:c>
      <x:c r="G65" s="444" t="str">
        <x:v>C04124</x:v>
      </x:c>
      <x:c r="H65" s="444" t="str">
        <x:v>519</x:v>
      </x:c>
      <x:c r="I65" s="444" t="str">
        <x:v>‘연 9%대’ 청년도약계좌 신청, 올해 들어 5배 이상 급증</x:v>
      </x:c>
      <x:c r="J65" s="444" t="str">
        <x:v>2025-02-09</x:v>
      </x:c>
      <x:c r="K65" s="444" t="str">
        <x:v>https://www.chosun.com/economy/money/2025/02/09/4SL5TSLL7KPMWQWY3QNXI2LUU4</x:v>
      </x:c>
      <x:c r="L65" s="444" t="str">
        <x:v>나흘간 일평균 신청 인원은 2만9000명으로 3만명에 육박한다.</x:v>
      </x:c>
      <x:c r="M65" s="444" t="str">
        <x:v>이런 흐름 속에 청년도약계좌 총 가입자는 166만명까지 불어났는데, 가입 가능한 청년 추산 인구(600만명)의 28%에 달한다.</x:v>
      </x:c>
      <x:c r="N65" s="444" t="str">
        <x:v>청년도약계좌는 5년간 매월 70만원 내에서 자유롭게 납입하면 은행 이자에 정부 기여금까지 최대 5000만원 목돈을 쥘 수 있도록 설계된 정책금융 상품이다.</x:v>
      </x:c>
      <x:c r="O65" s="444" t="str">
        <x:v>인구지표</x:v>
      </x:c>
      <x:c r="P65" s="444" t="str">
        <x:v>인구지표; 비율·증감률</x:v>
      </x:c>
      <x:c r="Q65" s="444" t="str">
        <x:v>[28]</x:v>
      </x:c>
      <x:c r="R65" s="444" t="str">
        <x:v>['%']</x:v>
      </x:c>
      <x:c r="S65" s="444" t="str">
        <x:v>[]</x:v>
      </x:c>
      <x:c r="T65" s="444" t="str">
        <x:v>[]</x:v>
      </x:c>
      <x:c r="U65" s="444" t="str">
        <x:v>청년</x:v>
      </x:c>
      <x:c r="V65" s="444" t="str"/>
      <x:c r="W65" s="444" t="str"/>
      <x:c r="X65" s="444" t="str"/>
      <x:c r="Y65" s="444" t="str"/>
      <x:c r="Z65" s="444" t="str"/>
      <x:c r="AA65" s="444" t="str"/>
      <x:c r="AB65" s="444" t="str"/>
      <x:c r="AC65" s="444" t="str"/>
      <x:c r="AD65" s="444" t="str"/>
      <x:c r="AE65" s="444" t="str"/>
      <x:c r="AF65" s="444" t="str"/>
      <x:c r="AG65" s="444" t="str"/>
      <x:c r="AH65" s="444" t="str"/>
      <x:c r="AI65" s="444" t="str">
        <x:v>[Claude 검토] KOSIS 검증 대상 아님: 청년도약계좌(정책금융상품) 가입자수/가입률, KOSIS 통계 아님</x:v>
      </x:c>
      <x:c r="AJ65" s="444" t="str">
        <x:v>보류</x:v>
      </x:c>
      <x:c r="AK65" s="444" t="str"/>
      <x:c r="AL65" s="444" t="str"/>
      <x:c r="AM65" s="444" t="str"/>
      <x:c r="AN65" s="444" t="str"/>
      <x:c r="AO65" s="444" t="str"/>
      <x:c r="AP65" s="444" t="str"/>
      <x:c r="AQ65" s="444" t="str"/>
      <x:c r="AR65" s="444" t="str"/>
      <x:c r="AS65" s="444" t="str"/>
      <x:c r="AT65" s="444" t="str"/>
      <x:c r="AU65" s="444" t="str"/>
      <x:c r="AV65" s="444" t="str"/>
      <x:c r="AW65" s="444" t="str">
        <x:v>N/A</x:v>
      </x:c>
      <x:c r="AX65" s="444" t="str"/>
      <x:c r="AY65" s="444" t="str"/>
      <x:c r="AZ65" s="444" t="str"/>
      <x:c r="BA65" s="444" t="str"/>
      <x:c r="BB65" s="444" t="str"/>
      <x:c r="BC65" s="444" t="str"/>
      <x:c r="BD65" s="444" t="str">
        <x:v>N</x:v>
      </x:c>
      <x:c r="BE65" s="444" t="str">
        <x:v>KOSIS 미제공</x:v>
      </x:c>
      <x:c r="BF65" s="444" t="str"/>
      <x:c r="BG65" s="444" t="str"/>
      <x:c r="BH65" s="444" t="str"/>
      <x:c r="BI65" s="444" t="str"/>
      <x:c r="BJ65" s="444" t="str"/>
      <x:c r="BK65" s="444" t="str"/>
      <x:c r="BL65" s="444" t="str"/>
      <x:c r="BM65" s="444" t="str"/>
      <x:c r="BN65" s="444" t="str"/>
      <x:c r="BO65" s="444" t="str"/>
      <x:c r="BP65" s="444" t="str"/>
      <x:c r="BQ65" s="444" t="str">
        <x:v>청년도약계좌 가입자 166만명과 가입 가능 추산 청년 600만명은 정책금융 행정자료·추산치로 KOSIS 동일 통계표가 없음</x:v>
      </x:c>
      <x:c r="BR65" s="444" t="str">
        <x:v>수동확정_검증불가</x:v>
      </x:c>
      <x:c r="BS65" s="444" t="str">
        <x:v>검증불가</x:v>
      </x:c>
      <x:c r="BT65" s="444" t="str">
        <x:v>N</x:v>
      </x:c>
      <x:c r="BU65" s="444" t="str">
        <x:v>N/A</x:v>
      </x:c>
      <x:c r="BV65" s="444" t="str">
        <x:v>N/A</x:v>
      </x:c>
      <x:c r="BW65" s="444" t="str">
        <x:v>N/A</x:v>
      </x:c>
      <x:c r="BX65" s="444" t="str">
        <x:v>N/A</x:v>
      </x:c>
      <x:c r="BY65" s="444" t="str">
        <x:v>N/A</x:v>
      </x:c>
      <x:c r="BZ65" s="444" t="str">
        <x:v>N/A</x:v>
      </x:c>
      <x:c r="CA65" s="444" t="str">
        <x:v>N/A</x:v>
      </x:c>
      <x:c r="CB65" s="444" t="str">
        <x:v>N/A</x:v>
      </x:c>
      <x:c r="CC65" s="444" t="str">
        <x:v>검증가능여부</x:v>
      </x:c>
      <x:c r="CD65" s="444" t="str">
        <x:v>검증불가 사유를 자동 분류하지 못해 보류</x:v>
      </x:c>
    </x:row>
    <x:row r="66" ht="38" customHeight="1">
      <x:c r="A66" s="444" t="str">
        <x:v>65</x:v>
      </x:c>
      <x:c r="B66" s="444" t="str">
        <x:v>인구</x:v>
      </x:c>
      <x:c r="C66" s="444" t="str">
        <x:v>독립층화:판단불가</x:v>
      </x:c>
      <x:c r="D66" s="444" t="str">
        <x:v>판단불가</x:v>
      </x:c>
      <x:c r="E66" s="444" t="str"/>
      <x:c r="F66" s="444" t="str">
        <x:v>outputs\archive\bteam_poc_20260714\bteam_verification\bteam_kosis_review_manual_prioritized_4403.csv</x:v>
      </x:c>
      <x:c r="G66" s="444" t="str">
        <x:v>C05231</x:v>
      </x:c>
      <x:c r="H66" s="444" t="str">
        <x:v>670</x:v>
      </x:c>
      <x:c r="I66" s="444" t="str">
        <x:v>한국 대도시·소도시 집값 격차 3배 ‘OECD 최대’</x:v>
      </x:c>
      <x:c r="J66" s="444" t="str">
        <x:v>2025-02-21</x:v>
      </x:c>
      <x:c r="K66" s="444" t="str">
        <x:v>https://www.chosun.com/economy/economy_general/2025/02/21/IXS5JNAIDBA5PDDU3A5TSB3TKM</x:v>
      </x:c>
      <x:c r="L66" s="444" t="str">
        <x:v>26 경제협력개발기구(OECD)가 최근 보고서에서 도시 규모에 따라 집값 격차가 가장 큰 나라로 한국을 꼽았다.</x:v>
      </x:c>
      <x:c r="M66" s="444" t="str">
        <x:v>OECD가 집계한 18국 중 한국에서만 인구 150만명 이상인 대도시의 평균 집값이 10만명 미만 소도시의 3배 이상으로 나왔다.</x:v>
      </x:c>
      <x:c r="N66" s="444" t="str">
        <x:v>급격한 저출생·고령화로 지방은 소멸하는 반면, 자산을 형성하고 증식할 수단으로 여전히 수도권 부동산 수요가 큰 한국의 현실이 고스란히 반영된 수치다.</x:v>
      </x:c>
      <x:c r="O66" s="444" t="str">
        <x:v>인구지표</x:v>
      </x:c>
      <x:c r="P66" s="444" t="str">
        <x:v>인구지표; 부동산지표; 배수</x:v>
      </x:c>
      <x:c r="Q66" s="444" t="str">
        <x:v>[3]</x:v>
      </x:c>
      <x:c r="R66" s="444" t="str">
        <x:v>['배']</x:v>
      </x:c>
      <x:c r="S66" s="444" t="str">
        <x:v>[]</x:v>
      </x:c>
      <x:c r="T66" s="444" t="str">
        <x:v>[]</x:v>
      </x:c>
      <x:c r="U66" s="444" t="str"/>
      <x:c r="V66" s="444" t="str"/>
      <x:c r="W66" s="444" t="str"/>
      <x:c r="X66" s="444" t="str"/>
      <x:c r="Y66" s="444" t="str"/>
      <x:c r="Z66" s="444" t="str"/>
      <x:c r="AA66" s="444" t="str"/>
      <x:c r="AB66" s="444" t="str"/>
      <x:c r="AC66" s="444" t="str"/>
      <x:c r="AD66" s="444" t="str"/>
      <x:c r="AE66" s="444" t="str"/>
      <x:c r="AF66" s="444" t="str"/>
      <x:c r="AG66" s="444" t="str"/>
      <x:c r="AH66" s="444" t="str"/>
      <x:c r="AI66" s="444" t="str">
        <x:v>[Claude 검토] KOSIS 검증 대상 아님: OECD 보고서 기준 대도시·소도시 집값 국제비교, KOSIS 통계 아님</x:v>
      </x:c>
      <x:c r="AJ66" s="444" t="str">
        <x:v>보류</x:v>
      </x:c>
      <x:c r="AK66" s="444" t="str"/>
      <x:c r="AL66" s="444" t="str"/>
      <x:c r="AM66" s="444" t="str"/>
      <x:c r="AN66" s="444" t="str"/>
      <x:c r="AO66" s="444" t="str"/>
      <x:c r="AP66" s="444" t="str"/>
      <x:c r="AQ66" s="444" t="str"/>
      <x:c r="AR66" s="444" t="str"/>
      <x:c r="AS66" s="444" t="str"/>
      <x:c r="AT66" s="444" t="str"/>
      <x:c r="AU66" s="444" t="str"/>
      <x:c r="AV66" s="444" t="str"/>
      <x:c r="AW66" s="444" t="str">
        <x:v>N/A</x:v>
      </x:c>
      <x:c r="AX66" s="444" t="str"/>
      <x:c r="AY66" s="444" t="str"/>
      <x:c r="AZ66" s="444" t="str"/>
      <x:c r="BA66" s="444" t="str"/>
      <x:c r="BB66" s="444" t="str"/>
      <x:c r="BC66" s="444" t="str"/>
      <x:c r="BD66" s="444" t="str">
        <x:v>N</x:v>
      </x:c>
      <x:c r="BE66" s="444" t="str">
        <x:v>KOSIS 미제공</x:v>
      </x:c>
      <x:c r="BF66" s="444" t="str"/>
      <x:c r="BG66" s="444" t="str"/>
      <x:c r="BH66" s="444" t="str"/>
      <x:c r="BI66" s="444" t="str"/>
      <x:c r="BJ66" s="444" t="str"/>
      <x:c r="BK66" s="444" t="str"/>
      <x:c r="BL66" s="444" t="str"/>
      <x:c r="BM66" s="444" t="str"/>
      <x:c r="BN66" s="444" t="str"/>
      <x:c r="BO66" s="444" t="str"/>
      <x:c r="BP66" s="444" t="str"/>
      <x:c r="BQ66" s="444" t="str">
        <x:v>OECD 18개국의 도시 규모별 평균 주택가격 비교 결과로 KOSIS 국내 통계표에서 동일 국가·도시분류·가격배율을 제공하지 않음</x:v>
      </x:c>
      <x:c r="BR66" s="444" t="str">
        <x:v>수동확정_검증불가</x:v>
      </x:c>
      <x:c r="BS66" s="444" t="str">
        <x:v>검증불가</x:v>
      </x:c>
      <x:c r="BT66" s="444" t="str">
        <x:v>N</x:v>
      </x:c>
      <x:c r="BU66" s="444" t="str">
        <x:v>N/A</x:v>
      </x:c>
      <x:c r="BV66" s="444" t="str">
        <x:v>N/A</x:v>
      </x:c>
      <x:c r="BW66" s="444" t="str">
        <x:v>N/A</x:v>
      </x:c>
      <x:c r="BX66" s="444" t="str">
        <x:v>N/A</x:v>
      </x:c>
      <x:c r="BY66" s="444" t="str">
        <x:v>N/A</x:v>
      </x:c>
      <x:c r="BZ66" s="444" t="str">
        <x:v>N/A</x:v>
      </x:c>
      <x:c r="CA66" s="444" t="str">
        <x:v>N/A</x:v>
      </x:c>
      <x:c r="CB66" s="444" t="str">
        <x:v>N/A</x:v>
      </x:c>
      <x:c r="CC66" s="444" t="str">
        <x:v>검증가능여부</x:v>
      </x:c>
      <x:c r="CD66" s="444" t="str">
        <x:v>검증불가 사유를 자동 분류하지 못해 보류</x:v>
      </x:c>
    </x:row>
    <x:row r="67" ht="38" customHeight="1">
      <x:c r="A67" s="444" t="str">
        <x:v>66</x:v>
      </x:c>
      <x:c r="B67" s="444" t="str">
        <x:v>인구</x:v>
      </x:c>
      <x:c r="C67" s="444" t="str">
        <x:v>독립층화:판단불가</x:v>
      </x:c>
      <x:c r="D67" s="444" t="str">
        <x:v>판단불가</x:v>
      </x:c>
      <x:c r="E67" s="444" t="str"/>
      <x:c r="F67" s="444" t="str">
        <x:v>outputs\archive\bteam_poc_20260714\bteam_verification\bteam_kosis_review_manual_prioritized_4403.csv</x:v>
      </x:c>
      <x:c r="G67" s="444" t="str">
        <x:v>C09032</x:v>
      </x:c>
      <x:c r="H67" s="444" t="str">
        <x:v>1167</x:v>
      </x:c>
      <x:c r="I67" s="444" t="str">
        <x:v>年 9조 매출 골다공증 치료제, 바이오시밀러 본격 경쟁</x:v>
      </x:c>
      <x:c r="J67" s="444" t="str">
        <x:v>2025-03-31</x:v>
      </x:c>
      <x:c r="K67" s="444" t="str">
        <x:v>https://www.chosun.com/economy/economy_general/2025/03/31/L7JXVSCOVNAB5CCYIBBYHALFZM</x:v>
      </x:c>
      <x:c r="L67" s="444" t="str">
        <x:v>지난해 한국에서 매출 1750억원을 올린 프롤리아에 도전장을 내민 국내 바이오 기업 셀트리온과 삼성바이오에피스가 각각 대웅제약, 한미약품과 공동 판매 계약을 맺고 시장 공략에 나선 것이다.</x:v>
      </x:c>
      <x:c r="M67" s="444" t="str">
        <x:v>65세 이상이 인구의 20% 이상을 차지하는 ‘초고령 사회’에 진입한 한국에서 ‘골다공증 치료제’ 출시 경쟁이 본격화했다는 평가가 나온다.</x:v>
      </x:c>
      <x:c r="N67" s="444" t="str">
        <x:v>셀트리온은 지난 19일 ‘스토보클로’라는 이름으로 프롤리아의 바이오 시밀러(바이오 의약품 복제약)를 출시하면서 대웅제약과 공동 판매 계약을 맺었다고 밝혔다.</x:v>
      </x:c>
      <x:c r="O67" s="444" t="str">
        <x:v>인구지표</x:v>
      </x:c>
      <x:c r="P67" s="444" t="str">
        <x:v>인구지표; 판매·생산량; 비율·증감률</x:v>
      </x:c>
      <x:c r="Q67" s="444" t="str">
        <x:v>[20]</x:v>
      </x:c>
      <x:c r="R67" s="444" t="str">
        <x:v>['%']</x:v>
      </x:c>
      <x:c r="S67" s="444" t="str">
        <x:v>[]</x:v>
      </x:c>
      <x:c r="T67" s="444" t="str">
        <x:v>[]</x:v>
      </x:c>
      <x:c r="U67" s="444" t="str"/>
      <x:c r="V67" s="444" t="str">
        <x:v>101</x:v>
      </x:c>
      <x:c r="W67" s="444" t="str">
        <x:v>DT_1BPA002</x:v>
      </x:c>
      <x:c r="X67" s="444" t="str">
        <x:v>1</x:v>
      </x:c>
      <x:c r="Y67" s="444" t="str"/>
      <x:c r="Z67" s="444" t="str">
        <x:v>T10</x:v>
      </x:c>
      <x:c r="AA67" s="444" t="str">
        <x:v>Y</x:v>
      </x:c>
      <x:c r="AB67" s="444" t="str"/>
      <x:c r="AC67" s="444" t="str"/>
      <x:c r="AD67" s="444" t="str"/>
      <x:c r="AE67" s="444" t="str"/>
      <x:c r="AF67" s="444" t="str"/>
      <x:c r="AG67" s="444" t="str"/>
      <x:c r="AH67" s="444" t="str"/>
      <x:c r="AI67" s="444" t="str">
        <x:v>[Claude 검토] 장래인구추계/주민등록인구현황(65세이상 인구비중) 매치. 기존에 반복 확인된 패턴. | obj_l1 수동 선택 필요(가정별, 후보 3개 -&gt; obj_l1_candidates 컬럼 참고) / 분류축이 2개라 obj_l2 이상 추가 필요할 수 있음: 인구구조부양비별</x:v>
      </x:c>
      <x:c r="AJ67" s="444" t="str">
        <x:v>보류</x:v>
      </x:c>
      <x:c r="AK67" s="444" t="str"/>
      <x:c r="AL67" s="444" t="str"/>
      <x:c r="AM67" s="444" t="str"/>
      <x:c r="AN67" s="444" t="str"/>
      <x:c r="AO67" s="444" t="str"/>
      <x:c r="AP67" s="444" t="str"/>
      <x:c r="AQ67" s="444" t="str"/>
      <x:c r="AR67" s="444" t="str"/>
      <x:c r="AS67" s="444" t="str"/>
      <x:c r="AT67" s="444" t="str"/>
      <x:c r="AU67" s="444" t="str"/>
      <x:c r="AV67" s="444" t="str"/>
      <x:c r="AW67" s="444" t="str">
        <x:v>N/A</x:v>
      </x:c>
      <x:c r="AX67" s="444" t="str"/>
      <x:c r="AY67" s="444" t="str"/>
      <x:c r="AZ67" s="444" t="str"/>
      <x:c r="BA67" s="444" t="str"/>
      <x:c r="BB67" s="444" t="str"/>
      <x:c r="BC67" s="444" t="str"/>
      <x:c r="BD67" s="444" t="str">
        <x:v>Y</x:v>
      </x:c>
      <x:c r="BE67" s="444" t="str"/>
      <x:c r="BF67" s="444" t="str">
        <x:v>101</x:v>
      </x:c>
      <x:c r="BG67" s="444" t="str">
        <x:v>DT_1B04006</x:v>
      </x:c>
      <x:c r="BH67" s="444" t="str">
        <x:v>00</x:v>
      </x:c>
      <x:c r="BI67" s="444" t="str">
        <x:v>65+</x:v>
      </x:c>
      <x:c r="BJ67" s="444" t="str">
        <x:v>T2</x:v>
      </x:c>
      <x:c r="BK67" s="444" t="str">
        <x:v>M</x:v>
      </x:c>
      <x:c r="BL67" s="444" t="str">
        <x:v>20</x:v>
      </x:c>
      <x:c r="BM67" s="444" t="str">
        <x:v>202412</x:v>
      </x:c>
      <x:c r="BN67" s="444" t="str"/>
      <x:c r="BO67" s="444" t="str">
        <x:v>THRESHOLD_GE_RATIO_SUM_AGES</x:v>
      </x:c>
      <x:c r="BP67" s="444" t="str">
        <x:v>일치</x:v>
      </x:c>
      <x:c r="BQ67" s="444" t="str">
        <x:v>KOSIS 2024년 12월 주민등록인구 기준 65세 이상 비율 20.026%로 초고령사회 기준 20% 이상과 일치</x:v>
      </x:c>
      <x:c r="BR67" s="444" t="str">
        <x:v>수동확정_KOSIS집계</x:v>
      </x:c>
      <x:c r="BS67" s="444" t="str">
        <x:v>검증가능</x:v>
      </x:c>
      <x:c r="BT67" s="444" t="str">
        <x:v>N</x:v>
      </x:c>
      <x:c r="BU67" s="444" t="str">
        <x:v>N</x:v>
      </x:c>
      <x:c r="BV67" s="444" t="str">
        <x:v>N</x:v>
      </x:c>
      <x:c r="BW67" s="444" t="str">
        <x:v>N</x:v>
      </x:c>
      <x:c r="BX67" s="444" t="str">
        <x:v>N</x:v>
      </x:c>
      <x:c r="BY67" s="444" t="str">
        <x:v>N</x:v>
      </x:c>
      <x:c r="BZ67" s="444" t="str">
        <x:v>N</x:v>
      </x:c>
      <x:c r="CA67" s="444" t="str">
        <x:v>N</x:v>
      </x:c>
      <x:c r="CB67" s="444" t="str">
        <x:v>N</x:v>
      </x:c>
      <x:c r="CC67" s="444" t="str">
        <x:v>검증가능여부;통계표;항목;시점;주장수치;비교방식;최종판정</x:v>
      </x:c>
      <x:c r="CD67" s="444" t="str">
        <x:v>검증가능 지표를 코드북이 지원하지 않아 보류</x:v>
      </x:c>
    </x:row>
    <x:row r="68" ht="38" customHeight="1">
      <x:c r="A68" s="444" t="str">
        <x:v>67</x:v>
      </x:c>
      <x:c r="B68" s="444" t="str">
        <x:v>인구</x:v>
      </x:c>
      <x:c r="C68" s="444" t="str">
        <x:v>독립층화:판단불가</x:v>
      </x:c>
      <x:c r="D68" s="444" t="str">
        <x:v>판단불가</x:v>
      </x:c>
      <x:c r="E68" s="444" t="str"/>
      <x:c r="F68" s="444" t="str">
        <x:v>outputs\archive\bteam_poc_20260714\bteam_verification\bteam_kosis_review_manual_prioritized_4403.csv</x:v>
      </x:c>
      <x:c r="G68" s="444" t="str">
        <x:v>C10602</x:v>
      </x:c>
      <x:c r="H68" s="444" t="str">
        <x:v>1367</x:v>
      </x:c>
      <x:c r="I68" s="444" t="str">
        <x:v>변화하는 현대차 DNA… 이번엔 前 美하원 의원 영입</x:v>
      </x:c>
      <x:c r="J68" s="444" t="str">
        <x:v>2025-04-16</x:v>
      </x:c>
      <x:c r="K68" s="444" t="str">
        <x:v>https://www.chosun.com/economy/auto/2025/04/16/TC5AE2SEYRC3BLU6BBZVXRKSWY</x:v>
      </x:c>
      <x:c r="L68" s="444" t="str">
        <x:v>현대차그룹은 기아 조지아 공장 가동을 앞둔 2008년, 공장이 있는 웨스트포인트 시장에 선출된 퍼거슨 전 의원과 인연을 맺었다.</x:v>
      </x:c>
      <x:c r="M68" s="444" t="str">
        <x:v>‘유령의 도시’라고까지 불리던 웨스트포인트시의 인구는 기아차 공장 가동 후 80% 증가했다.</x:v>
      </x:c>
      <x:c r="N68" s="444" t="str">
        <x:v>2019년 조지아 공장 10주년을 맞아 열린 행사에도 현대차는 퍼거슨 당시 의원을 초대하며 인연을 유지했고, 이번 영입으로 이어졌다.</x:v>
      </x:c>
      <x:c r="O68" s="444" t="str">
        <x:v>인구지표</x:v>
      </x:c>
      <x:c r="P68" s="444" t="str">
        <x:v>인구지표; 비율·증감률</x:v>
      </x:c>
      <x:c r="Q68" s="444" t="str">
        <x:v>[80]</x:v>
      </x:c>
      <x:c r="R68" s="444" t="str">
        <x:v>['%']</x:v>
      </x:c>
      <x:c r="S68" s="444" t="str">
        <x:v>[]</x:v>
      </x:c>
      <x:c r="T68" s="444" t="str">
        <x:v>[]</x:v>
      </x:c>
      <x:c r="U68" s="444" t="str"/>
      <x:c r="V68" s="444" t="str"/>
      <x:c r="W68" s="444" t="str"/>
      <x:c r="X68" s="444" t="str"/>
      <x:c r="Y68" s="444" t="str"/>
      <x:c r="Z68" s="444" t="str"/>
      <x:c r="AA68" s="444" t="str"/>
      <x:c r="AB68" s="444" t="str"/>
      <x:c r="AC68" s="444" t="str"/>
      <x:c r="AD68" s="444" t="str"/>
      <x:c r="AE68" s="444" t="str"/>
      <x:c r="AF68" s="444" t="str"/>
      <x:c r="AG68" s="444" t="str"/>
      <x:c r="AH68" s="444" t="str"/>
      <x:c r="AI68" s="444" t="str">
        <x:v>인구지표이나 세부 대상 불명확: 인구총조사/장래인구/인구동향 중 선택 필요</x:v>
      </x:c>
      <x:c r="AJ68" s="444" t="str">
        <x:v>보류</x:v>
      </x:c>
      <x:c r="AK68" s="444" t="str"/>
      <x:c r="AL68" s="444" t="str"/>
      <x:c r="AM68" s="444" t="str"/>
      <x:c r="AN68" s="444" t="str"/>
      <x:c r="AO68" s="444" t="str"/>
      <x:c r="AP68" s="444" t="str"/>
      <x:c r="AQ68" s="444" t="str"/>
      <x:c r="AR68" s="444" t="str"/>
      <x:c r="AS68" s="444" t="str"/>
      <x:c r="AT68" s="444" t="str"/>
      <x:c r="AU68" s="444" t="str"/>
      <x:c r="AV68" s="444" t="str"/>
      <x:c r="AW68" s="444" t="str">
        <x:v>N/A</x:v>
      </x:c>
      <x:c r="AX68" s="444" t="str"/>
      <x:c r="AY68" s="444" t="str"/>
      <x:c r="AZ68" s="444" t="str"/>
      <x:c r="BA68" s="444" t="str"/>
      <x:c r="BB68" s="444" t="str"/>
      <x:c r="BC68" s="444" t="str"/>
      <x:c r="BD68" s="444" t="str">
        <x:v>N</x:v>
      </x:c>
      <x:c r="BE68" s="444" t="str">
        <x:v>KOSIS 미제공</x:v>
      </x:c>
      <x:c r="BF68" s="444" t="str"/>
      <x:c r="BG68" s="444" t="str"/>
      <x:c r="BH68" s="444" t="str"/>
      <x:c r="BI68" s="444" t="str"/>
      <x:c r="BJ68" s="444" t="str"/>
      <x:c r="BK68" s="444" t="str"/>
      <x:c r="BL68" s="444" t="str"/>
      <x:c r="BM68" s="444" t="str"/>
      <x:c r="BN68" s="444" t="str"/>
      <x:c r="BO68" s="444" t="str"/>
      <x:c r="BP68" s="444" t="str"/>
      <x:c r="BQ68" s="444" t="str">
        <x:v>미국 조지아주 웨스트포인트시의 기아 공장 가동 전후 인구 증가율로 KOSIS 국내 국가통계 범위 밖임</x:v>
      </x:c>
      <x:c r="BR68" s="444" t="str">
        <x:v>수동확정_검증불가</x:v>
      </x:c>
      <x:c r="BS68" s="444" t="str">
        <x:v>검증불가</x:v>
      </x:c>
      <x:c r="BT68" s="444" t="str">
        <x:v>N</x:v>
      </x:c>
      <x:c r="BU68" s="444" t="str">
        <x:v>N/A</x:v>
      </x:c>
      <x:c r="BV68" s="444" t="str">
        <x:v>N/A</x:v>
      </x:c>
      <x:c r="BW68" s="444" t="str">
        <x:v>N/A</x:v>
      </x:c>
      <x:c r="BX68" s="444" t="str">
        <x:v>N/A</x:v>
      </x:c>
      <x:c r="BY68" s="444" t="str">
        <x:v>N/A</x:v>
      </x:c>
      <x:c r="BZ68" s="444" t="str">
        <x:v>N/A</x:v>
      </x:c>
      <x:c r="CA68" s="444" t="str">
        <x:v>N/A</x:v>
      </x:c>
      <x:c r="CB68" s="444" t="str">
        <x:v>N/A</x:v>
      </x:c>
      <x:c r="CC68" s="444" t="str">
        <x:v>검증가능여부</x:v>
      </x:c>
      <x:c r="CD68" s="444" t="str">
        <x:v>검증불가 사유를 자동 분류하지 못해 보류</x:v>
      </x:c>
    </x:row>
    <x:row r="69" ht="38" customHeight="1">
      <x:c r="A69" s="444" t="str">
        <x:v>68</x:v>
      </x:c>
      <x:c r="B69" s="444" t="str">
        <x:v>인구</x:v>
      </x:c>
      <x:c r="C69" s="444" t="str">
        <x:v>독립층화:보충</x:v>
      </x:c>
      <x:c r="D69" s="444" t="str">
        <x:v>판단불가</x:v>
      </x:c>
      <x:c r="E69" s="444" t="str"/>
      <x:c r="F69" s="444" t="str">
        <x:v>outputs\archive\bteam_poc_20260714\bteam_verification\bteam_kosis_review_manual_prioritized_4403.csv</x:v>
      </x:c>
      <x:c r="G69" s="444" t="str">
        <x:v>C10718</x:v>
      </x:c>
      <x:c r="H69" s="444" t="str">
        <x:v>1385</x:v>
      </x:c>
      <x:c r="I69" s="444" t="str">
        <x:v>가파른 농촌 소멸의 현실... 작년 농가 수 97만가구, 1년새 2.5% 줄어</x:v>
      </x:c>
      <x:c r="J69" s="444" t="str">
        <x:v>2025-04-17</x:v>
      </x:c>
      <x:c r="K69" s="444" t="str">
        <x:v>https://www.chosun.com/economy/economy_general/2025/04/17/3OPFBMB5FND7LKAFGEU5LNCDGA</x:v>
      </x:c>
      <x:c r="L69" s="444" t="str">
        <x:v>전국 농가 수는 1970년 약 248만3000가구였지만, 1984년 약 197만 3000가구로 처음 200만 가구 아래로 떨어진 뒤 2023년에는 100만 가구 선도 깨졌다.</x:v>
      </x:c>
      <x:c r="M69" s="444" t="str">
        <x:v>농가 인구도 지난해 200만4000명으로 전년(208만9000명) 대비 4.1%가 줄었다.</x:v>
      </x:c>
      <x:c r="N69" s="444" t="str">
        <x:v>농가 인구는 2003년 약 353만명에서 2013년 284만7000명으로 크게 감소했고, 지난해에는 간신히 200만명에 턱걸이할 정도로 가파르게 줄고 있다.</x:v>
      </x:c>
      <x:c r="O69" s="444" t="str">
        <x:v>인구지표</x:v>
      </x:c>
      <x:c r="P69" s="444" t="str">
        <x:v>인구지표; 비율·증감률; 인원수</x:v>
      </x:c>
      <x:c r="Q69" s="444" t="str">
        <x:v>[4000, 9000, 4.1]</x:v>
      </x:c>
      <x:c r="R69" s="444" t="str">
        <x:v>['명', '명', '%']</x:v>
      </x:c>
      <x:c r="S69" s="444" t="str">
        <x:v>[]</x:v>
      </x:c>
      <x:c r="T69" s="444" t="str">
        <x:v>[]</x:v>
      </x:c>
      <x:c r="U69" s="444" t="str"/>
      <x:c r="V69" s="444" t="str"/>
      <x:c r="W69" s="444" t="str"/>
      <x:c r="X69" s="444" t="str"/>
      <x:c r="Y69" s="444" t="str"/>
      <x:c r="Z69" s="444" t="str"/>
      <x:c r="AA69" s="444" t="str"/>
      <x:c r="AB69" s="444" t="str"/>
      <x:c r="AC69" s="444" t="str"/>
      <x:c r="AD69" s="444" t="str"/>
      <x:c r="AE69" s="444" t="str"/>
      <x:c r="AF69" s="444" t="str"/>
      <x:c r="AG69" s="444" t="str"/>
      <x:c r="AH69" s="444" t="str"/>
      <x:c r="AI69" s="444" t="str">
        <x:v>인구지표이나 세부 대상 불명확: 인구총조사/장래인구/인구동향 중 선택 필요</x:v>
      </x:c>
      <x:c r="AJ69" s="444" t="str">
        <x:v>보류</x:v>
      </x:c>
      <x:c r="AK69" s="444" t="str"/>
      <x:c r="AL69" s="444" t="str"/>
      <x:c r="AM69" s="444" t="str"/>
      <x:c r="AN69" s="444" t="str"/>
      <x:c r="AO69" s="444" t="str"/>
      <x:c r="AP69" s="444" t="str"/>
      <x:c r="AQ69" s="444" t="str"/>
      <x:c r="AR69" s="444" t="str"/>
      <x:c r="AS69" s="444" t="str"/>
      <x:c r="AT69" s="444" t="str"/>
      <x:c r="AU69" s="444" t="str"/>
      <x:c r="AV69" s="444" t="str"/>
      <x:c r="AW69" s="444" t="str">
        <x:v>N/A</x:v>
      </x:c>
      <x:c r="AX69" s="444" t="str"/>
      <x:c r="AY69" s="444" t="str"/>
      <x:c r="AZ69" s="444" t="str"/>
      <x:c r="BA69" s="444" t="str"/>
      <x:c r="BB69" s="444" t="str"/>
      <x:c r="BC69" s="444" t="str"/>
      <x:c r="BD69" s="444" t="str">
        <x:v>Y</x:v>
      </x:c>
      <x:c r="BE69" s="444" t="str"/>
      <x:c r="BF69" s="444" t="str">
        <x:v>101</x:v>
      </x:c>
      <x:c r="BG69" s="444" t="str">
        <x:v>DT_1EA1011</x:v>
      </x:c>
      <x:c r="BH69" s="444" t="str">
        <x:v>00</x:v>
      </x:c>
      <x:c r="BI69" s="444" t="str"/>
      <x:c r="BJ69" s="444" t="str">
        <x:v>T02</x:v>
      </x:c>
      <x:c r="BK69" s="444" t="str">
        <x:v>Y</x:v>
      </x:c>
      <x:c r="BL69" s="444" t="str">
        <x:v>-4.1</x:v>
      </x:c>
      <x:c r="BM69" s="444" t="str">
        <x:v>2024</x:v>
      </x:c>
      <x:c r="BN69" s="444" t="str">
        <x:v>2023</x:v>
      </x:c>
      <x:c r="BO69" s="444" t="str">
        <x:v>CHANGE_RATE</x:v>
      </x:c>
      <x:c r="BP69" s="444" t="str">
        <x:v>일치</x:v>
      </x:c>
      <x:c r="BQ69" s="444" t="str">
        <x:v>KOSIS 전국 농가인구는 2023년 2,088,781명, 2024년 2,003,520명으로 -4.081%. 기사 200만4천명·-4.1%와 일치</x:v>
      </x:c>
      <x:c r="BR69" s="444" t="str">
        <x:v>수동확정_KOSIS대조</x:v>
      </x:c>
      <x:c r="BS69" s="444" t="str">
        <x:v>검증가능</x:v>
      </x:c>
      <x:c r="BT69" s="444" t="str">
        <x:v>N</x:v>
      </x:c>
      <x:c r="BU69" s="444" t="str">
        <x:v>N</x:v>
      </x:c>
      <x:c r="BV69" s="444" t="str">
        <x:v>N</x:v>
      </x:c>
      <x:c r="BW69" s="444" t="str">
        <x:v>N</x:v>
      </x:c>
      <x:c r="BX69" s="444" t="str">
        <x:v>N</x:v>
      </x:c>
      <x:c r="BY69" s="444" t="str">
        <x:v>N</x:v>
      </x:c>
      <x:c r="BZ69" s="444" t="str">
        <x:v>N</x:v>
      </x:c>
      <x:c r="CA69" s="444" t="str">
        <x:v>N</x:v>
      </x:c>
      <x:c r="CB69" s="444" t="str">
        <x:v>N</x:v>
      </x:c>
      <x:c r="CC69" s="444" t="str">
        <x:v>검증가능여부;통계표;항목;시점;주장수치;비교방식;최종판정</x:v>
      </x:c>
      <x:c r="CD69" s="444" t="str">
        <x:v>검증가능 지표를 코드북이 지원하지 않아 보류</x:v>
      </x:c>
    </x:row>
    <x:row r="70" ht="38" customHeight="1">
      <x:c r="A70" s="444" t="str">
        <x:v>69</x:v>
      </x:c>
      <x:c r="B70" s="444" t="str">
        <x:v>인구</x:v>
      </x:c>
      <x:c r="C70" s="444" t="str">
        <x:v>독립층화:보충</x:v>
      </x:c>
      <x:c r="D70" s="444" t="str">
        <x:v>판단불가</x:v>
      </x:c>
      <x:c r="E70" s="444" t="str"/>
      <x:c r="F70" s="444" t="str">
        <x:v>outputs\archive\bteam_poc_20260714\bteam_verification\bteam_kosis_review_manual_prioritized_4403.csv</x:v>
      </x:c>
      <x:c r="G70" s="444" t="str">
        <x:v>C10721</x:v>
      </x:c>
      <x:c r="H70" s="444" t="str">
        <x:v>1385</x:v>
      </x:c>
      <x:c r="I70" s="444" t="str">
        <x:v>가파른 농촌 소멸의 현실... 작년 농가 수 97만가구, 1년새 2.5% 줄어</x:v>
      </x:c>
      <x:c r="J70" s="444" t="str">
        <x:v>2025-04-17</x:v>
      </x:c>
      <x:c r="K70" s="444" t="str">
        <x:v>https://www.chosun.com/economy/economy_general/2025/04/17/3OPFBMB5FND7LKAFGEU5LNCDGA</x:v>
      </x:c>
      <x:c r="L70" s="444" t="str">
        <x:v>농가 인구 가운데 65세 이상 고령 인구가 차지하는 비율은 지난해 55.8%로 2023년 52.6%보다 3.2%포인트 상승했다.</x:v>
      </x:c>
      <x:c r="M70" s="444" t="str">
        <x:v>이는 통계청 기준 지난해 국내 전체 인구에서 고령 인구가 차지하는 비율(19.2%)보다 약 세 배 높은 수치다.</x:v>
      </x:c>
      <x:c r="N70" s="444" t="str">
        <x:v>어가와 임가 사정도 농가와 비슷한 실정이다.</x:v>
      </x:c>
      <x:c r="O70" s="444" t="str">
        <x:v>인구지표</x:v>
      </x:c>
      <x:c r="P70" s="444" t="str">
        <x:v>인구지표; 비율·증감률</x:v>
      </x:c>
      <x:c r="Q70" s="444" t="str">
        <x:v>[19.2]</x:v>
      </x:c>
      <x:c r="R70" s="444" t="str">
        <x:v>['%']</x:v>
      </x:c>
      <x:c r="S70" s="444" t="str">
        <x:v>[]</x:v>
      </x:c>
      <x:c r="T70" s="444" t="str">
        <x:v>[]</x:v>
      </x:c>
      <x:c r="U70" s="444" t="str"/>
      <x:c r="V70" s="444" t="str"/>
      <x:c r="W70" s="444" t="str"/>
      <x:c r="X70" s="444" t="str"/>
      <x:c r="Y70" s="444" t="str"/>
      <x:c r="Z70" s="444" t="str"/>
      <x:c r="AA70" s="444" t="str"/>
      <x:c r="AB70" s="444" t="str"/>
      <x:c r="AC70" s="444" t="str"/>
      <x:c r="AD70" s="444" t="str"/>
      <x:c r="AE70" s="444" t="str"/>
      <x:c r="AF70" s="444" t="str"/>
      <x:c r="AG70" s="444" t="str"/>
      <x:c r="AH70" s="444" t="str"/>
      <x:c r="AI70" s="444" t="str">
        <x:v>인구지표이나 세부 대상 불명확: 인구총조사/장래인구/인구동향 중 선택 필요</x:v>
      </x:c>
      <x:c r="AJ70" s="444" t="str">
        <x:v>보류</x:v>
      </x:c>
      <x:c r="AK70" s="444" t="str"/>
      <x:c r="AL70" s="444" t="str"/>
      <x:c r="AM70" s="444" t="str"/>
      <x:c r="AN70" s="444" t="str"/>
      <x:c r="AO70" s="444" t="str"/>
      <x:c r="AP70" s="444" t="str"/>
      <x:c r="AQ70" s="444" t="str"/>
      <x:c r="AR70" s="444" t="str"/>
      <x:c r="AS70" s="444" t="str"/>
      <x:c r="AT70" s="444" t="str"/>
      <x:c r="AU70" s="444" t="str"/>
      <x:c r="AV70" s="444" t="str"/>
      <x:c r="AW70" s="444" t="str">
        <x:v>N/A</x:v>
      </x:c>
      <x:c r="AX70" s="444" t="str"/>
      <x:c r="AY70" s="444" t="str"/>
      <x:c r="AZ70" s="444" t="str"/>
      <x:c r="BA70" s="444" t="str"/>
      <x:c r="BB70" s="444" t="str"/>
      <x:c r="BC70" s="444" t="str"/>
      <x:c r="BD70" s="444" t="str">
        <x:v>Y</x:v>
      </x:c>
      <x:c r="BE70" s="444" t="str"/>
      <x:c r="BF70" s="444" t="str">
        <x:v>101</x:v>
      </x:c>
      <x:c r="BG70" s="444" t="str">
        <x:v>DT_1BPA002</x:v>
      </x:c>
      <x:c r="BH70" s="444" t="str">
        <x:v>1</x:v>
      </x:c>
      <x:c r="BI70" s="444" t="str">
        <x:v>33</x:v>
      </x:c>
      <x:c r="BJ70" s="444" t="str">
        <x:v>T10</x:v>
      </x:c>
      <x:c r="BK70" s="444" t="str">
        <x:v>Y</x:v>
      </x:c>
      <x:c r="BL70" s="444" t="str">
        <x:v>19.2</x:v>
      </x:c>
      <x:c r="BM70" s="444" t="str">
        <x:v>2024</x:v>
      </x:c>
      <x:c r="BN70" s="444" t="str"/>
      <x:c r="BO70" s="444" t="str">
        <x:v>LEVEL</x:v>
      </x:c>
      <x:c r="BP70" s="444" t="str">
        <x:v>일치</x:v>
      </x:c>
      <x:c r="BQ70" s="444" t="str">
        <x:v>KOSIS 장래인구추계 중위 시나리오의 2024년 65세 이상 구성비는 19.2%로 기사 수치와 정확히 일치</x:v>
      </x:c>
      <x:c r="BR70" s="444" t="str">
        <x:v>수동확정_KOSIS대조</x:v>
      </x:c>
      <x:c r="BS70" s="444" t="str">
        <x:v>검증가능</x:v>
      </x:c>
      <x:c r="BT70" s="444" t="str">
        <x:v>N</x:v>
      </x:c>
      <x:c r="BU70" s="444" t="str">
        <x:v>N</x:v>
      </x:c>
      <x:c r="BV70" s="444" t="str">
        <x:v>N</x:v>
      </x:c>
      <x:c r="BW70" s="444" t="str">
        <x:v>N</x:v>
      </x:c>
      <x:c r="BX70" s="444" t="str">
        <x:v>N</x:v>
      </x:c>
      <x:c r="BY70" s="444" t="str">
        <x:v>N</x:v>
      </x:c>
      <x:c r="BZ70" s="444" t="str">
        <x:v>N</x:v>
      </x:c>
      <x:c r="CA70" s="444" t="str">
        <x:v>N</x:v>
      </x:c>
      <x:c r="CB70" s="444" t="str">
        <x:v>N</x:v>
      </x:c>
      <x:c r="CC70" s="444" t="str">
        <x:v>검증가능여부;통계표;항목;시점;주장수치;비교방식;최종판정</x:v>
      </x:c>
      <x:c r="CD70" s="444" t="str">
        <x:v>검증가능 지표를 코드북이 지원하지 않아 보류</x:v>
      </x:c>
    </x:row>
    <x:row r="71" ht="38" customHeight="1">
      <x:c r="A71" s="444" t="str">
        <x:v>70</x:v>
      </x:c>
      <x:c r="B71" s="444" t="str">
        <x:v>인구</x:v>
      </x:c>
      <x:c r="C71" s="444" t="str">
        <x:v>독립층화:보충</x:v>
      </x:c>
      <x:c r="D71" s="444" t="str">
        <x:v>판단불가</x:v>
      </x:c>
      <x:c r="E71" s="444" t="str"/>
      <x:c r="F71" s="444" t="str">
        <x:v>outputs\archive\bteam_poc_20260714\bteam_verification\bteam_kosis_review_manual_prioritized_4403.csv</x:v>
      </x:c>
      <x:c r="G71" s="444" t="str">
        <x:v>C14029</x:v>
      </x:c>
      <x:c r="H71" s="444" t="str">
        <x:v>1845</x:v>
      </x:c>
      <x:c r="I71" s="444" t="str">
        <x:v>“지속가능한 고령화 사회의 해법은 ‘건강한 노인’”</x:v>
      </x:c>
      <x:c r="J71" s="444" t="str">
        <x:v>2025-05-22</x:v>
      </x:c>
      <x:c r="K71" s="444" t="str">
        <x:v>https://www.chosun.com/economy/economy_general/2025/05/22/J6RDBX6G6NGBFDCDKSFKJFTKLY</x:v>
      </x:c>
      <x:c r="L71" s="444" t="str">
        <x:v>2 전 세계적으로 고령 인구가 빠르게 늘고 있다.</x:v>
      </x:c>
      <x:c r="M71" s="444" t="str">
        <x:v>한국은 지난해 65세 이상 인구 비율이 전체 주민등록 인구의 20%를 넘어 ‘초고령 사회’에 들어섰다.</x:v>
      </x:c>
      <x:c r="N71" s="444" t="str">
        <x:v>2008년 10% 수준이었던 고령 인구 비율이 16년 만에 2배로 늘어난 셈이다.</x:v>
      </x:c>
      <x:c r="O71" s="444" t="str">
        <x:v>인구지표</x:v>
      </x:c>
      <x:c r="P71" s="444" t="str">
        <x:v>인구지표; 비율·증감률</x:v>
      </x:c>
      <x:c r="Q71" s="444" t="str">
        <x:v>[20]</x:v>
      </x:c>
      <x:c r="R71" s="444" t="str">
        <x:v>['%']</x:v>
      </x:c>
      <x:c r="S71" s="444" t="str">
        <x:v>[]</x:v>
      </x:c>
      <x:c r="T71" s="444" t="str">
        <x:v>[]</x:v>
      </x:c>
      <x:c r="U71" s="444" t="str"/>
      <x:c r="V71" s="444" t="str"/>
      <x:c r="W71" s="444" t="str"/>
      <x:c r="X71" s="444" t="str"/>
      <x:c r="Y71" s="444" t="str"/>
      <x:c r="Z71" s="444" t="str"/>
      <x:c r="AA71" s="444" t="str"/>
      <x:c r="AB71" s="444" t="str"/>
      <x:c r="AC71" s="444" t="str"/>
      <x:c r="AD71" s="444" t="str"/>
      <x:c r="AE71" s="444" t="str"/>
      <x:c r="AF71" s="444" t="str"/>
      <x:c r="AG71" s="444" t="str"/>
      <x:c r="AH71" s="444" t="str"/>
      <x:c r="AI71" s="444" t="str">
        <x:v>인구지표이나 세부 대상 불명확: 인구총조사/장래인구/인구동향 중 선택 필요</x:v>
      </x:c>
      <x:c r="AJ71" s="444" t="str">
        <x:v>보류</x:v>
      </x:c>
      <x:c r="AK71" s="444" t="str"/>
      <x:c r="AL71" s="444" t="str"/>
      <x:c r="AM71" s="444" t="str"/>
      <x:c r="AN71" s="444" t="str"/>
      <x:c r="AO71" s="444" t="str"/>
      <x:c r="AP71" s="444" t="str"/>
      <x:c r="AQ71" s="444" t="str"/>
      <x:c r="AR71" s="444" t="str"/>
      <x:c r="AS71" s="444" t="str"/>
      <x:c r="AT71" s="444" t="str"/>
      <x:c r="AU71" s="444" t="str"/>
      <x:c r="AV71" s="444" t="str"/>
      <x:c r="AW71" s="444" t="str">
        <x:v>N/A</x:v>
      </x:c>
      <x:c r="AX71" s="444" t="str"/>
      <x:c r="AY71" s="444" t="str"/>
      <x:c r="AZ71" s="444" t="str"/>
      <x:c r="BA71" s="444" t="str"/>
      <x:c r="BB71" s="444" t="str"/>
      <x:c r="BC71" s="444" t="str"/>
      <x:c r="BD71" s="444" t="str">
        <x:v>Y</x:v>
      </x:c>
      <x:c r="BE71" s="444" t="str"/>
      <x:c r="BF71" s="444" t="str">
        <x:v>101</x:v>
      </x:c>
      <x:c r="BG71" s="444" t="str">
        <x:v>DT_1B04006</x:v>
      </x:c>
      <x:c r="BH71" s="444" t="str">
        <x:v>00</x:v>
      </x:c>
      <x:c r="BI71" s="444" t="str">
        <x:v>65+</x:v>
      </x:c>
      <x:c r="BJ71" s="444" t="str">
        <x:v>T2</x:v>
      </x:c>
      <x:c r="BK71" s="444" t="str">
        <x:v>M</x:v>
      </x:c>
      <x:c r="BL71" s="444" t="str">
        <x:v>20</x:v>
      </x:c>
      <x:c r="BM71" s="444" t="str">
        <x:v>202412</x:v>
      </x:c>
      <x:c r="BN71" s="444" t="str"/>
      <x:c r="BO71" s="444" t="str">
        <x:v>THRESHOLD_GT_RATIO_SUM_AGES</x:v>
      </x:c>
      <x:c r="BP71" s="444" t="str">
        <x:v>일치</x:v>
      </x:c>
      <x:c r="BQ71" s="444" t="str">
        <x:v>KOSIS 2024년 12월 전체 주민등록인구 대비 65세 이상 비율은 20.026%로 20%를 넘었다는 주장과 일치</x:v>
      </x:c>
      <x:c r="BR71" s="444" t="str">
        <x:v>수동확정_KOSIS집계</x:v>
      </x:c>
      <x:c r="BS71" s="444" t="str">
        <x:v>검증가능</x:v>
      </x:c>
      <x:c r="BT71" s="444" t="str">
        <x:v>N</x:v>
      </x:c>
      <x:c r="BU71" s="444" t="str">
        <x:v>N</x:v>
      </x:c>
      <x:c r="BV71" s="444" t="str">
        <x:v>N</x:v>
      </x:c>
      <x:c r="BW71" s="444" t="str">
        <x:v>N</x:v>
      </x:c>
      <x:c r="BX71" s="444" t="str">
        <x:v>N</x:v>
      </x:c>
      <x:c r="BY71" s="444" t="str">
        <x:v>N</x:v>
      </x:c>
      <x:c r="BZ71" s="444" t="str">
        <x:v>N</x:v>
      </x:c>
      <x:c r="CA71" s="444" t="str">
        <x:v>N</x:v>
      </x:c>
      <x:c r="CB71" s="444" t="str">
        <x:v>N</x:v>
      </x:c>
      <x:c r="CC71" s="444" t="str">
        <x:v>검증가능여부;통계표;항목;시점;주장수치;비교방식;최종판정</x:v>
      </x:c>
      <x:c r="CD71" s="444" t="str">
        <x:v>검증가능 지표를 코드북이 지원하지 않아 보류</x:v>
      </x:c>
    </x:row>
    <x:row r="72" ht="38" customHeight="1">
      <x:c r="A72" s="444" t="str">
        <x:v>71</x:v>
      </x:c>
      <x:c r="B72" s="444" t="str">
        <x:v>인구</x:v>
      </x:c>
      <x:c r="C72" s="444" t="str">
        <x:v>독립층화:보충</x:v>
      </x:c>
      <x:c r="D72" s="444" t="str">
        <x:v>판단불가</x:v>
      </x:c>
      <x:c r="E72" s="444" t="str"/>
      <x:c r="F72" s="444" t="str">
        <x:v>outputs\archive\bteam_poc_20260714\bteam_verification\bteam_kosis_review_manual_prioritized_4403.csv</x:v>
      </x:c>
      <x:c r="G72" s="444" t="str">
        <x:v>C14030</x:v>
      </x:c>
      <x:c r="H72" s="444" t="str">
        <x:v>1845</x:v>
      </x:c>
      <x:c r="I72" s="444" t="str">
        <x:v>“지속가능한 고령화 사회의 해법은 ‘건강한 노인’”</x:v>
      </x:c>
      <x:c r="J72" s="444" t="str">
        <x:v>2025-05-22</x:v>
      </x:c>
      <x:c r="K72" s="444" t="str">
        <x:v>https://www.chosun.com/economy/economy_general/2025/05/22/J6RDBX6G6NGBFDCDKSFKJFTKLY</x:v>
      </x:c>
      <x:c r="L72" s="444" t="str">
        <x:v>한국은 지난해 65세 이상 인구 비율이 전체 주민등록 인구의 20%를 넘어 ‘초고령 사회’에 들어섰다.</x:v>
      </x:c>
      <x:c r="M72" s="444" t="str">
        <x:v>2008년 10% 수준이었던 고령 인구 비율이 16년 만에 2배로 늘어난 셈이다.</x:v>
      </x:c>
      <x:c r="N72" s="444" t="str">
        <x:v>전문가들은 인구 고령화에 따른 노동인구 부족, 의료 부담 증가 등 각종 사회·경제적 문제들은 이미 현실화됐다고 지적한다.</x:v>
      </x:c>
      <x:c r="O72" s="444" t="str">
        <x:v>인구지표</x:v>
      </x:c>
      <x:c r="P72" s="444" t="str">
        <x:v>인구지표; 비율·증감률; 배수; 날짜·시간</x:v>
      </x:c>
      <x:c r="Q72" s="444" t="str">
        <x:v>[2008, 10, 16, 2]</x:v>
      </x:c>
      <x:c r="R72" s="444" t="str">
        <x:v>['년', '%', '년', '배']</x:v>
      </x:c>
      <x:c r="S72" s="444" t="str">
        <x:v>['2008']</x:v>
      </x:c>
      <x:c r="T72" s="444" t="str">
        <x:v>[]</x:v>
      </x:c>
      <x:c r="U72" s="444" t="str"/>
      <x:c r="V72" s="444" t="str"/>
      <x:c r="W72" s="444" t="str"/>
      <x:c r="X72" s="444" t="str"/>
      <x:c r="Y72" s="444" t="str"/>
      <x:c r="Z72" s="444" t="str"/>
      <x:c r="AA72" s="444" t="str"/>
      <x:c r="AB72" s="444" t="str"/>
      <x:c r="AC72" s="444" t="str"/>
      <x:c r="AD72" s="444" t="str"/>
      <x:c r="AE72" s="444" t="str"/>
      <x:c r="AF72" s="444" t="str"/>
      <x:c r="AG72" s="444" t="str"/>
      <x:c r="AH72" s="444" t="str"/>
      <x:c r="AI72" s="444" t="str">
        <x:v>인구지표이나 세부 대상 불명확: 인구총조사/장래인구/인구동향 중 선택 필요</x:v>
      </x:c>
      <x:c r="AJ72" s="444" t="str">
        <x:v>보류</x:v>
      </x:c>
      <x:c r="AK72" s="444" t="str"/>
      <x:c r="AL72" s="444" t="str"/>
      <x:c r="AM72" s="444" t="str"/>
      <x:c r="AN72" s="444" t="str"/>
      <x:c r="AO72" s="444" t="str"/>
      <x:c r="AP72" s="444" t="str"/>
      <x:c r="AQ72" s="444" t="str"/>
      <x:c r="AR72" s="444" t="str"/>
      <x:c r="AS72" s="444" t="str"/>
      <x:c r="AT72" s="444" t="str"/>
      <x:c r="AU72" s="444" t="str"/>
      <x:c r="AV72" s="444" t="str"/>
      <x:c r="AW72" s="444" t="str">
        <x:v>N/A</x:v>
      </x:c>
      <x:c r="AX72" s="444" t="str"/>
      <x:c r="AY72" s="444" t="str"/>
      <x:c r="AZ72" s="444" t="str"/>
      <x:c r="BA72" s="444" t="str"/>
      <x:c r="BB72" s="444" t="str"/>
      <x:c r="BC72" s="444" t="str"/>
      <x:c r="BD72" s="444" t="str">
        <x:v>Y</x:v>
      </x:c>
      <x:c r="BE72" s="444" t="str"/>
      <x:c r="BF72" s="444" t="str">
        <x:v>101</x:v>
      </x:c>
      <x:c r="BG72" s="444" t="str">
        <x:v>DT_1B04006</x:v>
      </x:c>
      <x:c r="BH72" s="444" t="str">
        <x:v>00</x:v>
      </x:c>
      <x:c r="BI72" s="444" t="str">
        <x:v>65+</x:v>
      </x:c>
      <x:c r="BJ72" s="444" t="str">
        <x:v>T2</x:v>
      </x:c>
      <x:c r="BK72" s="444" t="str">
        <x:v>M</x:v>
      </x:c>
      <x:c r="BL72" s="444" t="str">
        <x:v>2</x:v>
      </x:c>
      <x:c r="BM72" s="444" t="str">
        <x:v>202412</x:v>
      </x:c>
      <x:c r="BN72" s="444" t="str">
        <x:v>200812</x:v>
      </x:c>
      <x:c r="BO72" s="444" t="str">
        <x:v>RATIO_HISTORY_SUM_AGES</x:v>
      </x:c>
      <x:c r="BP72" s="444" t="str">
        <x:v>일치</x:v>
      </x:c>
      <x:c r="BQ72" s="444" t="str">
        <x:v>KOSIS 주민등록 65세 이상 비율은 2008년 12월 10.233%, 2024년 12월 20.026%로 16년간 1.957배. 기사 ‘10% 수준에서 2배’와 일치</x:v>
      </x:c>
      <x:c r="BR72" s="444" t="str">
        <x:v>수동확정_KOSIS집계</x:v>
      </x:c>
      <x:c r="BS72" s="444" t="str">
        <x:v>검증가능</x:v>
      </x:c>
      <x:c r="BT72" s="444" t="str">
        <x:v>N</x:v>
      </x:c>
      <x:c r="BU72" s="444" t="str">
        <x:v>N</x:v>
      </x:c>
      <x:c r="BV72" s="444" t="str">
        <x:v>N</x:v>
      </x:c>
      <x:c r="BW72" s="444" t="str">
        <x:v>N</x:v>
      </x:c>
      <x:c r="BX72" s="444" t="str">
        <x:v>N</x:v>
      </x:c>
      <x:c r="BY72" s="444" t="str">
        <x:v>N</x:v>
      </x:c>
      <x:c r="BZ72" s="444" t="str">
        <x:v>N</x:v>
      </x:c>
      <x:c r="CA72" s="444" t="str">
        <x:v>N</x:v>
      </x:c>
      <x:c r="CB72" s="444" t="str">
        <x:v>N</x:v>
      </x:c>
      <x:c r="CC72" s="444" t="str">
        <x:v>검증가능여부;통계표;항목;시점;주장수치;비교방식;최종판정</x:v>
      </x:c>
      <x:c r="CD72" s="444" t="str">
        <x:v>검증가능 지표를 코드북이 지원하지 않아 보류</x:v>
      </x:c>
    </x:row>
    <x:row r="73" ht="38" customHeight="1">
      <x:c r="A73" s="444" t="str">
        <x:v>72</x:v>
      </x:c>
      <x:c r="B73" s="444" t="str">
        <x:v>인구</x:v>
      </x:c>
      <x:c r="C73" s="444" t="str">
        <x:v>독립층화:보충</x:v>
      </x:c>
      <x:c r="D73" s="444" t="str">
        <x:v>판단불가</x:v>
      </x:c>
      <x:c r="E73" s="444" t="str"/>
      <x:c r="F73" s="444" t="str">
        <x:v>outputs\archive\bteam_poc_20260714\bteam_verification\bteam_kosis_review_manual_prioritized_4403.csv</x:v>
      </x:c>
      <x:c r="G73" s="444" t="str">
        <x:v>C14688</x:v>
      </x:c>
      <x:c r="H73" s="444" t="str">
        <x:v>1933</x:v>
      </x:c>
      <x:c r="I73" s="444" t="str">
        <x:v>국내 유일 美 현지 라이선스 보유… 글로벌 IB로 발돋움</x:v>
      </x:c>
      <x:c r="J73" s="444" t="str">
        <x:v>2025-05-29</x:v>
      </x:c>
      <x:c r="K73" s="444" t="str">
        <x:v>https://www.chosun.com/economy/economy_general/2025/05/29/CSO44AMPMVC27O3HI6G2XLSENQ</x:v>
      </x:c>
      <x:c r="L73" s="444" t="str">
        <x:v>인도는 시가총액 기준 세계 4위 주식시장으로, 젊은 인구와 6~7%의 경제 성장률을 바탕으로 높은 잠재력을 지닌 국가로 평가된다.</x:v>
      </x:c>
      <x:c r="M73" s="444" t="str">
        <x:v>하지만 주식 계좌 보유율은 인구 대비 10% 수준으로, 금융시장 확대 여지는 크다.</x:v>
      </x:c>
      <x:c r="N73" s="444" t="str">
        <x:v>현재 인도 법인은 PMI(인수·합병 후 조직 통합) 작업을 안정적으로 진행 중이며, 인수 후 총 3700여 명의 임직원, 520만개의 계좌, 130여 개 지점, 4400여 명의 비즈니스 파트너를 확보하게 된다.</x:v>
      </x:c>
      <x:c r="O73" s="444" t="str">
        <x:v>인구지표</x:v>
      </x:c>
      <x:c r="P73" s="444" t="str">
        <x:v>인구지표; 비율·증감률</x:v>
      </x:c>
      <x:c r="Q73" s="444" t="str">
        <x:v>[10]</x:v>
      </x:c>
      <x:c r="R73" s="444" t="str">
        <x:v>['%']</x:v>
      </x:c>
      <x:c r="S73" s="444" t="str">
        <x:v>[]</x:v>
      </x:c>
      <x:c r="T73" s="444" t="str">
        <x:v>[]</x:v>
      </x:c>
      <x:c r="U73" s="444" t="str"/>
      <x:c r="V73" s="444" t="str"/>
      <x:c r="W73" s="444" t="str"/>
      <x:c r="X73" s="444" t="str"/>
      <x:c r="Y73" s="444" t="str"/>
      <x:c r="Z73" s="444" t="str"/>
      <x:c r="AA73" s="444" t="str"/>
      <x:c r="AB73" s="444" t="str"/>
      <x:c r="AC73" s="444" t="str"/>
      <x:c r="AD73" s="444" t="str"/>
      <x:c r="AE73" s="444" t="str"/>
      <x:c r="AF73" s="444" t="str"/>
      <x:c r="AG73" s="444" t="str"/>
      <x:c r="AH73" s="444" t="str"/>
      <x:c r="AI73" s="444" t="str">
        <x:v>인구지표이나 세부 대상 불명확: 인구총조사/장래인구/인구동향 중 선택 필요</x:v>
      </x:c>
      <x:c r="AJ73" s="444" t="str">
        <x:v>보류</x:v>
      </x:c>
      <x:c r="AK73" s="444" t="str"/>
      <x:c r="AL73" s="444" t="str"/>
      <x:c r="AM73" s="444" t="str"/>
      <x:c r="AN73" s="444" t="str"/>
      <x:c r="AO73" s="444" t="str"/>
      <x:c r="AP73" s="444" t="str"/>
      <x:c r="AQ73" s="444" t="str"/>
      <x:c r="AR73" s="444" t="str"/>
      <x:c r="AS73" s="444" t="str"/>
      <x:c r="AT73" s="444" t="str"/>
      <x:c r="AU73" s="444" t="str"/>
      <x:c r="AV73" s="444" t="str"/>
      <x:c r="AW73" s="444" t="str">
        <x:v>N/A</x:v>
      </x:c>
      <x:c r="AX73" s="444" t="str"/>
      <x:c r="AY73" s="444" t="str"/>
      <x:c r="AZ73" s="444" t="str"/>
      <x:c r="BA73" s="444" t="str"/>
      <x:c r="BB73" s="444" t="str"/>
      <x:c r="BC73" s="444" t="str"/>
      <x:c r="BD73" s="444" t="str">
        <x:v>N</x:v>
      </x:c>
      <x:c r="BE73" s="444" t="str">
        <x:v>KOSIS 미제공</x:v>
      </x:c>
      <x:c r="BF73" s="444" t="str"/>
      <x:c r="BG73" s="444" t="str"/>
      <x:c r="BH73" s="444" t="str"/>
      <x:c r="BI73" s="444" t="str"/>
      <x:c r="BJ73" s="444" t="str"/>
      <x:c r="BK73" s="444" t="str"/>
      <x:c r="BL73" s="444" t="str"/>
      <x:c r="BM73" s="444" t="str"/>
      <x:c r="BN73" s="444" t="str"/>
      <x:c r="BO73" s="444" t="str"/>
      <x:c r="BP73" s="444" t="str"/>
      <x:c r="BQ73" s="444" t="str">
        <x:v>인도 인구 대비 주식계좌 보유율은 해외 금융시장·민간 증권자료로 KOSIS 국내 통계에서 제공하지 않음</x:v>
      </x:c>
      <x:c r="BR73" s="444" t="str">
        <x:v>수동확정_검증불가</x:v>
      </x:c>
      <x:c r="BS73" s="444" t="str">
        <x:v>검증불가</x:v>
      </x:c>
      <x:c r="BT73" s="444" t="str">
        <x:v>N</x:v>
      </x:c>
      <x:c r="BU73" s="444" t="str">
        <x:v>N/A</x:v>
      </x:c>
      <x:c r="BV73" s="444" t="str">
        <x:v>N/A</x:v>
      </x:c>
      <x:c r="BW73" s="444" t="str">
        <x:v>N/A</x:v>
      </x:c>
      <x:c r="BX73" s="444" t="str">
        <x:v>N/A</x:v>
      </x:c>
      <x:c r="BY73" s="444" t="str">
        <x:v>N/A</x:v>
      </x:c>
      <x:c r="BZ73" s="444" t="str">
        <x:v>N/A</x:v>
      </x:c>
      <x:c r="CA73" s="444" t="str">
        <x:v>N/A</x:v>
      </x:c>
      <x:c r="CB73" s="444" t="str">
        <x:v>N/A</x:v>
      </x:c>
      <x:c r="CC73" s="444" t="str">
        <x:v>검증가능여부</x:v>
      </x:c>
      <x:c r="CD73" s="444" t="str">
        <x:v>검증불가 사유를 자동 분류하지 못해 보류</x:v>
      </x:c>
    </x:row>
    <x:row r="74" ht="38" customHeight="1">
      <x:c r="A74" s="444" t="str">
        <x:v>73</x:v>
      </x:c>
      <x:c r="B74" s="444" t="str">
        <x:v>인구</x:v>
      </x:c>
      <x:c r="C74" s="444" t="str">
        <x:v>독립층화:보충</x:v>
      </x:c>
      <x:c r="D74" s="444" t="str">
        <x:v>판단불가</x:v>
      </x:c>
      <x:c r="E74" s="444" t="str"/>
      <x:c r="F74" s="444" t="str">
        <x:v>outputs\archive\bteam_poc_20260714\bteam_verification\bteam_kosis_review_manual_prioritized_4403.csv</x:v>
      </x:c>
      <x:c r="G74" s="444" t="str">
        <x:v>C15064</x:v>
      </x:c>
      <x:c r="H74" s="444" t="str">
        <x:v>1981</x:v>
      </x:c>
      <x:c r="I74" s="444" t="str">
        <x:v>10년간 소비 증가율 둔화 폭 절반, 인구 감소·고령화 탓</x:v>
      </x:c>
      <x:c r="J74" s="444" t="str">
        <x:v>2025-06-02</x:v>
      </x:c>
      <x:c r="K74" s="444" t="str">
        <x:v>https://www.chosun.com/economy/economy_general/2025/06/02/7ATDCHLPMJEBHDPJAYYK2QSDOE</x:v>
      </x:c>
      <x:c r="L74" s="444" t="str">
        <x:v>1일 한국은행은 ‘인구구조 변화가 소비 둔화에 미치는 영향’ 보고서에서, 2013~2024년 민간 소비 증가율은 연평균 2%로 2001~2012년에 비해 1.6%포인트 낮아졌다면서, 이 중 인구 감소, 고령화 등 인구구조 변화로 인한 영향을 감소 폭의 절반 정도인 연평균 0.8%포인트로 추산했다.</x:v>
      </x:c>
      <x:c r="M74" s="444" t="str">
        <x:v>보고서는 인구 감소, 고령화가 더 심해지는 2025~2030년에는 인구구조 변화에 따른 소비 증가율 둔화 폭이 연평균 1%포인트까지 확대될 것으로 봤다.</x:v>
      </x:c>
      <x:c r="N74" s="444" t="str">
        <x:v>보고서에 따르면 인구가 줄면 성장 잠재력이 떨어지면서 가계의 소득 창출 여력이 악화돼 돈을 덜 쓰고, 소비 시장 규모 자체가 줄어드는 영향이 있다.</x:v>
      </x:c>
      <x:c r="O74" s="444" t="str">
        <x:v>인구지표</x:v>
      </x:c>
      <x:c r="P74" s="444" t="str">
        <x:v>인구지표; 비율·증감률; 날짜·시간</x:v>
      </x:c>
      <x:c r="Q74" s="444" t="str">
        <x:v>[2030, 1]</x:v>
      </x:c>
      <x:c r="R74" s="444" t="str">
        <x:v>['년', '%']</x:v>
      </x:c>
      <x:c r="S74" s="444" t="str">
        <x:v>['2030']</x:v>
      </x:c>
      <x:c r="T74" s="444" t="str">
        <x:v>[]</x:v>
      </x:c>
      <x:c r="U74" s="444" t="str"/>
      <x:c r="V74" s="444" t="str"/>
      <x:c r="W74" s="444" t="str"/>
      <x:c r="X74" s="444" t="str"/>
      <x:c r="Y74" s="444" t="str"/>
      <x:c r="Z74" s="444" t="str"/>
      <x:c r="AA74" s="444" t="str"/>
      <x:c r="AB74" s="444" t="str"/>
      <x:c r="AC74" s="444" t="str"/>
      <x:c r="AD74" s="444" t="str"/>
      <x:c r="AE74" s="444" t="str"/>
      <x:c r="AF74" s="444" t="str"/>
      <x:c r="AG74" s="444" t="str"/>
      <x:c r="AH74" s="444" t="str"/>
      <x:c r="AI74" s="444" t="str">
        <x:v>인구지표이나 세부 대상 불명확: 인구총조사/장래인구/인구동향 중 선택 필요</x:v>
      </x:c>
      <x:c r="AJ74" s="444" t="str">
        <x:v>검증불가</x:v>
      </x:c>
      <x:c r="AK74" s="444" t="str">
        <x:v>정보 부족</x:v>
      </x:c>
      <x:c r="AL74" s="444" t="str"/>
      <x:c r="AM74" s="444" t="str"/>
      <x:c r="AN74" s="444" t="str"/>
      <x:c r="AO74" s="444" t="str"/>
      <x:c r="AP74" s="444" t="str"/>
      <x:c r="AQ74" s="444" t="str"/>
      <x:c r="AR74" s="444" t="str"/>
      <x:c r="AS74" s="444" t="str"/>
      <x:c r="AT74" s="444" t="str"/>
      <x:c r="AU74" s="444" t="str"/>
      <x:c r="AV74" s="444" t="str"/>
      <x:c r="AW74" s="444" t="str">
        <x:v>N/A</x:v>
      </x:c>
      <x:c r="AX74" s="444" t="str"/>
      <x:c r="AY74" s="444" t="str"/>
      <x:c r="AZ74" s="444" t="str"/>
      <x:c r="BA74" s="444" t="str"/>
      <x:c r="BB74" s="444" t="str">
        <x:v>판단불가</x:v>
      </x:c>
      <x:c r="BC74" s="444" t="str">
        <x:v>관측 실적이 아닌 전망·목표 문장</x:v>
      </x:c>
      <x:c r="BD74" s="444" t="str">
        <x:v>N</x:v>
      </x:c>
      <x:c r="BE74" s="444" t="str">
        <x:v>KOSIS 미제공</x:v>
      </x:c>
      <x:c r="BF74" s="444" t="str"/>
      <x:c r="BG74" s="444" t="str"/>
      <x:c r="BH74" s="444" t="str"/>
      <x:c r="BI74" s="444" t="str"/>
      <x:c r="BJ74" s="444" t="str"/>
      <x:c r="BK74" s="444" t="str"/>
      <x:c r="BL74" s="444" t="str"/>
      <x:c r="BM74" s="444" t="str"/>
      <x:c r="BN74" s="444" t="str"/>
      <x:c r="BO74" s="444" t="str"/>
      <x:c r="BP74" s="444" t="str"/>
      <x:c r="BQ74" s="444" t="str">
        <x:v>2025~2030년 소비 증가율 둔화 폭에 대한 보고서 전망·모형 추정치로 KOSIS 실제 관측값이 아님</x:v>
      </x:c>
      <x:c r="BR74" s="444" t="str">
        <x:v>수동확정_검증불가</x:v>
      </x:c>
      <x:c r="BS74" s="444" t="str">
        <x:v>검증불가</x:v>
      </x:c>
      <x:c r="BT74" s="444" t="str">
        <x:v>Y</x:v>
      </x:c>
      <x:c r="BU74" s="444" t="str">
        <x:v>N/A</x:v>
      </x:c>
      <x:c r="BV74" s="444" t="str">
        <x:v>N/A</x:v>
      </x:c>
      <x:c r="BW74" s="444" t="str">
        <x:v>N/A</x:v>
      </x:c>
      <x:c r="BX74" s="444" t="str">
        <x:v>N/A</x:v>
      </x:c>
      <x:c r="BY74" s="444" t="str">
        <x:v>N/A</x:v>
      </x:c>
      <x:c r="BZ74" s="444" t="str">
        <x:v>N/A</x:v>
      </x:c>
      <x:c r="CA74" s="444" t="str">
        <x:v>N/A</x:v>
      </x:c>
      <x:c r="CB74" s="444" t="str">
        <x:v>N/A</x:v>
      </x:c>
      <x:c r="CC74" s="444" t="str"/>
      <x:c r="CD74" s="444" t="str"/>
    </x:row>
    <x:row r="75" ht="38" customHeight="1">
      <x:c r="A75" s="444" t="str">
        <x:v>74</x:v>
      </x:c>
      <x:c r="B75" s="444" t="str">
        <x:v>인구</x:v>
      </x:c>
      <x:c r="C75" s="444" t="str">
        <x:v>독립층화:보충</x:v>
      </x:c>
      <x:c r="D75" s="444" t="str">
        <x:v>판단불가</x:v>
      </x:c>
      <x:c r="E75" s="444" t="str"/>
      <x:c r="F75" s="444" t="str">
        <x:v>outputs\archive\bteam_poc_20260714\bteam_verification\bteam_kosis_review_manual_prioritized_4403.csv</x:v>
      </x:c>
      <x:c r="G75" s="444" t="str">
        <x:v>C17350</x:v>
      </x:c>
      <x:c r="H75" s="444" t="str">
        <x:v>2280</x:v>
      </x:c>
      <x:c r="I75" s="444" t="str">
        <x:v>서울 집값 16% 오를 때, 비수도권은 오히려 2% 하락</x:v>
      </x:c>
      <x:c r="J75" s="444" t="str">
        <x:v>2025-06-25</x:v>
      </x:c>
      <x:c r="K75" s="444" t="str">
        <x:v>https://www.chosun.com/economy/economy_general/2025/06/25/AV5W73HJC5GN3LWFBP4ZKTXQXI</x:v>
      </x:c>
      <x:c r="L75" s="444" t="str">
        <x:v>인구 증가율도 영향을 미쳤다.</x:v>
      </x:c>
      <x:c r="M75" s="444" t="str">
        <x:v>작년 수도권 인구 증가율이 0.43%인 데 반해 비수도권은 오히려 0.29% 감소하면서 수요가 위축되고 있는 것이다.</x:v>
      </x:c>
      <x:c r="N75" s="444" t="str">
        <x:v>특히 올해 초 토지 거래 허가 구역 일부 해제 등의 영향으로 이번 서울 지역 주택 가격 상승기의 경우, 5주 만에 주간 상승률 0.1%, 7주 만에 0.2%(연율 약 10%)를 기록했다.</x:v>
      </x:c>
      <x:c r="O75" s="444" t="str">
        <x:v>인구지표</x:v>
      </x:c>
      <x:c r="P75" s="444" t="str">
        <x:v>인구지표; 비율·증감률</x:v>
      </x:c>
      <x:c r="Q75" s="444" t="str">
        <x:v>[0.43, 0.29]</x:v>
      </x:c>
      <x:c r="R75" s="444" t="str">
        <x:v>['%', '%']</x:v>
      </x:c>
      <x:c r="S75" s="444" t="str">
        <x:v>[]</x:v>
      </x:c>
      <x:c r="T75" s="444" t="str">
        <x:v>[]</x:v>
      </x:c>
      <x:c r="U75" s="444" t="str">
        <x:v>수도권; 비수도권</x:v>
      </x:c>
      <x:c r="V75" s="444" t="str"/>
      <x:c r="W75" s="444" t="str"/>
      <x:c r="X75" s="444" t="str"/>
      <x:c r="Y75" s="444" t="str"/>
      <x:c r="Z75" s="444" t="str"/>
      <x:c r="AA75" s="444" t="str"/>
      <x:c r="AB75" s="444" t="str"/>
      <x:c r="AC75" s="444" t="str"/>
      <x:c r="AD75" s="444" t="str"/>
      <x:c r="AE75" s="444" t="str"/>
      <x:c r="AF75" s="444" t="str"/>
      <x:c r="AG75" s="444" t="str"/>
      <x:c r="AH75" s="444" t="str"/>
      <x:c r="AI75" s="444" t="str">
        <x:v>인구지표이나 세부 대상 불명확: 인구총조사/장래인구/인구동향 중 선택 필요</x:v>
      </x:c>
      <x:c r="AJ75" s="444" t="str">
        <x:v>보류</x:v>
      </x:c>
      <x:c r="AK75" s="444" t="str"/>
      <x:c r="AL75" s="444" t="str"/>
      <x:c r="AM75" s="444" t="str"/>
      <x:c r="AN75" s="444" t="str"/>
      <x:c r="AO75" s="444" t="str"/>
      <x:c r="AP75" s="444" t="str"/>
      <x:c r="AQ75" s="444" t="str"/>
      <x:c r="AR75" s="444" t="str"/>
      <x:c r="AS75" s="444" t="str"/>
      <x:c r="AT75" s="444" t="str"/>
      <x:c r="AU75" s="444" t="str"/>
      <x:c r="AV75" s="444" t="str"/>
      <x:c r="AW75" s="444" t="str">
        <x:v>N/A</x:v>
      </x:c>
      <x:c r="AX75" s="444" t="str"/>
      <x:c r="AY75" s="444" t="str"/>
      <x:c r="AZ75" s="444" t="str"/>
      <x:c r="BA75" s="444" t="str"/>
      <x:c r="BB75" s="444" t="str"/>
      <x:c r="BC75" s="444" t="str"/>
      <x:c r="BD75" s="444" t="str">
        <x:v>Y</x:v>
      </x:c>
      <x:c r="BE75" s="444" t="str"/>
      <x:c r="BF75" s="444" t="str">
        <x:v>101</x:v>
      </x:c>
      <x:c r="BG75" s="444" t="str">
        <x:v>DT_1BPB002</x:v>
      </x:c>
      <x:c r="BH75" s="444" t="str">
        <x:v>1</x:v>
      </x:c>
      <x:c r="BI75" s="444" t="str">
        <x:v>11+23+31|D10</x:v>
      </x:c>
      <x:c r="BJ75" s="444" t="str">
        <x:v>T10</x:v>
      </x:c>
      <x:c r="BK75" s="444" t="str">
        <x:v>Y</x:v>
      </x:c>
      <x:c r="BL75" s="444" t="str">
        <x:v>0.43</x:v>
      </x:c>
      <x:c r="BM75" s="444" t="str">
        <x:v>2024</x:v>
      </x:c>
      <x:c r="BN75" s="444" t="str">
        <x:v>2023</x:v>
      </x:c>
      <x:c r="BO75" s="444" t="str">
        <x:v>SUM_REGIONS_CHANGE_RATE</x:v>
      </x:c>
      <x:c r="BP75" s="444" t="str">
        <x:v>일치</x:v>
      </x:c>
      <x:c r="BQ75" s="444" t="str">
        <x:v>KOSIS 시도 장래인구추계 중위 시나리오 합산 결과 수도권은 26,190,452명에서 26,304,110명으로 0.434% 증가, 비수도권은 -0.295%. 기사 0.43%·-0.29%와 일치</x:v>
      </x:c>
      <x:c r="BR75" s="444" t="str">
        <x:v>수동확정_KOSIS집계</x:v>
      </x:c>
      <x:c r="BS75" s="444" t="str">
        <x:v>검증가능</x:v>
      </x:c>
      <x:c r="BT75" s="444" t="str">
        <x:v>N</x:v>
      </x:c>
      <x:c r="BU75" s="444" t="str">
        <x:v>N</x:v>
      </x:c>
      <x:c r="BV75" s="444" t="str">
        <x:v>N</x:v>
      </x:c>
      <x:c r="BW75" s="444" t="str">
        <x:v>N</x:v>
      </x:c>
      <x:c r="BX75" s="444" t="str">
        <x:v>N</x:v>
      </x:c>
      <x:c r="BY75" s="444" t="str">
        <x:v>N</x:v>
      </x:c>
      <x:c r="BZ75" s="444" t="str">
        <x:v>N</x:v>
      </x:c>
      <x:c r="CA75" s="444" t="str">
        <x:v>N</x:v>
      </x:c>
      <x:c r="CB75" s="444" t="str">
        <x:v>N</x:v>
      </x:c>
      <x:c r="CC75" s="444" t="str">
        <x:v>검증가능여부;통계표;항목;시점;주장수치;비교방식;최종판정</x:v>
      </x:c>
      <x:c r="CD75" s="444" t="str">
        <x:v>검증가능 지표를 코드북이 지원하지 않아 보류</x:v>
      </x:c>
    </x:row>
    <x:row r="76" ht="38" customHeight="1">
      <x:c r="A76" s="444" t="str">
        <x:v>75</x:v>
      </x:c>
      <x:c r="B76" s="444" t="str">
        <x:v>인구</x:v>
      </x:c>
      <x:c r="C76" s="444" t="str">
        <x:v>독립층화:판단불가</x:v>
      </x:c>
      <x:c r="D76" s="444" t="str">
        <x:v>판단불가</x:v>
      </x:c>
      <x:c r="E76" s="444" t="str"/>
      <x:c r="F76" s="444" t="str">
        <x:v>outputs\archive\bteam_poc_20260714\bteam_verification\bteam_kosis_review_manual_prioritized_4403.csv</x:v>
      </x:c>
      <x:c r="G76" s="444" t="str">
        <x:v>C17862</x:v>
      </x:c>
      <x:c r="H76" s="444" t="str">
        <x:v>2345</x:v>
      </x:c>
      <x:c r="I76" s="444" t="str">
        <x:v>인구소멸지역 갈 때 버스비 50% 할인...농림축산식품부 다음달 1일부터 ‘농촌투어패스’ 사업 추진</x:v>
      </x:c>
      <x:c r="J76" s="444" t="str">
        <x:v>2025-06-30</x:v>
      </x:c>
      <x:c r="K76" s="444" t="str">
        <x:v>https://www.chosun.com/economy/economy_general/2025/06/30/EPJOGMWLHFEWFDPHG5UKKGRVHY</x:v>
      </x:c>
      <x:c r="L76" s="444" t="str"/>
      <x:c r="M76" s="444" t="str">
        <x:v>0 농림축산식품부가 1일부터 인구 소멸 지역으로 여행을 떠나는 관광객들의 대중교통비를 최대 50%까지 할인해주는 ‘농촌투어패스’ 사업을 진행한다고 30일 밝혔다.</x:v>
      </x:c>
      <x:c r="N76" s="444" t="str">
        <x:v>농식품부에 따르면, 이 패스를 구매한 관광객이 강원 삼척이나 충청 괴산 등 인구 소멸 지역으로 지정된 33개 기초자치단체를 갈 경우 버스비를 1만원 한도 내에서 최대 50%까지 할인해준다.</x:v>
      </x:c>
      <x:c r="O76" s="444" t="str">
        <x:v>인구지표</x:v>
      </x:c>
      <x:c r="P76" s="444" t="str">
        <x:v>인구지표; 비율·증감률; 날짜·시간</x:v>
      </x:c>
      <x:c r="Q76" s="444" t="str">
        <x:v>[1, 50, 30]</x:v>
      </x:c>
      <x:c r="R76" s="444" t="str">
        <x:v>['일', '%', '일']</x:v>
      </x:c>
      <x:c r="S76" s="444" t="str">
        <x:v>[]</x:v>
      </x:c>
      <x:c r="T76" s="444" t="str">
        <x:v>[]</x:v>
      </x:c>
      <x:c r="U76" s="444" t="str"/>
      <x:c r="V76" s="444" t="str"/>
      <x:c r="W76" s="444" t="str"/>
      <x:c r="X76" s="444" t="str"/>
      <x:c r="Y76" s="444" t="str"/>
      <x:c r="Z76" s="444" t="str"/>
      <x:c r="AA76" s="444" t="str"/>
      <x:c r="AB76" s="444" t="str"/>
      <x:c r="AC76" s="444" t="str"/>
      <x:c r="AD76" s="444" t="str"/>
      <x:c r="AE76" s="444" t="str"/>
      <x:c r="AF76" s="444" t="str"/>
      <x:c r="AG76" s="444" t="str"/>
      <x:c r="AH76" s="444" t="str"/>
      <x:c r="AI76" s="444" t="str">
        <x:v>인구지표이나 세부 대상 불명확: 인구총조사/장래인구/인구동향 중 선택 필요</x:v>
      </x:c>
      <x:c r="AJ76" s="444" t="str">
        <x:v>보류</x:v>
      </x:c>
      <x:c r="AK76" s="444" t="str"/>
      <x:c r="AL76" s="444" t="str"/>
      <x:c r="AM76" s="444" t="str"/>
      <x:c r="AN76" s="444" t="str"/>
      <x:c r="AO76" s="444" t="str"/>
      <x:c r="AP76" s="444" t="str"/>
      <x:c r="AQ76" s="444" t="str"/>
      <x:c r="AR76" s="444" t="str"/>
      <x:c r="AS76" s="444" t="str"/>
      <x:c r="AT76" s="444" t="str"/>
      <x:c r="AU76" s="444" t="str"/>
      <x:c r="AV76" s="444" t="str"/>
      <x:c r="AW76" s="444" t="str">
        <x:v>N/A</x:v>
      </x:c>
      <x:c r="AX76" s="444" t="str"/>
      <x:c r="AY76" s="444" t="str"/>
      <x:c r="AZ76" s="444" t="str"/>
      <x:c r="BA76" s="444" t="str"/>
      <x:c r="BB76" s="444" t="str"/>
      <x:c r="BC76" s="444" t="str"/>
      <x:c r="BD76" s="444" t="str">
        <x:v>N</x:v>
      </x:c>
      <x:c r="BE76" s="444" t="str">
        <x:v>KOSIS 미제공</x:v>
      </x:c>
      <x:c r="BF76" s="444" t="str"/>
      <x:c r="BG76" s="444" t="str"/>
      <x:c r="BH76" s="444" t="str"/>
      <x:c r="BI76" s="444" t="str"/>
      <x:c r="BJ76" s="444" t="str"/>
      <x:c r="BK76" s="444" t="str"/>
      <x:c r="BL76" s="444" t="str"/>
      <x:c r="BM76" s="444" t="str"/>
      <x:c r="BN76" s="444" t="str"/>
      <x:c r="BO76" s="444" t="str"/>
      <x:c r="BP76" s="444" t="str"/>
      <x:c r="BQ76" s="444" t="str">
        <x:v>인구감소지역 여행객 대상 농촌투어패스의 교통비 50% 할인은 정책 사업 조건으로 KOSIS 관측 통계가 아님</x:v>
      </x:c>
      <x:c r="BR76" s="444" t="str">
        <x:v>수동확정_검증불가</x:v>
      </x:c>
      <x:c r="BS76" s="444" t="str">
        <x:v>검증불가</x:v>
      </x:c>
      <x:c r="BT76" s="444" t="str">
        <x:v>N</x:v>
      </x:c>
      <x:c r="BU76" s="444" t="str">
        <x:v>N/A</x:v>
      </x:c>
      <x:c r="BV76" s="444" t="str">
        <x:v>N/A</x:v>
      </x:c>
      <x:c r="BW76" s="444" t="str">
        <x:v>N/A</x:v>
      </x:c>
      <x:c r="BX76" s="444" t="str">
        <x:v>N/A</x:v>
      </x:c>
      <x:c r="BY76" s="444" t="str">
        <x:v>N/A</x:v>
      </x:c>
      <x:c r="BZ76" s="444" t="str">
        <x:v>N/A</x:v>
      </x:c>
      <x:c r="CA76" s="444" t="str">
        <x:v>N/A</x:v>
      </x:c>
      <x:c r="CB76" s="444" t="str">
        <x:v>N/A</x:v>
      </x:c>
      <x:c r="CC76" s="444" t="str">
        <x:v>검증가능여부</x:v>
      </x:c>
      <x:c r="CD76" s="444" t="str">
        <x:v>검증불가 사유를 자동 분류하지 못해 보류</x:v>
      </x:c>
    </x:row>
    <x:row r="77" ht="38" customHeight="1">
      <x:c r="A77" s="444" t="str">
        <x:v>76</x:v>
      </x:c>
      <x:c r="B77" s="444" t="str">
        <x:v>인구</x:v>
      </x:c>
      <x:c r="C77" s="444" t="str">
        <x:v>독립층화:보충</x:v>
      </x:c>
      <x:c r="D77" s="444" t="str">
        <x:v>판단불가</x:v>
      </x:c>
      <x:c r="E77" s="444" t="str"/>
      <x:c r="F77" s="444" t="str">
        <x:v>outputs\archive\bteam_poc_20260714\bteam_verification\bteam_kosis_review_manual_prioritized_4403.csv</x:v>
      </x:c>
      <x:c r="G77" s="444" t="str">
        <x:v>C19545</x:v>
      </x:c>
      <x:c r="H77" s="444" t="str">
        <x:v>2570</x:v>
      </x:c>
      <x:c r="I77" s="444" t="str">
        <x:v>우리나라 가구당 순자산 약 6억원, 주택이 절반 이상 차지...전체 국민순자산은 2경4105조원으로 집계</x:v>
      </x:c>
      <x:c r="J77" s="444" t="str">
        <x:v>2025-07-17</x:v>
      </x:c>
      <x:c r="K77" s="444" t="str">
        <x:v>https://www.chosun.com/economy/economy_general/2025/07/17/NK56CBTS5BH4THD2J2OCG5PQZI</x:v>
      </x:c>
      <x:c r="L77" s="444" t="str">
        <x:v>17일 한국은행이 발표한 ‘2024년 국민대차대조표(잠정)’에 따르면 작년 말 기준 우리나라 가계 및 비영리단체 순자산은 1경3068조원이다.</x:v>
      </x:c>
      <x:c r="M77" s="444" t="str">
        <x:v>이를 가구 수(2218만 가구)로 나눈 가구당 가계순자산은 전년보다 2.4% 증가한 5억8916만원, 인구(5175만명)로 나눈 1인당 가계순자산은 3.3% 늘어난 2억5251만원으로 집계됐다.</x:v>
      </x:c>
      <x:c r="N77" s="444" t="str">
        <x:v>가계순자산은 부동산과 예금 등 한 가구가 보유한 전체 자산에서 빚(금융 부채)을 뺀 금액이다.</x:v>
      </x:c>
      <x:c r="O77" s="444" t="str">
        <x:v>인구지표</x:v>
      </x:c>
      <x:c r="P77" s="444" t="str">
        <x:v>인구지표; 비율·증감률; 금액</x:v>
      </x:c>
      <x:c r="Q77" s="444" t="str">
        <x:v>[2.4, 8916, 3.3, 5251]</x:v>
      </x:c>
      <x:c r="R77" s="444" t="str">
        <x:v>['%', '만원', '%', '만원']</x:v>
      </x:c>
      <x:c r="S77" s="444" t="str">
        <x:v>[]</x:v>
      </x:c>
      <x:c r="T77" s="444" t="str">
        <x:v>[]</x:v>
      </x:c>
      <x:c r="U77" s="444" t="str"/>
      <x:c r="V77" s="444" t="str"/>
      <x:c r="W77" s="444" t="str"/>
      <x:c r="X77" s="444" t="str"/>
      <x:c r="Y77" s="444" t="str"/>
      <x:c r="Z77" s="444" t="str"/>
      <x:c r="AA77" s="444" t="str"/>
      <x:c r="AB77" s="444" t="str"/>
      <x:c r="AC77" s="444" t="str"/>
      <x:c r="AD77" s="444" t="str"/>
      <x:c r="AE77" s="444" t="str"/>
      <x:c r="AF77" s="444" t="str"/>
      <x:c r="AG77" s="444" t="str"/>
      <x:c r="AH77" s="444" t="str"/>
      <x:c r="AI77" s="444" t="str">
        <x:v>인구지표이나 세부 대상 불명확: 인구총조사/장래인구/인구동향 중 선택 필요</x:v>
      </x:c>
      <x:c r="AJ77" s="444" t="str">
        <x:v>보류</x:v>
      </x:c>
      <x:c r="AK77" s="444" t="str"/>
      <x:c r="AL77" s="444" t="str"/>
      <x:c r="AM77" s="444" t="str"/>
      <x:c r="AN77" s="444" t="str"/>
      <x:c r="AO77" s="444" t="str"/>
      <x:c r="AP77" s="444" t="str"/>
      <x:c r="AQ77" s="444" t="str"/>
      <x:c r="AR77" s="444" t="str"/>
      <x:c r="AS77" s="444" t="str"/>
      <x:c r="AT77" s="444" t="str"/>
      <x:c r="AU77" s="444" t="str"/>
      <x:c r="AV77" s="444" t="str"/>
      <x:c r="AW77" s="444" t="str">
        <x:v>N/A</x:v>
      </x:c>
      <x:c r="AX77" s="444" t="str"/>
      <x:c r="AY77" s="444" t="str"/>
      <x:c r="AZ77" s="444" t="str"/>
      <x:c r="BA77" s="444" t="str"/>
      <x:c r="BB77" s="444" t="str"/>
      <x:c r="BC77" s="444" t="str"/>
      <x:c r="BD77" s="444" t="str">
        <x:v>Y</x:v>
      </x:c>
      <x:c r="BE77" s="444" t="str"/>
      <x:c r="BF77" s="444" t="str">
        <x:v>101</x:v>
      </x:c>
      <x:c r="BG77" s="444" t="str">
        <x:v>DT_104Y263</x:v>
      </x:c>
      <x:c r="BH77" s="444" t="str">
        <x:v>B103</x:v>
      </x:c>
      <x:c r="BI77" s="444" t="str">
        <x:v>A4</x:v>
      </x:c>
      <x:c r="BJ77" s="444" t="str">
        <x:v>T30</x:v>
      </x:c>
      <x:c r="BK77" s="444" t="str">
        <x:v>Y</x:v>
      </x:c>
      <x:c r="BL77" s="444" t="str">
        <x:v>5.8916</x:v>
      </x:c>
      <x:c r="BM77" s="444" t="str">
        <x:v>2024</x:v>
      </x:c>
      <x:c r="BN77" s="444" t="str"/>
      <x:c r="BO77" s="444" t="str">
        <x:v>DIVIDE_BY_HOUSEHOLDS</x:v>
      </x:c>
      <x:c r="BP77" s="444" t="str">
        <x:v>일치</x:v>
      </x:c>
      <x:c r="BQ77" s="444" t="str">
        <x:v>KOSIS 2024년 가계 및 비영리단체 순자산 13,067,564.1십억원을 기사 제시 2,218만 가구로 나누면 가구당 약 5억8,916만원. 5,175만명으로 나누면 1인당 약 2억5,251만원으로 기사와 일치</x:v>
      </x:c>
      <x:c r="BR77" s="444" t="str">
        <x:v>수동확정_KOSIS계산</x:v>
      </x:c>
      <x:c r="BS77" s="444" t="str">
        <x:v>검증가능</x:v>
      </x:c>
      <x:c r="BT77" s="444" t="str">
        <x:v>N</x:v>
      </x:c>
      <x:c r="BU77" s="444" t="str">
        <x:v>N</x:v>
      </x:c>
      <x:c r="BV77" s="444" t="str">
        <x:v>N</x:v>
      </x:c>
      <x:c r="BW77" s="444" t="str">
        <x:v>N</x:v>
      </x:c>
      <x:c r="BX77" s="444" t="str">
        <x:v>N</x:v>
      </x:c>
      <x:c r="BY77" s="444" t="str">
        <x:v>N</x:v>
      </x:c>
      <x:c r="BZ77" s="444" t="str">
        <x:v>N</x:v>
      </x:c>
      <x:c r="CA77" s="444" t="str">
        <x:v>N</x:v>
      </x:c>
      <x:c r="CB77" s="444" t="str">
        <x:v>N</x:v>
      </x:c>
      <x:c r="CC77" s="444" t="str">
        <x:v>검증가능여부;통계표;항목;시점;주장수치;비교방식;최종판정</x:v>
      </x:c>
      <x:c r="CD77" s="444" t="str">
        <x:v>검증가능 지표를 코드북이 지원하지 않아 보류</x:v>
      </x:c>
    </x:row>
    <x:row r="78" ht="38" customHeight="1">
      <x:c r="A78" s="444" t="str">
        <x:v>77</x:v>
      </x:c>
      <x:c r="B78" s="444" t="str">
        <x:v>인구</x:v>
      </x:c>
      <x:c r="C78" s="444" t="str">
        <x:v>독립층화:보충</x:v>
      </x:c>
      <x:c r="D78" s="444" t="str">
        <x:v>판단불가</x:v>
      </x:c>
      <x:c r="E78" s="444" t="str"/>
      <x:c r="F78" s="444" t="str">
        <x:v>outputs\archive\bteam_poc_20260714\bteam_verification\bteam_kosis_review_manual_prioritized_4403.csv</x:v>
      </x:c>
      <x:c r="G78" s="444" t="str">
        <x:v>C19835</x:v>
      </x:c>
      <x:c r="H78" s="444" t="str">
        <x:v>2617</x:v>
      </x:c>
      <x:c r="I78" s="444" t="str">
        <x:v>사람도 적은데 자살률도 높다... 인구 감소 지역 89곳 중 67곳, 전국 평균보다 자살률 높아</x:v>
      </x:c>
      <x:c r="J78" s="444" t="str">
        <x:v>2025-10-09</x:v>
      </x:c>
      <x:c r="K78" s="444" t="str">
        <x:v>https://www.chosun.com/national/welfare-medical/2025/10/09/DAZEL5GOYVBUXF26H72PGAKEMU/</x:v>
      </x:c>
      <x:c r="L78" s="444" t="str">
        <x:v>예컨대, 지난해 우리나라 인구 10만명당 정신과 의사는 8.3명인데, 인구 감소 지역은 이에 못 미친다.</x:v>
      </x:c>
      <x:c r="M78" s="444" t="str">
        <x:v>특히 정신과 의사가 한 명도 없는 전국 28곳 중 24곳(86%)이 인구 감소 지역이었다.</x:v>
      </x:c>
      <x:c r="N78" s="444" t="str"/>
      <x:c r="O78" s="444" t="str">
        <x:v>인구지표</x:v>
      </x:c>
      <x:c r="P78" s="444" t="str">
        <x:v>인구지표; 비율·증감률</x:v>
      </x:c>
      <x:c r="Q78" s="444" t="str">
        <x:v>[86]</x:v>
      </x:c>
      <x:c r="R78" s="444" t="str">
        <x:v>['%']</x:v>
      </x:c>
      <x:c r="S78" s="444" t="str">
        <x:v>[]</x:v>
      </x:c>
      <x:c r="T78" s="444" t="str">
        <x:v>['전국']</x:v>
      </x:c>
      <x:c r="U78" s="444" t="str">
        <x:v>전국</x:v>
      </x:c>
      <x:c r="V78" s="444" t="str"/>
      <x:c r="W78" s="444" t="str"/>
      <x:c r="X78" s="444" t="str"/>
      <x:c r="Y78" s="444" t="str"/>
      <x:c r="Z78" s="444" t="str"/>
      <x:c r="AA78" s="444" t="str"/>
      <x:c r="AB78" s="444" t="str"/>
      <x:c r="AC78" s="444" t="str"/>
      <x:c r="AD78" s="444" t="str"/>
      <x:c r="AE78" s="444" t="str"/>
      <x:c r="AF78" s="444" t="str"/>
      <x:c r="AG78" s="444" t="str"/>
      <x:c r="AH78" s="444" t="str"/>
      <x:c r="AI78" s="444" t="str">
        <x:v>인구지표이나 세부 대상 불명확: 인구총조사/장래인구/인구동향 중 선택 필요</x:v>
      </x:c>
      <x:c r="AJ78" s="444" t="str">
        <x:v>보류</x:v>
      </x:c>
      <x:c r="AK78" s="444" t="str"/>
      <x:c r="AL78" s="444" t="str"/>
      <x:c r="AM78" s="444" t="str"/>
      <x:c r="AN78" s="444" t="str"/>
      <x:c r="AO78" s="444" t="str"/>
      <x:c r="AP78" s="444" t="str"/>
      <x:c r="AQ78" s="444" t="str"/>
      <x:c r="AR78" s="444" t="str"/>
      <x:c r="AS78" s="444" t="str"/>
      <x:c r="AT78" s="444" t="str"/>
      <x:c r="AU78" s="444" t="str"/>
      <x:c r="AV78" s="444" t="str"/>
      <x:c r="AW78" s="444" t="str">
        <x:v>N/A</x:v>
      </x:c>
      <x:c r="AX78" s="444" t="str"/>
      <x:c r="AY78" s="444" t="str"/>
      <x:c r="AZ78" s="444" t="str"/>
      <x:c r="BA78" s="444" t="str"/>
      <x:c r="BB78" s="444" t="str"/>
      <x:c r="BC78" s="444" t="str"/>
      <x:c r="BD78" s="444" t="str">
        <x:v>N</x:v>
      </x:c>
      <x:c r="BE78" s="444" t="str">
        <x:v>KOSIS 미제공</x:v>
      </x:c>
      <x:c r="BF78" s="444" t="str"/>
      <x:c r="BG78" s="444" t="str"/>
      <x:c r="BH78" s="444" t="str"/>
      <x:c r="BI78" s="444" t="str"/>
      <x:c r="BJ78" s="444" t="str"/>
      <x:c r="BK78" s="444" t="str"/>
      <x:c r="BL78" s="444" t="str"/>
      <x:c r="BM78" s="444" t="str"/>
      <x:c r="BN78" s="444" t="str"/>
      <x:c r="BO78" s="444" t="str"/>
      <x:c r="BP78" s="444" t="str"/>
      <x:c r="BQ78" s="444" t="str">
        <x:v>정신과 의사 0명인 기초자치단체와 인구감소지역 지정목록을 교차한 28곳·24곳 집계는 KOSIS 단일 통계표에서 동일 기준으로 제공하지 않음</x:v>
      </x:c>
      <x:c r="BR78" s="444" t="str">
        <x:v>수동확정_검증불가</x:v>
      </x:c>
      <x:c r="BS78" s="444" t="str">
        <x:v>검증불가</x:v>
      </x:c>
      <x:c r="BT78" s="444" t="str">
        <x:v>N</x:v>
      </x:c>
      <x:c r="BU78" s="444" t="str">
        <x:v>N/A</x:v>
      </x:c>
      <x:c r="BV78" s="444" t="str">
        <x:v>N/A</x:v>
      </x:c>
      <x:c r="BW78" s="444" t="str">
        <x:v>N/A</x:v>
      </x:c>
      <x:c r="BX78" s="444" t="str">
        <x:v>N/A</x:v>
      </x:c>
      <x:c r="BY78" s="444" t="str">
        <x:v>N/A</x:v>
      </x:c>
      <x:c r="BZ78" s="444" t="str">
        <x:v>N/A</x:v>
      </x:c>
      <x:c r="CA78" s="444" t="str">
        <x:v>N/A</x:v>
      </x:c>
      <x:c r="CB78" s="444" t="str">
        <x:v>N/A</x:v>
      </x:c>
      <x:c r="CC78" s="444" t="str">
        <x:v>검증가능여부</x:v>
      </x:c>
      <x:c r="CD78" s="444" t="str">
        <x:v>검증불가 사유를 자동 분류하지 못해 보류</x:v>
      </x:c>
    </x:row>
    <x:row r="79" ht="38" customHeight="1">
      <x:c r="A79" s="444" t="str">
        <x:v>78</x:v>
      </x:c>
      <x:c r="B79" s="444" t="str">
        <x:v>인구</x:v>
      </x:c>
      <x:c r="C79" s="444" t="str">
        <x:v>독립층화:보충</x:v>
      </x:c>
      <x:c r="D79" s="444" t="str">
        <x:v>판단불가</x:v>
      </x:c>
      <x:c r="E79" s="444" t="str"/>
      <x:c r="F79" s="444" t="str">
        <x:v>outputs\archive\bteam_poc_20260714\bteam_verification\bteam_kosis_review_manual_prioritized_4403.csv</x:v>
      </x:c>
      <x:c r="G79" s="444" t="str">
        <x:v>C20161</x:v>
      </x:c>
      <x:c r="H79" s="444" t="str">
        <x:v>2666</x:v>
      </x:c>
      <x:c r="I79" s="444" t="str">
        <x:v>[당신의 생각은] 同性커플 ‘배우자’ 입력 가능한 인구 총조사, 담당 공무원 고발 사태로 번져</x:v>
      </x:c>
      <x:c r="J79" s="444" t="str">
        <x:v>2025-10-29</x:v>
      </x:c>
      <x:c r="K79" s="444" t="str">
        <x:v>https://biz.chosun.com/topics/topics_social/2025/10/29/K3B5A6LCQ5DRLIC2G3GBR663TE/</x:v>
      </x:c>
      <x:c r="L79" s="444" t="str"/>
      <x:c r="M79" s="444" t="str">
        <x:v>반(反)동성애 단체가 국가데이터처(옛 통계청)의 ‘인구주택 총조사(센서스)’ 담당 과장급 공무원을 지난 28일 검찰에 고발했다.</x:v>
      </x:c>
      <x:c r="N79" s="444" t="str">
        <x:v>한 가구에 살고 있는 ‘동성(同性) 커플’이 서로의 관계를 ‘배우자’로 입력할 수 있는 방식으로 올해 인구주택 총조사가 실시되고 있는 것에 문제를 제기하는 취지였다.</x:v>
      </x:c>
      <x:c r="O79" s="444" t="str">
        <x:v>인구지표</x:v>
      </x:c>
      <x:c r="P79" s="444" t="str">
        <x:v>인구지표; 날짜·시간</x:v>
      </x:c>
      <x:c r="Q79" s="444" t="str">
        <x:v>[28]</x:v>
      </x:c>
      <x:c r="R79" s="444" t="str">
        <x:v>['일']</x:v>
      </x:c>
      <x:c r="S79" s="444" t="str">
        <x:v>[]</x:v>
      </x:c>
      <x:c r="T79" s="444" t="str">
        <x:v>[]</x:v>
      </x:c>
      <x:c r="U79" s="444" t="str"/>
      <x:c r="V79" s="444" t="str"/>
      <x:c r="W79" s="444" t="str"/>
      <x:c r="X79" s="444" t="str"/>
      <x:c r="Y79" s="444" t="str"/>
      <x:c r="Z79" s="444" t="str"/>
      <x:c r="AA79" s="444" t="str"/>
      <x:c r="AB79" s="444" t="str"/>
      <x:c r="AC79" s="444" t="str"/>
      <x:c r="AD79" s="444" t="str"/>
      <x:c r="AE79" s="444" t="str"/>
      <x:c r="AF79" s="444" t="str"/>
      <x:c r="AG79" s="444" t="str"/>
      <x:c r="AH79" s="444" t="str"/>
      <x:c r="AI79" s="444" t="str">
        <x:v>인구지표이나 세부 대상 불명확: 인구총조사/장래인구/인구동향 중 선택 필요</x:v>
      </x:c>
      <x:c r="AJ79" s="444" t="str">
        <x:v>보류</x:v>
      </x:c>
      <x:c r="AK79" s="444" t="str"/>
      <x:c r="AL79" s="444" t="str"/>
      <x:c r="AM79" s="444" t="str"/>
      <x:c r="AN79" s="444" t="str"/>
      <x:c r="AO79" s="444" t="str"/>
      <x:c r="AP79" s="444" t="str"/>
      <x:c r="AQ79" s="444" t="str"/>
      <x:c r="AR79" s="444" t="str"/>
      <x:c r="AS79" s="444" t="str"/>
      <x:c r="AT79" s="444" t="str"/>
      <x:c r="AU79" s="444" t="str"/>
      <x:c r="AV79" s="444" t="str"/>
      <x:c r="AW79" s="444" t="str">
        <x:v>N/A</x:v>
      </x:c>
      <x:c r="AX79" s="444" t="str"/>
      <x:c r="AY79" s="444" t="str"/>
      <x:c r="AZ79" s="444" t="str"/>
      <x:c r="BA79" s="444" t="str"/>
      <x:c r="BB79" s="444" t="str"/>
      <x:c r="BC79" s="444" t="str"/>
      <x:c r="BD79" s="444" t="str">
        <x:v>N</x:v>
      </x:c>
      <x:c r="BE79" s="444" t="str">
        <x:v>정보 부족</x:v>
      </x:c>
      <x:c r="BF79" s="444" t="str"/>
      <x:c r="BG79" s="444" t="str"/>
      <x:c r="BH79" s="444" t="str"/>
      <x:c r="BI79" s="444" t="str"/>
      <x:c r="BJ79" s="444" t="str"/>
      <x:c r="BK79" s="444" t="str"/>
      <x:c r="BL79" s="444" t="str"/>
      <x:c r="BM79" s="444" t="str"/>
      <x:c r="BN79" s="444" t="str"/>
      <x:c r="BO79" s="444" t="str"/>
      <x:c r="BP79" s="444" t="str"/>
      <x:c r="BQ79" s="444" t="str">
        <x:v>인구주택총조사 담당 공무원 고발 사실을 서술한 문장으로 검증할 수치·지표·시점이 없음</x:v>
      </x:c>
      <x:c r="BR79" s="444" t="str">
        <x:v>수동확정_검증불가</x:v>
      </x:c>
      <x:c r="BS79" s="444" t="str">
        <x:v>검증불가</x:v>
      </x:c>
      <x:c r="BT79" s="444" t="str">
        <x:v>N</x:v>
      </x:c>
      <x:c r="BU79" s="444" t="str">
        <x:v>N/A</x:v>
      </x:c>
      <x:c r="BV79" s="444" t="str">
        <x:v>N/A</x:v>
      </x:c>
      <x:c r="BW79" s="444" t="str">
        <x:v>N/A</x:v>
      </x:c>
      <x:c r="BX79" s="444" t="str">
        <x:v>N/A</x:v>
      </x:c>
      <x:c r="BY79" s="444" t="str">
        <x:v>N/A</x:v>
      </x:c>
      <x:c r="BZ79" s="444" t="str">
        <x:v>N/A</x:v>
      </x:c>
      <x:c r="CA79" s="444" t="str">
        <x:v>N/A</x:v>
      </x:c>
      <x:c r="CB79" s="444" t="str">
        <x:v>N/A</x:v>
      </x:c>
      <x:c r="CC79" s="444" t="str">
        <x:v>검증가능여부</x:v>
      </x:c>
      <x:c r="CD79" s="444" t="str">
        <x:v>검증불가 사유를 자동 분류하지 못해 보류</x:v>
      </x:c>
    </x:row>
    <x:row r="80" ht="38" customHeight="1">
      <x:c r="A80" s="444" t="str">
        <x:v>79</x:v>
      </x:c>
      <x:c r="B80" s="444" t="str">
        <x:v>인구</x:v>
      </x:c>
      <x:c r="C80" s="444" t="str">
        <x:v>독립층화:보충</x:v>
      </x:c>
      <x:c r="D80" s="444" t="str">
        <x:v>판단불가</x:v>
      </x:c>
      <x:c r="E80" s="444" t="str"/>
      <x:c r="F80" s="444" t="str">
        <x:v>outputs\archive\bteam_poc_20260714\bteam_verification\bteam_kosis_review_manual_prioritized_4403.csv</x:v>
      </x:c>
      <x:c r="G80" s="444" t="str">
        <x:v>C20179</x:v>
      </x:c>
      <x:c r="H80" s="444" t="str">
        <x:v>2670</x:v>
      </x:c>
      <x:c r="I80" s="444" t="str">
        <x:v>우리나라 거주 외국인 주민 '역대 최다' 258만명… 전체 인구의 5%</x:v>
      </x:c>
      <x:c r="J80" s="444" t="str">
        <x:v>2025-10-30</x:v>
      </x:c>
      <x:c r="K80" s="444" t="str">
        <x:v>https://biz.chosun.com/topics/topics_social/2025/10/30/QR4AGGYKCBEB3AWOYIWTGTC3LM/</x:v>
      </x:c>
      <x:c r="L80" s="444" t="str">
        <x:v>우리나라에서 거주 중인 외국인 주민 수가 사상 최대 규모인 258만명을 기록했다.</x:v>
      </x:c>
      <x:c r="M80" s="444" t="str">
        <x:v>전체 인구의 5%를 차지한다.</x:v>
      </x:c>
      <x:c r="N80" s="444" t="str">
        <x:v>행정안전부는 30일 국가데이터처(옛 통계청)의 인구주택총조사 자료를 분석한 '2024 지방자치단체 외국인주민 현황'을 발표했다.</x:v>
      </x:c>
      <x:c r="O80" s="444" t="str">
        <x:v>인구지표</x:v>
      </x:c>
      <x:c r="P80" s="444" t="str">
        <x:v>인구지표; 비율·증감률</x:v>
      </x:c>
      <x:c r="Q80" s="444" t="str">
        <x:v>[5]</x:v>
      </x:c>
      <x:c r="R80" s="444" t="str">
        <x:v>['%']</x:v>
      </x:c>
      <x:c r="S80" s="444" t="str">
        <x:v>[]</x:v>
      </x:c>
      <x:c r="T80" s="444" t="str">
        <x:v>[]</x:v>
      </x:c>
      <x:c r="U80" s="444" t="str"/>
      <x:c r="V80" s="444" t="str"/>
      <x:c r="W80" s="444" t="str"/>
      <x:c r="X80" s="444" t="str"/>
      <x:c r="Y80" s="444" t="str"/>
      <x:c r="Z80" s="444" t="str"/>
      <x:c r="AA80" s="444" t="str"/>
      <x:c r="AB80" s="444" t="str"/>
      <x:c r="AC80" s="444" t="str"/>
      <x:c r="AD80" s="444" t="str"/>
      <x:c r="AE80" s="444" t="str"/>
      <x:c r="AF80" s="444" t="str"/>
      <x:c r="AG80" s="444" t="str"/>
      <x:c r="AH80" s="444" t="str"/>
      <x:c r="AI80" s="444" t="str">
        <x:v>인구지표이나 세부 대상 불명확: 인구총조사/장래인구/인구동향 중 선택 필요</x:v>
      </x:c>
      <x:c r="AJ80" s="444" t="str">
        <x:v>보류</x:v>
      </x:c>
      <x:c r="AK80" s="444" t="str"/>
      <x:c r="AL80" s="444" t="str"/>
      <x:c r="AM80" s="444" t="str"/>
      <x:c r="AN80" s="444" t="str"/>
      <x:c r="AO80" s="444" t="str"/>
      <x:c r="AP80" s="444" t="str"/>
      <x:c r="AQ80" s="444" t="str"/>
      <x:c r="AR80" s="444" t="str"/>
      <x:c r="AS80" s="444" t="str"/>
      <x:c r="AT80" s="444" t="str"/>
      <x:c r="AU80" s="444" t="str"/>
      <x:c r="AV80" s="444" t="str"/>
      <x:c r="AW80" s="444" t="str">
        <x:v>N/A</x:v>
      </x:c>
      <x:c r="AX80" s="444" t="str"/>
      <x:c r="AY80" s="444" t="str"/>
      <x:c r="AZ80" s="444" t="str"/>
      <x:c r="BA80" s="444" t="str"/>
      <x:c r="BB80" s="444" t="str"/>
      <x:c r="BC80" s="444" t="str"/>
      <x:c r="BD80" s="444" t="str">
        <x:v>N</x:v>
      </x:c>
      <x:c r="BE80" s="444" t="str">
        <x:v>KOSIS 미제공</x:v>
      </x:c>
      <x:c r="BF80" s="444" t="str"/>
      <x:c r="BG80" s="444" t="str"/>
      <x:c r="BH80" s="444" t="str"/>
      <x:c r="BI80" s="444" t="str"/>
      <x:c r="BJ80" s="444" t="str"/>
      <x:c r="BK80" s="444" t="str"/>
      <x:c r="BL80" s="444" t="str"/>
      <x:c r="BM80" s="444" t="str"/>
      <x:c r="BN80" s="444" t="str"/>
      <x:c r="BO80" s="444" t="str"/>
      <x:c r="BP80" s="444" t="str"/>
      <x:c r="BQ80" s="444" t="str">
        <x:v>행정안전부 ‘지방자치단체 외국인주민 현황’의 외국인주민 정의와 전체 인구 대비 비중으로 KOSIS 외국인 국적 인구표와 분류 기준이 달라 직접 검증할 수 없음</x:v>
      </x:c>
      <x:c r="BR80" s="444" t="str">
        <x:v>수동확정_검증불가</x:v>
      </x:c>
      <x:c r="BS80" s="444" t="str">
        <x:v>검증불가</x:v>
      </x:c>
      <x:c r="BT80" s="444" t="str">
        <x:v>N</x:v>
      </x:c>
      <x:c r="BU80" s="444" t="str">
        <x:v>N/A</x:v>
      </x:c>
      <x:c r="BV80" s="444" t="str">
        <x:v>N/A</x:v>
      </x:c>
      <x:c r="BW80" s="444" t="str">
        <x:v>N/A</x:v>
      </x:c>
      <x:c r="BX80" s="444" t="str">
        <x:v>N/A</x:v>
      </x:c>
      <x:c r="BY80" s="444" t="str">
        <x:v>N/A</x:v>
      </x:c>
      <x:c r="BZ80" s="444" t="str">
        <x:v>N/A</x:v>
      </x:c>
      <x:c r="CA80" s="444" t="str">
        <x:v>N/A</x:v>
      </x:c>
      <x:c r="CB80" s="444" t="str">
        <x:v>N/A</x:v>
      </x:c>
      <x:c r="CC80" s="444" t="str">
        <x:v>검증가능여부</x:v>
      </x:c>
      <x:c r="CD80" s="444" t="str">
        <x:v>검증불가 사유를 자동 분류하지 못해 보류</x:v>
      </x:c>
    </x:row>
    <x:row r="81" ht="38" customHeight="1">
      <x:c r="A81" s="444" t="str">
        <x:v>80</x:v>
      </x:c>
      <x:c r="B81" s="444" t="str">
        <x:v>인구</x:v>
      </x:c>
      <x:c r="C81" s="444" t="str">
        <x:v>독립층화:보충</x:v>
      </x:c>
      <x:c r="D81" s="444" t="str">
        <x:v>판단불가</x:v>
      </x:c>
      <x:c r="E81" s="444" t="str"/>
      <x:c r="F81" s="444" t="str">
        <x:v>outputs\archive\bteam_poc_20260714\bteam_verification\bteam_kosis_review_manual_prioritized_4403.csv</x:v>
      </x:c>
      <x:c r="G81" s="444" t="str">
        <x:v>C20405</x:v>
      </x:c>
      <x:c r="H81" s="444" t="str">
        <x:v>2700</x:v>
      </x:c>
      <x:c r="I81" s="444" t="str">
        <x:v>5년마다 돌아오는 인구조사... 호구조사 같지만 정책에 쓰인다</x:v>
      </x:c>
      <x:c r="J81" s="444" t="str">
        <x:v>2025-11-08</x:v>
      </x:c>
      <x:c r="K81" s="444" t="str">
        <x:v>https://www.chosun.com/national/weekend/2025/11/08/ZXTXYIJJFJFLTIJZMLEW4IDNN4/</x:v>
      </x:c>
      <x:c r="L81" s="444" t="str">
        <x:v>전국의 조사 요원은 총 3만명 정도다.</x:v>
      </x:c>
      <x:c r="M81" s="444" t="str">
        <x:v>코로나 시기였던 2020년 인구주택총조사의 최종 응답률은 96.3%였다.</x:v>
      </x:c>
      <x:c r="N81" s="444" t="str">
        <x:v>인터넷·전화 조사부터 시작해 미응답 세대를 직접 찾아가는 방문 조사까지 합한 수치다.</x:v>
      </x:c>
      <x:c r="O81" s="444" t="str">
        <x:v>인구지표</x:v>
      </x:c>
      <x:c r="P81" s="444" t="str">
        <x:v>인구지표; 여론조사; 비율·증감률; 날짜·시간</x:v>
      </x:c>
      <x:c r="Q81" s="444" t="str">
        <x:v>[2020, 96.3]</x:v>
      </x:c>
      <x:c r="R81" s="444" t="str">
        <x:v>['년', '%']</x:v>
      </x:c>
      <x:c r="S81" s="444" t="str">
        <x:v>['2020']</x:v>
      </x:c>
      <x:c r="T81" s="444" t="str">
        <x:v>[]</x:v>
      </x:c>
      <x:c r="U81" s="444" t="str"/>
      <x:c r="V81" s="444" t="str"/>
      <x:c r="W81" s="444" t="str"/>
      <x:c r="X81" s="444" t="str"/>
      <x:c r="Y81" s="444" t="str"/>
      <x:c r="Z81" s="444" t="str"/>
      <x:c r="AA81" s="444" t="str"/>
      <x:c r="AB81" s="444" t="str"/>
      <x:c r="AC81" s="444" t="str"/>
      <x:c r="AD81" s="444" t="str"/>
      <x:c r="AE81" s="444" t="str"/>
      <x:c r="AF81" s="444" t="str"/>
      <x:c r="AG81" s="444" t="str"/>
      <x:c r="AH81" s="444" t="str"/>
      <x:c r="AI81" s="444" t="str">
        <x:v>인구지표이나 세부 대상 불명확: 인구총조사/장래인구/인구동향 중 선택 필요</x:v>
      </x:c>
      <x:c r="AJ81" s="444" t="str">
        <x:v>보류</x:v>
      </x:c>
      <x:c r="AK81" s="444" t="str"/>
      <x:c r="AL81" s="444" t="str"/>
      <x:c r="AM81" s="444" t="str"/>
      <x:c r="AN81" s="444" t="str"/>
      <x:c r="AO81" s="444" t="str"/>
      <x:c r="AP81" s="444" t="str"/>
      <x:c r="AQ81" s="444" t="str"/>
      <x:c r="AR81" s="444" t="str"/>
      <x:c r="AS81" s="444" t="str"/>
      <x:c r="AT81" s="444" t="str"/>
      <x:c r="AU81" s="444" t="str"/>
      <x:c r="AV81" s="444" t="str"/>
      <x:c r="AW81" s="444" t="str">
        <x:v>N/A</x:v>
      </x:c>
      <x:c r="AX81" s="444" t="str"/>
      <x:c r="AY81" s="444" t="str"/>
      <x:c r="AZ81" s="444" t="str"/>
      <x:c r="BA81" s="444" t="str"/>
      <x:c r="BB81" s="444" t="str"/>
      <x:c r="BC81" s="444" t="str"/>
      <x:c r="BD81" s="444" t="str">
        <x:v>N</x:v>
      </x:c>
      <x:c r="BE81" s="444" t="str">
        <x:v>KOSIS 미제공</x:v>
      </x:c>
      <x:c r="BF81" s="444" t="str"/>
      <x:c r="BG81" s="444" t="str"/>
      <x:c r="BH81" s="444" t="str"/>
      <x:c r="BI81" s="444" t="str"/>
      <x:c r="BJ81" s="444" t="str"/>
      <x:c r="BK81" s="444" t="str"/>
      <x:c r="BL81" s="444" t="str"/>
      <x:c r="BM81" s="444" t="str"/>
      <x:c r="BN81" s="444" t="str"/>
      <x:c r="BO81" s="444" t="str"/>
      <x:c r="BP81" s="444" t="str"/>
      <x:c r="BQ81" s="444" t="str">
        <x:v>2020 인구주택총조사의 최종 응답률 96.3%는 조사 운영·품질관리 지표로 KOSIS 결과 통계표에서 제공하지 않음</x:v>
      </x:c>
      <x:c r="BR81" s="444" t="str">
        <x:v>수동확정_검증불가</x:v>
      </x:c>
      <x:c r="BS81" s="444" t="str">
        <x:v>검증불가</x:v>
      </x:c>
      <x:c r="BT81" s="444" t="str">
        <x:v>N</x:v>
      </x:c>
      <x:c r="BU81" s="444" t="str">
        <x:v>N/A</x:v>
      </x:c>
      <x:c r="BV81" s="444" t="str">
        <x:v>N/A</x:v>
      </x:c>
      <x:c r="BW81" s="444" t="str">
        <x:v>N/A</x:v>
      </x:c>
      <x:c r="BX81" s="444" t="str">
        <x:v>N/A</x:v>
      </x:c>
      <x:c r="BY81" s="444" t="str">
        <x:v>N/A</x:v>
      </x:c>
      <x:c r="BZ81" s="444" t="str">
        <x:v>N/A</x:v>
      </x:c>
      <x:c r="CA81" s="444" t="str">
        <x:v>N/A</x:v>
      </x:c>
      <x:c r="CB81" s="444" t="str">
        <x:v>N/A</x:v>
      </x:c>
      <x:c r="CC81" s="444" t="str">
        <x:v>검증가능여부</x:v>
      </x:c>
      <x:c r="CD81" s="444" t="str">
        <x:v>검증불가 사유를 자동 분류하지 못해 보류</x:v>
      </x:c>
    </x:row>
    <x:row r="82" ht="38" customHeight="1">
      <x:c r="A82" s="444" t="str">
        <x:v>81</x:v>
      </x:c>
      <x:c r="B82" s="444" t="str">
        <x:v>소매</x:v>
      </x:c>
      <x:c r="C82" s="444" t="str">
        <x:v>독립층화:판단불가</x:v>
      </x:c>
      <x:c r="D82" s="444" t="str">
        <x:v>판단불가</x:v>
      </x:c>
      <x:c r="E82" s="444" t="str"/>
      <x:c r="F82" s="444" t="str">
        <x:v>outputs\archive\bteam_poc_20260714\bteam_verification\bteam_kosis_review_manual_prioritized_4403.csv</x:v>
      </x:c>
      <x:c r="G82" s="444" t="str">
        <x:v>C00069</x:v>
      </x:c>
      <x:c r="H82" s="444" t="str">
        <x:v>4</x:v>
      </x:c>
      <x:c r="I82" s="444" t="str">
        <x:v>‘직원 한 명에 로봇 수십 대’… 이젠 로봇이 공장 움직인다</x:v>
      </x:c>
      <x:c r="J82" s="444" t="str">
        <x:v>2025-01-01</x:v>
      </x:c>
      <x:c r="K82" s="444" t="str">
        <x:v>https://www.chosun.com/economy/economy_general/2025/01/01/TGA2SHZ4SFACHOHRP36OUPCMHE</x:v>
      </x:c>
      <x:c r="L82" s="444" t="str">
        <x:v>이곳에서 물티슈를 포장하고 싣는 모든 과정은 이제 다관절 로봇 5대가 해결한다.</x:v>
      </x:c>
      <x:c r="M82" s="444" t="str">
        <x:v>이곳 관계자는 “로봇 자동화를 통해 생산량은 로봇을 들이기 이전보다 38% 올라갔고 원가도 45%가량 줄일 수 있었다”고 했다.</x:v>
      </x:c>
      <x:c r="N82" s="444" t="str">
        <x:v>“이제 직원들은 단순 작업에 투입되는 대신, 작업 효율화를 진행하고 제품 아이디어를 내는 일을 더 많이 한다”고 했다.</x:v>
      </x:c>
      <x:c r="O82" s="444" t="str">
        <x:v>판매·생산량</x:v>
      </x:c>
      <x:c r="P82" s="444" t="str">
        <x:v>판매·생산량; 비율·증감률</x:v>
      </x:c>
      <x:c r="Q82" s="444" t="str">
        <x:v>[38, 45]</x:v>
      </x:c>
      <x:c r="R82" s="444" t="str">
        <x:v>['%', '%']</x:v>
      </x:c>
      <x:c r="S82" s="444" t="str">
        <x:v>[]</x:v>
      </x:c>
      <x:c r="T82" s="444" t="str">
        <x:v>[]</x:v>
      </x:c>
      <x:c r="U82" s="444" t="str"/>
      <x:c r="V82" s="444" t="str"/>
      <x:c r="W82" s="444" t="str"/>
      <x:c r="X82" s="444" t="str"/>
      <x:c r="Y82" s="444" t="str"/>
      <x:c r="Z82" s="444" t="str"/>
      <x:c r="AA82" s="444" t="str"/>
      <x:c r="AB82" s="444" t="str"/>
      <x:c r="AC82" s="444" t="str"/>
      <x:c r="AD82" s="444" t="str"/>
      <x:c r="AE82" s="444" t="str"/>
      <x:c r="AF82" s="444" t="str"/>
      <x:c r="AG82" s="444" t="str"/>
      <x:c r="AH82" s="444" t="str"/>
      <x:c r="AI82" s="444" t="str">
        <x:v>[Claude 검토] KOSIS 검증 대상 아님: 개별 업체 로봇자동화 도입 사례(생산량38%↑/원가45%↓), 후보 목록(판매 관련 고용조사)도 무관</x:v>
      </x:c>
      <x:c r="AJ82" s="444" t="str">
        <x:v>보류</x:v>
      </x:c>
      <x:c r="AK82" s="444" t="str"/>
      <x:c r="AL82" s="444" t="str"/>
      <x:c r="AM82" s="444" t="str"/>
      <x:c r="AN82" s="444" t="str"/>
      <x:c r="AO82" s="444" t="str"/>
      <x:c r="AP82" s="444" t="str"/>
      <x:c r="AQ82" s="444" t="str"/>
      <x:c r="AR82" s="444" t="str"/>
      <x:c r="AS82" s="444" t="str"/>
      <x:c r="AT82" s="444" t="str"/>
      <x:c r="AU82" s="444" t="str"/>
      <x:c r="AV82" s="444" t="str"/>
      <x:c r="AW82" s="444" t="str">
        <x:v>N/A</x:v>
      </x:c>
      <x:c r="AX82" s="444" t="str"/>
      <x:c r="AY82" s="444" t="str"/>
      <x:c r="AZ82" s="444" t="str"/>
      <x:c r="BA82" s="444" t="str"/>
      <x:c r="BB82" s="444" t="str"/>
      <x:c r="BC82" s="444" t="str"/>
      <x:c r="BD82" s="444" t="str">
        <x:v>N</x:v>
      </x:c>
      <x:c r="BE82" s="444" t="str">
        <x:v>KOSIS 미제공</x:v>
      </x:c>
      <x:c r="BF82" s="444" t="str"/>
      <x:c r="BG82" s="444" t="str"/>
      <x:c r="BH82" s="444" t="str"/>
      <x:c r="BI82" s="444" t="str"/>
      <x:c r="BJ82" s="444" t="str"/>
      <x:c r="BK82" s="444" t="str"/>
      <x:c r="BL82" s="444" t="str"/>
      <x:c r="BM82" s="444" t="str"/>
      <x:c r="BN82" s="444" t="str"/>
      <x:c r="BO82" s="444" t="str"/>
      <x:c r="BP82" s="444" t="str"/>
      <x:c r="BQ82" s="444" t="str">
        <x:v>특정 물티슈 공장의 로봇 도입 전후 생산량 38% 증가·원가 45% 감소는 기업 내부 운영자료로 KOSIS 국가통계가 아님</x:v>
      </x:c>
      <x:c r="BR82" s="444" t="str">
        <x:v>수동확정_검증불가</x:v>
      </x:c>
      <x:c r="BS82" s="444" t="str">
        <x:v>검증불가</x:v>
      </x:c>
      <x:c r="BT82" s="444" t="str">
        <x:v>N</x:v>
      </x:c>
      <x:c r="BU82" s="444" t="str">
        <x:v>N/A</x:v>
      </x:c>
      <x:c r="BV82" s="444" t="str">
        <x:v>N/A</x:v>
      </x:c>
      <x:c r="BW82" s="444" t="str">
        <x:v>N/A</x:v>
      </x:c>
      <x:c r="BX82" s="444" t="str">
        <x:v>N/A</x:v>
      </x:c>
      <x:c r="BY82" s="444" t="str">
        <x:v>N/A</x:v>
      </x:c>
      <x:c r="BZ82" s="444" t="str">
        <x:v>N/A</x:v>
      </x:c>
      <x:c r="CA82" s="444" t="str">
        <x:v>N/A</x:v>
      </x:c>
      <x:c r="CB82" s="444" t="str">
        <x:v>N/A</x:v>
      </x:c>
      <x:c r="CC82" s="444" t="str">
        <x:v>검증가능여부</x:v>
      </x:c>
      <x:c r="CD82" s="444" t="str">
        <x:v>검증불가 사유를 자동 분류하지 못해 보류</x:v>
      </x:c>
    </x:row>
    <x:row r="83" ht="38" customHeight="1">
      <x:c r="A83" s="444" t="str">
        <x:v>82</x:v>
      </x:c>
      <x:c r="B83" s="444" t="str">
        <x:v>소매</x:v>
      </x:c>
      <x:c r="C83" s="444" t="str">
        <x:v>독립층화:증감률재검토</x:v>
      </x:c>
      <x:c r="D83" s="444" t="str">
        <x:v>증감률재검토</x:v>
      </x:c>
      <x:c r="E83" s="444" t="str">
        <x:v>재검토필요_증감률불일치</x:v>
      </x:c>
      <x:c r="F83" s="444" t="str">
        <x:v>outputs\bteam_review\final_verified_filled_2001_remapped_v6.csv</x:v>
      </x:c>
      <x:c r="G83" s="444" t="str">
        <x:v>C01239</x:v>
      </x:c>
      <x:c r="H83" s="444" t="str">
        <x:v>173</x:v>
      </x:c>
      <x:c r="I83" s="444" t="str">
        <x:v>2주 남기고 정하는 임시공휴일, 기업들 혼선</x:v>
      </x:c>
      <x:c r="J83" s="444" t="str">
        <x:v>2025-01-14</x:v>
      </x:c>
      <x:c r="K83" s="444" t="str">
        <x:v>https://www.chosun.com/economy/economy_general/2025/01/14/5M4QGMSUVZFDJMQIRYE7VYC3VU</x:v>
      </x:c>
      <x:c r="L83" s="444" t="str">
        <x:v>서울 은평구에 사는 박모(43)씨는 “한 푼이라도 아껴야 할 판이라 여행은 언감생심이고, 아이들 학원은 쉰다고 해서 손해 보는 기분”이라고 했다.</x:v>
      </x:c>
      <x:c r="M83" s="444" t="str">
        <x:v>실제로 내수 부진이 한창이었던 작년 10월은 임시 공휴일(10월 2일) 지정에도 소매 판매액 지수가 전월 대비 0.8% 감소했다.</x:v>
      </x:c>
      <x:c r="N83" s="444" t="str">
        <x:v>반면, 2020년 8월과 2023년 10월은 이 지수가 각각 3%, 0.8% 반등했다.</x:v>
      </x:c>
      <x:c r="O83" s="444" t="str">
        <x:v>비율·증감률</x:v>
      </x:c>
      <x:c r="P83" s="444" t="str">
        <x:v>비율·증감률; 날짜·시간</x:v>
      </x:c>
      <x:c r="Q83" s="444" t="str">
        <x:v>[10, 10, 2, 0.8]</x:v>
      </x:c>
      <x:c r="R83" s="444" t="str">
        <x:v>['월', '월', '일', '%']</x:v>
      </x:c>
      <x:c r="S83" s="444" t="str">
        <x:v>[]</x:v>
      </x:c>
      <x:c r="T83" s="444" t="str">
        <x:v>[]</x:v>
      </x:c>
      <x:c r="U83" s="444" t="str"/>
      <x:c r="V83" s="444" t="str">
        <x:v>101</x:v>
      </x:c>
      <x:c r="W83" s="444" t="str">
        <x:v>DT_1K41012</x:v>
      </x:c>
      <x:c r="X83" s="444" t="str">
        <x:v>G12</x:v>
      </x:c>
      <x:c r="Y83" s="444" t="str"/>
      <x:c r="Z83" s="444" t="str">
        <x:v>T2</x:v>
      </x:c>
      <x:c r="AA83" s="444" t="str">
        <x:v>M</x:v>
      </x:c>
      <x:c r="AB83" s="444" t="str">
        <x:v>CHANGE_RATE</x:v>
      </x:c>
      <x:c r="AC83" s="444" t="str">
        <x:v>0.8</x:v>
      </x:c>
      <x:c r="AD83" s="444" t="str">
        <x:v>202410</x:v>
      </x:c>
      <x:c r="AE83" s="444" t="str">
        <x:v>202409</x:v>
      </x:c>
      <x:c r="AF83" s="444" t="str">
        <x:v>-1.111111111</x:v>
      </x:c>
      <x:c r="AG83" s="444" t="str">
        <x:v>불일치</x:v>
      </x:c>
      <x:c r="AH83" s="444" t="str"/>
      <x:c r="AI83" s="444" t="str">
        <x:v>전국/지역 미상 소매판매 claim이라 전국 소매판매액지수 표로 변경 | 상품군 obj_l1 직접 확인 필요 | 상품군 코드 자동 후보: 가전제품(G12)</x:v>
      </x:c>
      <x:c r="AJ83" s="444" t="str">
        <x:v>검증가능</x:v>
      </x:c>
      <x:c r="AK83" s="444" t="str"/>
      <x:c r="AL83" s="444" t="str">
        <x:v>101</x:v>
      </x:c>
      <x:c r="AM83" s="444" t="str">
        <x:v>DT_1K41012</x:v>
      </x:c>
      <x:c r="AN83" s="444" t="str">
        <x:v>G0</x:v>
      </x:c>
      <x:c r="AO83" s="444" t="str"/>
      <x:c r="AP83" s="444" t="str">
        <x:v>T3</x:v>
      </x:c>
      <x:c r="AQ83" s="444" t="str">
        <x:v>M</x:v>
      </x:c>
      <x:c r="AR83" s="444" t="str">
        <x:v>-0.8</x:v>
      </x:c>
      <x:c r="AS83" s="444" t="str">
        <x:v>202410</x:v>
      </x:c>
      <x:c r="AT83" s="444" t="str">
        <x:v>202409</x:v>
      </x:c>
      <x:c r="AU83" s="444" t="str">
        <x:v>CHANGE_RATE</x:v>
      </x:c>
      <x:c r="AV83" s="444" t="str">
        <x:v>소매판매 계절조정 전월비</x:v>
      </x:c>
      <x:c r="AW83" s="444" t="str">
        <x:v>Y</x:v>
      </x:c>
      <x:c r="AX83" s="444" t="str">
        <x:v>-1.257253385</x:v>
      </x:c>
      <x:c r="AY83" s="444" t="str">
        <x:v>102.1</x:v>
      </x:c>
      <x:c r="AZ83" s="444" t="str">
        <x:v>103.4</x:v>
      </x:c>
      <x:c r="BA83" s="444" t="str">
        <x:v>2020＝100</x:v>
      </x:c>
      <x:c r="BB83" s="444" t="str">
        <x:v>불일치</x:v>
      </x:c>
      <x:c r="BC83" s="444" t="str"/>
      <x:c r="BD83" s="444" t="str">
        <x:v>Y</x:v>
      </x:c>
      <x:c r="BE83" s="444" t="str"/>
      <x:c r="BF83" s="444" t="str">
        <x:v>101</x:v>
      </x:c>
      <x:c r="BG83" s="444" t="str">
        <x:v>DT_1K41012</x:v>
      </x:c>
      <x:c r="BH83" s="444" t="str">
        <x:v>G0</x:v>
      </x:c>
      <x:c r="BI83" s="444" t="str"/>
      <x:c r="BJ83" s="444" t="str">
        <x:v>T3</x:v>
      </x:c>
      <x:c r="BK83" s="444" t="str">
        <x:v>M</x:v>
      </x:c>
      <x:c r="BL83" s="444" t="str">
        <x:v>-0.8</x:v>
      </x:c>
      <x:c r="BM83" s="444" t="str">
        <x:v>202410</x:v>
      </x:c>
      <x:c r="BN83" s="444" t="str">
        <x:v>202409</x:v>
      </x:c>
      <x:c r="BO83" s="444" t="str">
        <x:v>CHANGE_RATE</x:v>
      </x:c>
      <x:c r="BP83" s="444" t="str">
        <x:v>불일치</x:v>
      </x:c>
      <x:c r="BQ83" s="444" t="str">
        <x:v>소매판매액지수 202410=102.1, 202409=103.4, 전월비 -1.257%, 기사 주장 -0.8%와 0.457%p 차이로 불일치</x:v>
      </x:c>
      <x:c r="BR83" s="444" t="str">
        <x:v>수동확정_현재KOSIS개정치기준</x:v>
      </x:c>
      <x:c r="BS83" s="444" t="str">
        <x:v>검증가능</x:v>
      </x:c>
      <x:c r="BT83" s="444" t="str">
        <x:v>Y</x:v>
      </x:c>
      <x:c r="BU83" s="444" t="str">
        <x:v>Y</x:v>
      </x:c>
      <x:c r="BV83" s="444" t="str">
        <x:v>Y</x:v>
      </x:c>
      <x:c r="BW83" s="444" t="str">
        <x:v>Y</x:v>
      </x:c>
      <x:c r="BX83" s="444" t="str">
        <x:v>Y</x:v>
      </x:c>
      <x:c r="BY83" s="444" t="str">
        <x:v>Y</x:v>
      </x:c>
      <x:c r="BZ83" s="444" t="str">
        <x:v>Y</x:v>
      </x:c>
      <x:c r="CA83" s="444" t="str">
        <x:v>Y</x:v>
      </x:c>
      <x:c r="CB83" s="444" t="str">
        <x:v>Y</x:v>
      </x:c>
      <x:c r="CC83" s="444" t="str"/>
      <x:c r="CD83" s="444" t="str"/>
    </x:row>
    <x:row r="84" ht="38" customHeight="1">
      <x:c r="A84" s="444" t="str">
        <x:v>83</x:v>
      </x:c>
      <x:c r="B84" s="444" t="str">
        <x:v>소매</x:v>
      </x:c>
      <x:c r="C84" s="444" t="str">
        <x:v>독립층화:보충</x:v>
      </x:c>
      <x:c r="D84" s="444" t="str">
        <x:v>판단불가</x:v>
      </x:c>
      <x:c r="E84" s="444" t="str"/>
      <x:c r="F84" s="444" t="str">
        <x:v>outputs\archive\bteam_poc_20260714\bteam_verification\bteam_kosis_review_manual_prioritized_4403.csv</x:v>
      </x:c>
      <x:c r="G84" s="444" t="str">
        <x:v>C01328</x:v>
      </x:c>
      <x:c r="H84" s="444" t="str">
        <x:v>184</x:v>
      </x:c>
      <x:c r="I84" s="444" t="str">
        <x:v>중국 시장서 크게 고전… 獨·日 자동차 판매 줄어</x:v>
      </x:c>
      <x:c r="J84" s="444" t="str">
        <x:v>2025-01-15</x:v>
      </x:c>
      <x:c r="K84" s="444" t="str">
        <x:v>https://www.chosun.com/economy/auto/2025/01/15/IJC4KG57MVGZNBFNAVTDTRZRL4</x:v>
      </x:c>
      <x:c r="L84" s="444" t="str">
        <x:v>폴크스바겐은 작년 중국 판매량이 2023년 대비 8.3％ 줄며 2년 연속 중국 비야디(BYD)에 밀려 2위로 내려앉았다.</x:v>
      </x:c>
      <x:c r="M84" s="444" t="str">
        <x:v>BMW는 작년 중국 판매량이 2023년 대비 13.4% 급감했고, 벤츠는 7% 줄었다.</x:v>
      </x:c>
      <x:c r="N84" s="444" t="str">
        <x:v>중국에서 전기차 전환 속도가 빨라진 가운데 여전히 내연차 위주의 독일 업체들이 고전을 면치 못한다는 분석이다.</x:v>
      </x:c>
      <x:c r="O84" s="444" t="str">
        <x:v>판매·생산량</x:v>
      </x:c>
      <x:c r="P84" s="444" t="str">
        <x:v>판매·생산량; 비율·증감률; 날짜·시간</x:v>
      </x:c>
      <x:c r="Q84" s="444" t="str">
        <x:v>[2023, 13.4, 7]</x:v>
      </x:c>
      <x:c r="R84" s="444" t="str">
        <x:v>['년', '%', '%']</x:v>
      </x:c>
      <x:c r="S84" s="444" t="str">
        <x:v>['2023']</x:v>
      </x:c>
      <x:c r="T84" s="444" t="str">
        <x:v>[]</x:v>
      </x:c>
      <x:c r="U84" s="444" t="str"/>
      <x:c r="V84" s="444" t="str"/>
      <x:c r="W84" s="444" t="str"/>
      <x:c r="X84" s="444" t="str"/>
      <x:c r="Y84" s="444" t="str"/>
      <x:c r="Z84" s="444" t="str"/>
      <x:c r="AA84" s="444" t="str"/>
      <x:c r="AB84" s="444" t="str"/>
      <x:c r="AC84" s="444" t="str"/>
      <x:c r="AD84" s="444" t="str"/>
      <x:c r="AE84" s="444" t="str"/>
      <x:c r="AF84" s="444" t="str"/>
      <x:c r="AG84" s="444" t="str"/>
      <x:c r="AH84" s="444" t="str"/>
      <x:c r="AI84" s="444" t="str">
        <x:v>[Claude 검토] KOSIS 검증 대상 아님: BMW/벤츠(해외 개별기업) 중국 판매량, KOSIS 통계 아님</x:v>
      </x:c>
      <x:c r="AJ84" s="444" t="str">
        <x:v>검증불가</x:v>
      </x:c>
      <x:c r="AK84" s="444" t="str">
        <x:v>KOSIS 미제공</x:v>
      </x:c>
      <x:c r="AL84" s="444" t="str"/>
      <x:c r="AM84" s="444" t="str"/>
      <x:c r="AN84" s="444" t="str"/>
      <x:c r="AO84" s="444" t="str"/>
      <x:c r="AP84" s="444" t="str"/>
      <x:c r="AQ84" s="444" t="str"/>
      <x:c r="AR84" s="444" t="str"/>
      <x:c r="AS84" s="444" t="str"/>
      <x:c r="AT84" s="444" t="str"/>
      <x:c r="AU84" s="444" t="str"/>
      <x:c r="AV84" s="444" t="str"/>
      <x:c r="AW84" s="444" t="str">
        <x:v>N/A</x:v>
      </x:c>
      <x:c r="AX84" s="444" t="str"/>
      <x:c r="AY84" s="444" t="str"/>
      <x:c r="AZ84" s="444" t="str"/>
      <x:c r="BA84" s="444" t="str"/>
      <x:c r="BB84" s="444" t="str">
        <x:v>판단불가</x:v>
      </x:c>
      <x:c r="BC84" s="444" t="str">
        <x:v>대한민국 KOSIS 범위 밖의 해외 통계</x:v>
      </x:c>
      <x:c r="BD84" s="444" t="str">
        <x:v>N</x:v>
      </x:c>
      <x:c r="BE84" s="444" t="str">
        <x:v>KOSIS 미제공</x:v>
      </x:c>
      <x:c r="BF84" s="444" t="str"/>
      <x:c r="BG84" s="444" t="str"/>
      <x:c r="BH84" s="444" t="str"/>
      <x:c r="BI84" s="444" t="str"/>
      <x:c r="BJ84" s="444" t="str"/>
      <x:c r="BK84" s="444" t="str"/>
      <x:c r="BL84" s="444" t="str"/>
      <x:c r="BM84" s="444" t="str"/>
      <x:c r="BN84" s="444" t="str"/>
      <x:c r="BO84" s="444" t="str"/>
      <x:c r="BP84" s="444" t="str"/>
      <x:c r="BQ84" s="444" t="str">
        <x:v>BMW와 벤츠의 중국 내 판매실적인 개별 기업·해외시장 자료로 KOSIS 소매판매 통계와 정의가 다름</x:v>
      </x:c>
      <x:c r="BR84" s="444" t="str">
        <x:v>수동확정_검증불가</x:v>
      </x:c>
      <x:c r="BS84" s="444" t="str">
        <x:v>검증불가</x:v>
      </x:c>
      <x:c r="BT84" s="444" t="str">
        <x:v>Y</x:v>
      </x:c>
      <x:c r="BU84" s="444" t="str">
        <x:v>N/A</x:v>
      </x:c>
      <x:c r="BV84" s="444" t="str">
        <x:v>N/A</x:v>
      </x:c>
      <x:c r="BW84" s="444" t="str">
        <x:v>N/A</x:v>
      </x:c>
      <x:c r="BX84" s="444" t="str">
        <x:v>N/A</x:v>
      </x:c>
      <x:c r="BY84" s="444" t="str">
        <x:v>N/A</x:v>
      </x:c>
      <x:c r="BZ84" s="444" t="str">
        <x:v>N/A</x:v>
      </x:c>
      <x:c r="CA84" s="444" t="str">
        <x:v>N/A</x:v>
      </x:c>
      <x:c r="CB84" s="444" t="str">
        <x:v>N/A</x:v>
      </x:c>
      <x:c r="CC84" s="444" t="str"/>
      <x:c r="CD84" s="444" t="str"/>
    </x:row>
    <x:row r="85" ht="38" customHeight="1">
      <x:c r="A85" s="444" t="str">
        <x:v>84</x:v>
      </x:c>
      <x:c r="B85" s="444" t="str">
        <x:v>소매</x:v>
      </x:c>
      <x:c r="C85" s="444" t="str">
        <x:v>독립층화:증감률재검토</x:v>
      </x:c>
      <x:c r="D85" s="444" t="str">
        <x:v>증감률재검토</x:v>
      </x:c>
      <x:c r="E85" s="444" t="str">
        <x:v>재검토필요_증감률불일치</x:v>
      </x:c>
      <x:c r="F85" s="444" t="str">
        <x:v>outputs\bteam_review\final_verified_filled_2001_remapped_v6.csv</x:v>
      </x:c>
      <x:c r="G85" s="444" t="str">
        <x:v>C01572</x:v>
      </x:c>
      <x:c r="H85" s="444" t="str">
        <x:v>212</x:v>
      </x:c>
      <x:c r="I85" s="444" t="str">
        <x:v>환율 안정이 우선… 韓銀, 기준금리 3% 동결</x:v>
      </x:c>
      <x:c r="J85" s="444" t="str">
        <x:v>2025-01-17</x:v>
      </x:c>
      <x:c r="K85" s="444" t="str">
        <x:v>https://www.chosun.com/economy/economy_general/2025/01/17/DUCC66IHF5EQJKWXBEBLBLINZ4</x:v>
      </x:c>
      <x:c r="L85" s="444" t="str">
        <x:v>전산업 생산은 9~11월 석 달 연속 전기 대비 줄었다.</x:v>
      </x:c>
      <x:c r="M85" s="444" t="str">
        <x:v>작년 1~11월 소매판매액도 전년 동기 대비 2.1% 감소했다.</x:v>
      </x:c>
      <x:c r="N85" s="444" t="str">
        <x:v>이는 카드 대란이 있었던 2003년(-3.1%) 이후 21년 만에 최대 폭이다.</x:v>
      </x:c>
      <x:c r="O85" s="444" t="str">
        <x:v>비율·증감률</x:v>
      </x:c>
      <x:c r="P85" s="444" t="str">
        <x:v>비율·증감률; 날짜·시간</x:v>
      </x:c>
      <x:c r="Q85" s="444" t="str">
        <x:v>[11, 2.1]</x:v>
      </x:c>
      <x:c r="R85" s="444" t="str">
        <x:v>['월', '%']</x:v>
      </x:c>
      <x:c r="S85" s="444" t="str">
        <x:v>[]</x:v>
      </x:c>
      <x:c r="T85" s="444" t="str">
        <x:v>[]</x:v>
      </x:c>
      <x:c r="U85" s="444" t="str"/>
      <x:c r="V85" s="444" t="str">
        <x:v>101</x:v>
      </x:c>
      <x:c r="W85" s="444" t="str">
        <x:v>DT_1K41012</x:v>
      </x:c>
      <x:c r="X85" s="444" t="str">
        <x:v>G0</x:v>
      </x:c>
      <x:c r="Y85" s="444" t="str"/>
      <x:c r="Z85" s="444" t="str">
        <x:v>T2</x:v>
      </x:c>
      <x:c r="AA85" s="444" t="str">
        <x:v>M</x:v>
      </x:c>
      <x:c r="AB85" s="444" t="str">
        <x:v>CHANGE_RATE</x:v>
      </x:c>
      <x:c r="AC85" s="444" t="str">
        <x:v>2.1</x:v>
      </x:c>
      <x:c r="AD85" s="444" t="str">
        <x:v>202411</x:v>
      </x:c>
      <x:c r="AE85" s="444" t="str">
        <x:v>202311</x:v>
      </x:c>
      <x:c r="AF85" s="444" t="str">
        <x:v>-2.23255814</x:v>
      </x:c>
      <x:c r="AG85" s="444" t="str">
        <x:v>불일치</x:v>
      </x:c>
      <x:c r="AH85" s="444" t="str"/>
      <x:c r="AI85" s="444" t="str">
        <x:v>전국/지역 미상 소매판매 claim이라 전국 소매판매액지수 표로 변경 | 상품군 obj_l1 직접 확인 필요 | 상품군 코드 자동 후보: 총지수(G0)</x:v>
      </x:c>
      <x:c r="AJ85" s="444" t="str">
        <x:v>보류</x:v>
      </x:c>
      <x:c r="AK85" s="444" t="str"/>
      <x:c r="AL85" s="444" t="str"/>
      <x:c r="AM85" s="444" t="str"/>
      <x:c r="AN85" s="444" t="str"/>
      <x:c r="AO85" s="444" t="str"/>
      <x:c r="AP85" s="444" t="str"/>
      <x:c r="AQ85" s="444" t="str"/>
      <x:c r="AR85" s="444" t="str"/>
      <x:c r="AS85" s="444" t="str"/>
      <x:c r="AT85" s="444" t="str"/>
      <x:c r="AU85" s="444" t="str"/>
      <x:c r="AV85" s="444" t="str"/>
      <x:c r="AW85" s="444" t="str">
        <x:v>N/A</x:v>
      </x:c>
      <x:c r="AX85" s="444" t="str"/>
      <x:c r="AY85" s="444" t="str"/>
      <x:c r="AZ85" s="444" t="str"/>
      <x:c r="BA85" s="444" t="str"/>
      <x:c r="BB85" s="444" t="str"/>
      <x:c r="BC85" s="444" t="str"/>
      <x:c r="BD85" s="444" t="str">
        <x:v>Y</x:v>
      </x:c>
      <x:c r="BE85" s="444" t="str"/>
      <x:c r="BF85" s="444" t="str">
        <x:v>101</x:v>
      </x:c>
      <x:c r="BG85" s="444" t="str">
        <x:v>DT_1K41012</x:v>
      </x:c>
      <x:c r="BH85" s="444" t="str">
        <x:v>G0</x:v>
      </x:c>
      <x:c r="BI85" s="444" t="str"/>
      <x:c r="BJ85" s="444" t="str">
        <x:v>T2</x:v>
      </x:c>
      <x:c r="BK85" s="444" t="str">
        <x:v>M</x:v>
      </x:c>
      <x:c r="BL85" s="444" t="str">
        <x:v>-2.1</x:v>
      </x:c>
      <x:c r="BM85" s="444" t="str">
        <x:v>202401:202411</x:v>
      </x:c>
      <x:c r="BN85" s="444" t="str">
        <x:v>202301:202311</x:v>
      </x:c>
      <x:c r="BO85" s="444" t="str">
        <x:v>SUM_PERIODS_CHANGE_RATE</x:v>
      </x:c>
      <x:c r="BP85" s="444" t="str">
        <x:v>일치</x:v>
      </x:c>
      <x:c r="BQ85" s="444" t="str">
        <x:v>KOSIS 소매판매액 불변지수 합계는 2023년 1~11월 1,140.6, 2024년 1~11월 1,118.7로 -1.920%. 기사 -2.1%와 현재 개정치·허용오차 0.3%p 이내</x:v>
      </x:c>
      <x:c r="BR85" s="444" t="str">
        <x:v>수동확정_현재KOSIS개정치기준</x:v>
      </x:c>
      <x:c r="BS85" s="444" t="str">
        <x:v>검증가능</x:v>
      </x:c>
      <x:c r="BT85" s="444" t="str">
        <x:v>N</x:v>
      </x:c>
      <x:c r="BU85" s="444" t="str">
        <x:v>N</x:v>
      </x:c>
      <x:c r="BV85" s="444" t="str">
        <x:v>N</x:v>
      </x:c>
      <x:c r="BW85" s="444" t="str">
        <x:v>N</x:v>
      </x:c>
      <x:c r="BX85" s="444" t="str">
        <x:v>N</x:v>
      </x:c>
      <x:c r="BY85" s="444" t="str">
        <x:v>N</x:v>
      </x:c>
      <x:c r="BZ85" s="444" t="str">
        <x:v>N</x:v>
      </x:c>
      <x:c r="CA85" s="444" t="str">
        <x:v>N</x:v>
      </x:c>
      <x:c r="CB85" s="444" t="str">
        <x:v>N</x:v>
      </x:c>
      <x:c r="CC85" s="444" t="str">
        <x:v>검증가능여부;통계표;항목;시점;주장수치;비교방식;최종판정</x:v>
      </x:c>
      <x:c r="CD85" s="444" t="str">
        <x:v>검증가능 지표를 코드북이 지원하지 않아 보류</x:v>
      </x:c>
    </x:row>
    <x:row r="86" ht="38" customHeight="1">
      <x:c r="A86" s="444" t="str">
        <x:v>85</x:v>
      </x:c>
      <x:c r="B86" s="444" t="str">
        <x:v>소매</x:v>
      </x:c>
      <x:c r="C86" s="444" t="str">
        <x:v>독립층화:판단불가</x:v>
      </x:c>
      <x:c r="D86" s="444" t="str">
        <x:v>판단불가</x:v>
      </x:c>
      <x:c r="E86" s="444" t="str"/>
      <x:c r="F86" s="444" t="str">
        <x:v>outputs\archive\bteam_poc_20260714\bteam_verification\bteam_kosis_review_manual_prioritized_4403.csv</x:v>
      </x:c>
      <x:c r="G86" s="444" t="str">
        <x:v>C02074</x:v>
      </x:c>
      <x:c r="H86" s="444" t="str">
        <x:v>288</x:v>
      </x:c>
      <x:c r="I86" s="444" t="str">
        <x:v>현대차 작년 매출 사상 최대 기록...영업이익은 4년만에 감소세로</x:v>
      </x:c>
      <x:c r="J86" s="444" t="str">
        <x:v>2025-01-23</x:v>
      </x:c>
      <x:c r="K86" s="444" t="str">
        <x:v>https://www.chosun.com/economy/auto/2025/01/23/OJQKTSC6WJBTBPCUBZTLBOUVC4</x:v>
      </x:c>
      <x:c r="L86" s="444" t="str">
        <x:v>글로벌 판매량은 1.8% 줄어든 414만대였다.</x:v>
      </x:c>
      <x:c r="M86" s="444" t="str">
        <x:v>현대차의 영업 이익과 글로벌 판매량이 전년 대비 줄어든 건 코로나 사태가 발생한 2020년 이후 4년 만이다.</x:v>
      </x:c>
      <x:c r="N86" s="444" t="str">
        <x:v>지난해 매출(175조2312억원)은 7.7% 늘어나며 최고 기록을 경신했지만, 수익성을 보여주는 영업 이익률(8.1%)은 1년 새 1.2%포인트 떨어졌다.</x:v>
      </x:c>
      <x:c r="O86" s="444" t="str">
        <x:v>판매·생산량</x:v>
      </x:c>
      <x:c r="P86" s="444" t="str">
        <x:v>판매·생산량; 날짜·시간</x:v>
      </x:c>
      <x:c r="Q86" s="444" t="str">
        <x:v>[2020, 4]</x:v>
      </x:c>
      <x:c r="R86" s="444" t="str">
        <x:v>['년', '년']</x:v>
      </x:c>
      <x:c r="S86" s="444" t="str">
        <x:v>['2020']</x:v>
      </x:c>
      <x:c r="T86" s="444" t="str">
        <x:v>[]</x:v>
      </x:c>
      <x:c r="U86" s="444" t="str"/>
      <x:c r="V86" s="444" t="str"/>
      <x:c r="W86" s="444" t="str"/>
      <x:c r="X86" s="444" t="str"/>
      <x:c r="Y86" s="444" t="str"/>
      <x:c r="Z86" s="444" t="str"/>
      <x:c r="AA86" s="444" t="str"/>
      <x:c r="AB86" s="444" t="str"/>
      <x:c r="AC86" s="444" t="str"/>
      <x:c r="AD86" s="444" t="str"/>
      <x:c r="AE86" s="444" t="str"/>
      <x:c r="AF86" s="444" t="str"/>
      <x:c r="AG86" s="444" t="str"/>
      <x:c r="AH86" s="444" t="str"/>
      <x:c r="AI86" s="444" t="str">
        <x:v>[Claude 검토] KOSIS 검증 대상 아님: 현대차(개별기업) 영업이익·판매량 4년만의 감소, KOSIS 통계 아님</x:v>
      </x:c>
      <x:c r="AJ86" s="444" t="str">
        <x:v>보류</x:v>
      </x:c>
      <x:c r="AK86" s="444" t="str"/>
      <x:c r="AL86" s="444" t="str"/>
      <x:c r="AM86" s="444" t="str"/>
      <x:c r="AN86" s="444" t="str"/>
      <x:c r="AO86" s="444" t="str"/>
      <x:c r="AP86" s="444" t="str"/>
      <x:c r="AQ86" s="444" t="str"/>
      <x:c r="AR86" s="444" t="str"/>
      <x:c r="AS86" s="444" t="str"/>
      <x:c r="AT86" s="444" t="str"/>
      <x:c r="AU86" s="444" t="str"/>
      <x:c r="AV86" s="444" t="str"/>
      <x:c r="AW86" s="444" t="str">
        <x:v>N/A</x:v>
      </x:c>
      <x:c r="AX86" s="444" t="str"/>
      <x:c r="AY86" s="444" t="str"/>
      <x:c r="AZ86" s="444" t="str"/>
      <x:c r="BA86" s="444" t="str"/>
      <x:c r="BB86" s="444" t="str"/>
      <x:c r="BC86" s="444" t="str"/>
      <x:c r="BD86" s="444" t="str">
        <x:v>N</x:v>
      </x:c>
      <x:c r="BE86" s="444" t="str">
        <x:v>KOSIS 미제공</x:v>
      </x:c>
      <x:c r="BF86" s="444" t="str"/>
      <x:c r="BG86" s="444" t="str"/>
      <x:c r="BH86" s="444" t="str"/>
      <x:c r="BI86" s="444" t="str"/>
      <x:c r="BJ86" s="444" t="str"/>
      <x:c r="BK86" s="444" t="str"/>
      <x:c r="BL86" s="444" t="str"/>
      <x:c r="BM86" s="444" t="str"/>
      <x:c r="BN86" s="444" t="str"/>
      <x:c r="BO86" s="444" t="str"/>
      <x:c r="BP86" s="444" t="str"/>
      <x:c r="BQ86" s="444" t="str">
        <x:v>현대자동차의 영업이익·글로벌 판매량과 2020년 이후 4년 만의 감소 여부는 개별 기업 공시자료로 KOSIS 동일 통계가 없음</x:v>
      </x:c>
      <x:c r="BR86" s="444" t="str">
        <x:v>수동확정_검증불가</x:v>
      </x:c>
      <x:c r="BS86" s="444" t="str">
        <x:v>검증불가</x:v>
      </x:c>
      <x:c r="BT86" s="444" t="str">
        <x:v>N</x:v>
      </x:c>
      <x:c r="BU86" s="444" t="str">
        <x:v>N/A</x:v>
      </x:c>
      <x:c r="BV86" s="444" t="str">
        <x:v>N/A</x:v>
      </x:c>
      <x:c r="BW86" s="444" t="str">
        <x:v>N/A</x:v>
      </x:c>
      <x:c r="BX86" s="444" t="str">
        <x:v>N/A</x:v>
      </x:c>
      <x:c r="BY86" s="444" t="str">
        <x:v>N/A</x:v>
      </x:c>
      <x:c r="BZ86" s="444" t="str">
        <x:v>N/A</x:v>
      </x:c>
      <x:c r="CA86" s="444" t="str">
        <x:v>N/A</x:v>
      </x:c>
      <x:c r="CB86" s="444" t="str">
        <x:v>N/A</x:v>
      </x:c>
      <x:c r="CC86" s="444" t="str">
        <x:v>검증가능여부</x:v>
      </x:c>
      <x:c r="CD86" s="444" t="str">
        <x:v>검증불가 사유를 자동 분류하지 못해 보류</x:v>
      </x:c>
    </x:row>
    <x:row r="87" ht="38" customHeight="1">
      <x:c r="A87" s="444" t="str">
        <x:v>86</x:v>
      </x:c>
      <x:c r="B87" s="444" t="str">
        <x:v>소매</x:v>
      </x:c>
      <x:c r="C87" s="444" t="str">
        <x:v>독립층화:보충</x:v>
      </x:c>
      <x:c r="D87" s="444" t="str">
        <x:v>판단불가</x:v>
      </x:c>
      <x:c r="E87" s="444" t="str"/>
      <x:c r="F87" s="444" t="str">
        <x:v>outputs\archive\bteam_poc_20260714\bteam_verification\bteam_kosis_review_manual_prioritized_4403.csv</x:v>
      </x:c>
      <x:c r="G87" s="444" t="str">
        <x:v>C03125</x:v>
      </x:c>
      <x:c r="H87" s="444" t="str">
        <x:v>394</x:v>
      </x:c>
      <x:c r="I87" s="444" t="str">
        <x:v>볼보 순수 전기 SUV ‘EX30′ 1분기 국내 출시</x:v>
      </x:c>
      <x:c r="J87" s="444" t="str">
        <x:v>2025-01-31</x:v>
      </x:c>
      <x:c r="K87" s="444" t="str">
        <x:v>https://www.chosun.com/economy/auto/2025/01/31/IRFXHQ5WEVHDXB5EIF5BQC3UTA</x:v>
      </x:c>
      <x:c r="L87" s="444" t="str">
        <x:v>세단과 SUV의 강점을 결합한 V60 크로스컨트리는 934대를 판매하면서 수입 왜건 판매 1위를 차지했다.</x:v>
      </x:c>
      <x:c r="M87" s="444" t="str">
        <x:v>볼보 관계자는 “SUV 라인업인 XC 레인지가 지난해 전체 판매량의 68%를 차지했다”고 말했다.</x:v>
      </x:c>
      <x:c r="N87" s="444" t="str"/>
      <x:c r="O87" s="444" t="str">
        <x:v>판매·생산량</x:v>
      </x:c>
      <x:c r="P87" s="444" t="str">
        <x:v>판매·생산량; 비율·증감률</x:v>
      </x:c>
      <x:c r="Q87" s="444" t="str">
        <x:v>[68]</x:v>
      </x:c>
      <x:c r="R87" s="444" t="str">
        <x:v>['%']</x:v>
      </x:c>
      <x:c r="S87" s="444" t="str">
        <x:v>[]</x:v>
      </x:c>
      <x:c r="T87" s="444" t="str">
        <x:v>[]</x:v>
      </x:c>
      <x:c r="U87" s="444" t="str"/>
      <x:c r="V87" s="444" t="str"/>
      <x:c r="W87" s="444" t="str"/>
      <x:c r="X87" s="444" t="str"/>
      <x:c r="Y87" s="444" t="str"/>
      <x:c r="Z87" s="444" t="str"/>
      <x:c r="AA87" s="444" t="str"/>
      <x:c r="AB87" s="444" t="str"/>
      <x:c r="AC87" s="444" t="str"/>
      <x:c r="AD87" s="444" t="str"/>
      <x:c r="AE87" s="444" t="str"/>
      <x:c r="AF87" s="444" t="str"/>
      <x:c r="AG87" s="444" t="str"/>
      <x:c r="AH87" s="444" t="str"/>
      <x:c r="AI87" s="444" t="str">
        <x:v>[Claude 검토] KOSIS 검증 대상 아님: 볼보(개별기업) SUV 라인업 판매 비중, KOSIS 통계 아님</x:v>
      </x:c>
      <x:c r="AJ87" s="444" t="str">
        <x:v>보류</x:v>
      </x:c>
      <x:c r="AK87" s="444" t="str"/>
      <x:c r="AL87" s="444" t="str"/>
      <x:c r="AM87" s="444" t="str"/>
      <x:c r="AN87" s="444" t="str"/>
      <x:c r="AO87" s="444" t="str"/>
      <x:c r="AP87" s="444" t="str"/>
      <x:c r="AQ87" s="444" t="str"/>
      <x:c r="AR87" s="444" t="str"/>
      <x:c r="AS87" s="444" t="str"/>
      <x:c r="AT87" s="444" t="str"/>
      <x:c r="AU87" s="444" t="str"/>
      <x:c r="AV87" s="444" t="str"/>
      <x:c r="AW87" s="444" t="str">
        <x:v>N/A</x:v>
      </x:c>
      <x:c r="AX87" s="444" t="str"/>
      <x:c r="AY87" s="444" t="str"/>
      <x:c r="AZ87" s="444" t="str"/>
      <x:c r="BA87" s="444" t="str"/>
      <x:c r="BB87" s="444" t="str"/>
      <x:c r="BC87" s="444" t="str"/>
      <x:c r="BD87" s="444" t="str">
        <x:v>N</x:v>
      </x:c>
      <x:c r="BE87" s="444" t="str">
        <x:v>KOSIS 미제공</x:v>
      </x:c>
      <x:c r="BF87" s="444" t="str"/>
      <x:c r="BG87" s="444" t="str"/>
      <x:c r="BH87" s="444" t="str"/>
      <x:c r="BI87" s="444" t="str"/>
      <x:c r="BJ87" s="444" t="str"/>
      <x:c r="BK87" s="444" t="str"/>
      <x:c r="BL87" s="444" t="str"/>
      <x:c r="BM87" s="444" t="str"/>
      <x:c r="BN87" s="444" t="str"/>
      <x:c r="BO87" s="444" t="str"/>
      <x:c r="BP87" s="444" t="str"/>
      <x:c r="BQ87" s="444" t="str">
        <x:v>볼보코리아 차종별 판매 구성비 68%는 개별 수입차 브랜드 판매자료로 KOSIS에서 동일 차종·브랜드 분류를 제공하지 않음</x:v>
      </x:c>
      <x:c r="BR87" s="444" t="str">
        <x:v>수동확정_검증불가</x:v>
      </x:c>
      <x:c r="BS87" s="444" t="str">
        <x:v>검증불가</x:v>
      </x:c>
      <x:c r="BT87" s="444" t="str">
        <x:v>N</x:v>
      </x:c>
      <x:c r="BU87" s="444" t="str">
        <x:v>N/A</x:v>
      </x:c>
      <x:c r="BV87" s="444" t="str">
        <x:v>N/A</x:v>
      </x:c>
      <x:c r="BW87" s="444" t="str">
        <x:v>N/A</x:v>
      </x:c>
      <x:c r="BX87" s="444" t="str">
        <x:v>N/A</x:v>
      </x:c>
      <x:c r="BY87" s="444" t="str">
        <x:v>N/A</x:v>
      </x:c>
      <x:c r="BZ87" s="444" t="str">
        <x:v>N/A</x:v>
      </x:c>
      <x:c r="CA87" s="444" t="str">
        <x:v>N/A</x:v>
      </x:c>
      <x:c r="CB87" s="444" t="str">
        <x:v>N/A</x:v>
      </x:c>
      <x:c r="CC87" s="444" t="str">
        <x:v>검증가능여부</x:v>
      </x:c>
      <x:c r="CD87" s="444" t="str">
        <x:v>검증불가 사유를 자동 분류하지 못해 보류</x:v>
      </x:c>
    </x:row>
    <x:row r="88" ht="38" customHeight="1">
      <x:c r="A88" s="444" t="str">
        <x:v>87</x:v>
      </x:c>
      <x:c r="B88" s="444" t="str">
        <x:v>소매</x:v>
      </x:c>
      <x:c r="C88" s="444" t="str">
        <x:v>독립층화:판단불가</x:v>
      </x:c>
      <x:c r="D88" s="444" t="str">
        <x:v>판단불가</x:v>
      </x:c>
      <x:c r="E88" s="444" t="str"/>
      <x:c r="F88" s="444" t="str">
        <x:v>outputs\archive\bteam_poc_20260714\bteam_verification\bteam_kosis_review_manual_prioritized_4403.csv</x:v>
      </x:c>
      <x:c r="G88" s="444" t="str">
        <x:v>C04139</x:v>
      </x:c>
      <x:c r="H88" s="444" t="str">
        <x:v>522</x:v>
      </x:c>
      <x:c r="I88" s="444" t="str">
        <x:v>韓·獨·日은 마이너스… 중국 車만 20~40% 성장</x:v>
      </x:c>
      <x:c r="J88" s="444" t="str">
        <x:v>2025-02-10</x:v>
      </x:c>
      <x:c r="K88" s="444" t="str">
        <x:v>https://www.chosun.com/economy/auto/2025/02/10/CJKKHZFZ4VELJACFU6OAG43RQE</x:v>
      </x:c>
      <x:c r="L88" s="444" t="str">
        <x:v>도요타그룹(-3.7%), 폴크스바겐그룹(-2.3%), 현대차그룹(-1%) 등 일제히 판매가 줄었다.</x:v>
      </x:c>
      <x:c r="M88" s="444" t="str">
        <x:v>중국 의존도가 높을수록 타격이 컸고, 중국 사업 비중을 줄인 포드와 중국에서 철수한 르노만 판매량이 전년 대비 1% 안팎 늘었다.</x:v>
      </x:c>
      <x:c r="N88" s="444" t="str">
        <x:v>전 세계적으로 글로벌 자동차 수요가 주춤한 가운데, 중국 기업들이 국내외 시장에서 두각을 드러내며 이런 결과가 나왔다.</x:v>
      </x:c>
      <x:c r="O88" s="444" t="str">
        <x:v>판매·생산량</x:v>
      </x:c>
      <x:c r="P88" s="444" t="str">
        <x:v>판매·생산량; 비율·증감률</x:v>
      </x:c>
      <x:c r="Q88" s="444" t="str">
        <x:v>[1]</x:v>
      </x:c>
      <x:c r="R88" s="444" t="str">
        <x:v>['%']</x:v>
      </x:c>
      <x:c r="S88" s="444" t="str">
        <x:v>[]</x:v>
      </x:c>
      <x:c r="T88" s="444" t="str">
        <x:v>[]</x:v>
      </x:c>
      <x:c r="U88" s="444" t="str"/>
      <x:c r="V88" s="444" t="str"/>
      <x:c r="W88" s="444" t="str"/>
      <x:c r="X88" s="444" t="str"/>
      <x:c r="Y88" s="444" t="str"/>
      <x:c r="Z88" s="444" t="str"/>
      <x:c r="AA88" s="444" t="str"/>
      <x:c r="AB88" s="444" t="str"/>
      <x:c r="AC88" s="444" t="str"/>
      <x:c r="AD88" s="444" t="str"/>
      <x:c r="AE88" s="444" t="str"/>
      <x:c r="AF88" s="444" t="str"/>
      <x:c r="AG88" s="444" t="str"/>
      <x:c r="AH88" s="444" t="str"/>
      <x:c r="AI88" s="444" t="str">
        <x:v>[Claude 검토] KOSIS 검증 대상 아님: 포드/르노(해외 개별기업) 중국시장 판매량, KOSIS 통계 아님</x:v>
      </x:c>
      <x:c r="AJ88" s="444" t="str">
        <x:v>검증불가</x:v>
      </x:c>
      <x:c r="AK88" s="444" t="str">
        <x:v>KOSIS 미제공</x:v>
      </x:c>
      <x:c r="AL88" s="444" t="str"/>
      <x:c r="AM88" s="444" t="str"/>
      <x:c r="AN88" s="444" t="str"/>
      <x:c r="AO88" s="444" t="str"/>
      <x:c r="AP88" s="444" t="str"/>
      <x:c r="AQ88" s="444" t="str"/>
      <x:c r="AR88" s="444" t="str"/>
      <x:c r="AS88" s="444" t="str"/>
      <x:c r="AT88" s="444" t="str"/>
      <x:c r="AU88" s="444" t="str"/>
      <x:c r="AV88" s="444" t="str"/>
      <x:c r="AW88" s="444" t="str">
        <x:v>N/A</x:v>
      </x:c>
      <x:c r="AX88" s="444" t="str"/>
      <x:c r="AY88" s="444" t="str"/>
      <x:c r="AZ88" s="444" t="str"/>
      <x:c r="BA88" s="444" t="str"/>
      <x:c r="BB88" s="444" t="str">
        <x:v>판단불가</x:v>
      </x:c>
      <x:c r="BC88" s="444" t="str">
        <x:v>대한민국 KOSIS 범위 밖의 해외 통계</x:v>
      </x:c>
      <x:c r="BD88" s="444" t="str">
        <x:v>N</x:v>
      </x:c>
      <x:c r="BE88" s="444" t="str">
        <x:v>KOSIS 미제공</x:v>
      </x:c>
      <x:c r="BF88" s="444" t="str"/>
      <x:c r="BG88" s="444" t="str"/>
      <x:c r="BH88" s="444" t="str"/>
      <x:c r="BI88" s="444" t="str"/>
      <x:c r="BJ88" s="444" t="str"/>
      <x:c r="BK88" s="444" t="str"/>
      <x:c r="BL88" s="444" t="str"/>
      <x:c r="BM88" s="444" t="str"/>
      <x:c r="BN88" s="444" t="str"/>
      <x:c r="BO88" s="444" t="str"/>
      <x:c r="BP88" s="444" t="str"/>
      <x:c r="BQ88" s="444" t="str">
        <x:v>포드와 르노의 중국 판매실적인 개별 기업·해외시장 자료로 KOSIS 소매판매 통계와 정의가 다름</x:v>
      </x:c>
      <x:c r="BR88" s="444" t="str">
        <x:v>수동확정_검증불가</x:v>
      </x:c>
      <x:c r="BS88" s="444" t="str">
        <x:v>검증불가</x:v>
      </x:c>
      <x:c r="BT88" s="444" t="str">
        <x:v>Y</x:v>
      </x:c>
      <x:c r="BU88" s="444" t="str">
        <x:v>N/A</x:v>
      </x:c>
      <x:c r="BV88" s="444" t="str">
        <x:v>N/A</x:v>
      </x:c>
      <x:c r="BW88" s="444" t="str">
        <x:v>N/A</x:v>
      </x:c>
      <x:c r="BX88" s="444" t="str">
        <x:v>N/A</x:v>
      </x:c>
      <x:c r="BY88" s="444" t="str">
        <x:v>N/A</x:v>
      </x:c>
      <x:c r="BZ88" s="444" t="str">
        <x:v>N/A</x:v>
      </x:c>
      <x:c r="CA88" s="444" t="str">
        <x:v>N/A</x:v>
      </x:c>
      <x:c r="CB88" s="444" t="str">
        <x:v>N/A</x:v>
      </x:c>
      <x:c r="CC88" s="444" t="str"/>
      <x:c r="CD88" s="444" t="str"/>
    </x:row>
    <x:row r="89" ht="38" customHeight="1">
      <x:c r="A89" s="444" t="str">
        <x:v>88</x:v>
      </x:c>
      <x:c r="B89" s="444" t="str">
        <x:v>소매</x:v>
      </x:c>
      <x:c r="C89" s="444" t="str">
        <x:v>독립층화:보충</x:v>
      </x:c>
      <x:c r="D89" s="444" t="str">
        <x:v>판단불가</x:v>
      </x:c>
      <x:c r="E89" s="444" t="str"/>
      <x:c r="F89" s="444" t="str">
        <x:v>outputs\archive\bteam_poc_20260714\bteam_verification\bteam_kosis_review_manual_prioritized_4403.csv</x:v>
      </x:c>
      <x:c r="G89" s="444" t="str">
        <x:v>C04148</x:v>
      </x:c>
      <x:c r="H89" s="444" t="str">
        <x:v>522</x:v>
      </x:c>
      <x:c r="I89" s="444" t="str">
        <x:v>韓·獨·日은 마이너스… 중국 車만 20~40% 성장</x:v>
      </x:c>
      <x:c r="J89" s="444" t="str">
        <x:v>2025-02-10</x:v>
      </x:c>
      <x:c r="K89" s="444" t="str">
        <x:v>https://www.chosun.com/economy/auto/2025/02/10/CJKKHZFZ4VELJACFU6OAG43RQE</x:v>
      </x:c>
      <x:c r="L89" s="444" t="str">
        <x:v>르노닛산미쓰비시연합은 중국 사업을 접은 르노의 판매량(약 226만대)이 1년 새 1.3% 늘며, 전체 판매량도 1.1% 늘었다.</x:v>
      </x:c>
      <x:c r="M89" s="444" t="str">
        <x:v>최근 몇 년 새 중국 공장 직원 수천 명을 감축한 포드 역시 1년 새 판매량이 1.3% 늘었다.</x:v>
      </x:c>
      <x:c r="N89" s="444" t="str">
        <x:v>중국 시장에서 자국 브랜드의 영향력이 점차 세지면서 이런 변화는 더욱 거세질 전망이다.</x:v>
      </x:c>
      <x:c r="O89" s="444" t="str">
        <x:v>판매·생산량</x:v>
      </x:c>
      <x:c r="P89" s="444" t="str">
        <x:v>판매·생산량; 비율·증감률; 날짜·시간</x:v>
      </x:c>
      <x:c r="Q89" s="444" t="str">
        <x:v>[1, 1.3]</x:v>
      </x:c>
      <x:c r="R89" s="444" t="str">
        <x:v>['년', '%']</x:v>
      </x:c>
      <x:c r="S89" s="444" t="str">
        <x:v>[]</x:v>
      </x:c>
      <x:c r="T89" s="444" t="str">
        <x:v>[]</x:v>
      </x:c>
      <x:c r="U89" s="444" t="str"/>
      <x:c r="V89" s="444" t="str"/>
      <x:c r="W89" s="444" t="str"/>
      <x:c r="X89" s="444" t="str"/>
      <x:c r="Y89" s="444" t="str"/>
      <x:c r="Z89" s="444" t="str"/>
      <x:c r="AA89" s="444" t="str"/>
      <x:c r="AB89" s="444" t="str"/>
      <x:c r="AC89" s="444" t="str"/>
      <x:c r="AD89" s="444" t="str"/>
      <x:c r="AE89" s="444" t="str"/>
      <x:c r="AF89" s="444" t="str"/>
      <x:c r="AG89" s="444" t="str"/>
      <x:c r="AH89" s="444" t="str"/>
      <x:c r="AI89" s="444" t="str">
        <x:v>[Claude 검토] KOSIS 검증 대상 아님: 포드(해외 개별기업) 판매량, KOSIS 통계 아님</x:v>
      </x:c>
      <x:c r="AJ89" s="444" t="str">
        <x:v>검증불가</x:v>
      </x:c>
      <x:c r="AK89" s="444" t="str">
        <x:v>KOSIS 미제공</x:v>
      </x:c>
      <x:c r="AL89" s="444" t="str"/>
      <x:c r="AM89" s="444" t="str"/>
      <x:c r="AN89" s="444" t="str"/>
      <x:c r="AO89" s="444" t="str"/>
      <x:c r="AP89" s="444" t="str"/>
      <x:c r="AQ89" s="444" t="str"/>
      <x:c r="AR89" s="444" t="str"/>
      <x:c r="AS89" s="444" t="str"/>
      <x:c r="AT89" s="444" t="str"/>
      <x:c r="AU89" s="444" t="str"/>
      <x:c r="AV89" s="444" t="str"/>
      <x:c r="AW89" s="444" t="str">
        <x:v>N/A</x:v>
      </x:c>
      <x:c r="AX89" s="444" t="str"/>
      <x:c r="AY89" s="444" t="str"/>
      <x:c r="AZ89" s="444" t="str"/>
      <x:c r="BA89" s="444" t="str"/>
      <x:c r="BB89" s="444" t="str">
        <x:v>판단불가</x:v>
      </x:c>
      <x:c r="BC89" s="444" t="str">
        <x:v>대한민국 KOSIS 범위 밖의 해외 통계</x:v>
      </x:c>
      <x:c r="BD89" s="444" t="str">
        <x:v>N</x:v>
      </x:c>
      <x:c r="BE89" s="444" t="str">
        <x:v>KOSIS 미제공</x:v>
      </x:c>
      <x:c r="BF89" s="444" t="str"/>
      <x:c r="BG89" s="444" t="str"/>
      <x:c r="BH89" s="444" t="str"/>
      <x:c r="BI89" s="444" t="str"/>
      <x:c r="BJ89" s="444" t="str"/>
      <x:c r="BK89" s="444" t="str"/>
      <x:c r="BL89" s="444" t="str"/>
      <x:c r="BM89" s="444" t="str"/>
      <x:c r="BN89" s="444" t="str"/>
      <x:c r="BO89" s="444" t="str"/>
      <x:c r="BP89" s="444" t="str"/>
      <x:c r="BQ89" s="444" t="str">
        <x:v>포드의 중국 판매실적인 개별 기업·해외시장 자료로 KOSIS 소매판매 통계와 정의가 다름</x:v>
      </x:c>
      <x:c r="BR89" s="444" t="str">
        <x:v>수동확정_검증불가</x:v>
      </x:c>
      <x:c r="BS89" s="444" t="str">
        <x:v>검증불가</x:v>
      </x:c>
      <x:c r="BT89" s="444" t="str">
        <x:v>Y</x:v>
      </x:c>
      <x:c r="BU89" s="444" t="str">
        <x:v>N/A</x:v>
      </x:c>
      <x:c r="BV89" s="444" t="str">
        <x:v>N/A</x:v>
      </x:c>
      <x:c r="BW89" s="444" t="str">
        <x:v>N/A</x:v>
      </x:c>
      <x:c r="BX89" s="444" t="str">
        <x:v>N/A</x:v>
      </x:c>
      <x:c r="BY89" s="444" t="str">
        <x:v>N/A</x:v>
      </x:c>
      <x:c r="BZ89" s="444" t="str">
        <x:v>N/A</x:v>
      </x:c>
      <x:c r="CA89" s="444" t="str">
        <x:v>N/A</x:v>
      </x:c>
      <x:c r="CB89" s="444" t="str">
        <x:v>N/A</x:v>
      </x:c>
      <x:c r="CC89" s="444" t="str"/>
      <x:c r="CD89" s="444" t="str"/>
    </x:row>
    <x:row r="90" ht="38" customHeight="1">
      <x:c r="A90" s="444" t="str">
        <x:v>89</x:v>
      </x:c>
      <x:c r="B90" s="444" t="str">
        <x:v>소매</x:v>
      </x:c>
      <x:c r="C90" s="444" t="str">
        <x:v>독립층화:증감률재검토</x:v>
      </x:c>
      <x:c r="D90" s="444" t="str">
        <x:v>증감률재검토</x:v>
      </x:c>
      <x:c r="E90" s="444" t="str">
        <x:v>재검토필요_증감률불일치</x:v>
      </x:c>
      <x:c r="F90" s="444" t="str">
        <x:v>outputs\bteam_review\final_verified_filled_2001_remapped_v6.csv</x:v>
      </x:c>
      <x:c r="G90" s="444" t="str">
        <x:v>C06502</x:v>
      </x:c>
      <x:c r="H90" s="444" t="str">
        <x:v>816</x:v>
      </x:c>
      <x:c r="I90" s="444" t="str">
        <x:v>1월 생산 2.7%↓ 소비 0.6%↓ 투자 14.2%↓ ‘트리플 감소’</x:v>
      </x:c>
      <x:c r="J90" s="444" t="str">
        <x:v>2025-03-04</x:v>
      </x:c>
      <x:c r="K90" s="444" t="str">
        <x:v>https://www.chosun.com/economy/economy_general/2025/03/04/FU65MUD47VCAFLZSKULBHJ3HDY</x:v>
      </x:c>
      <x:c r="L90" s="444" t="str">
        <x:v>제조업이 2.4% 줄어드는 등 광공업 생산이 2.3% 감소했다.</x:v>
      </x:c>
      <x:c r="M90" s="444" t="str">
        <x:v>서비스업 생산도 0.8% 줄었다.</x:v>
      </x:c>
      <x:c r="N90" s="444" t="str">
        <x:v>소비 추이를 보여주는 지표인 소매판매도 전월보다 0.6% 감소했다.</x:v>
      </x:c>
      <x:c r="O90" s="444" t="str">
        <x:v>비율·증감률</x:v>
      </x:c>
      <x:c r="P90" s="444" t="str">
        <x:v>비율·증감률</x:v>
      </x:c>
      <x:c r="Q90" s="444" t="str">
        <x:v>[0.8]</x:v>
      </x:c>
      <x:c r="R90" s="444" t="str">
        <x:v>['%']</x:v>
      </x:c>
      <x:c r="S90" s="444" t="str">
        <x:v>[]</x:v>
      </x:c>
      <x:c r="T90" s="444" t="str">
        <x:v>[]</x:v>
      </x:c>
      <x:c r="U90" s="444" t="str"/>
      <x:c r="V90" s="444" t="str">
        <x:v>101</x:v>
      </x:c>
      <x:c r="W90" s="444" t="str">
        <x:v>DT_1KC2020</x:v>
      </x:c>
      <x:c r="X90" s="444" t="str">
        <x:v>T</x:v>
      </x:c>
      <x:c r="Y90" s="444" t="str"/>
      <x:c r="Z90" s="444" t="str">
        <x:v>T1</x:v>
      </x:c>
      <x:c r="AA90" s="444" t="str">
        <x:v>Y</x:v>
      </x:c>
      <x:c r="AB90" s="444" t="str">
        <x:v>CHANGE_RATE</x:v>
      </x:c>
      <x:c r="AC90" s="444" t="str">
        <x:v>0.8</x:v>
      </x:c>
      <x:c r="AD90" s="444" t="str">
        <x:v>2025</x:v>
      </x:c>
      <x:c r="AE90" s="444" t="str">
        <x:v>2024</x:v>
      </x:c>
      <x:c r="AF90" s="444" t="str">
        <x:v>3.343465046</x:v>
      </x:c>
      <x:c r="AG90" s="444" t="str">
        <x:v>불일치</x:v>
      </x:c>
      <x:c r="AH90" s="444" t="str"/>
      <x:c r="AI90" s="444" t="str">
        <x:v>서비스업생산지수 후보 선택. 산업/시점 코드 확인 필요 | obj_l1/itm_id 자동 후보 입력</x:v>
      </x:c>
      <x:c r="AJ90" s="444" t="str">
        <x:v>보류</x:v>
      </x:c>
      <x:c r="AK90" s="444" t="str"/>
      <x:c r="AL90" s="444" t="str"/>
      <x:c r="AM90" s="444" t="str"/>
      <x:c r="AN90" s="444" t="str"/>
      <x:c r="AO90" s="444" t="str"/>
      <x:c r="AP90" s="444" t="str"/>
      <x:c r="AQ90" s="444" t="str"/>
      <x:c r="AR90" s="444" t="str"/>
      <x:c r="AS90" s="444" t="str"/>
      <x:c r="AT90" s="444" t="str"/>
      <x:c r="AU90" s="444" t="str"/>
      <x:c r="AV90" s="444" t="str"/>
      <x:c r="AW90" s="444" t="str">
        <x:v>N/A</x:v>
      </x:c>
      <x:c r="AX90" s="444" t="str"/>
      <x:c r="AY90" s="444" t="str"/>
      <x:c r="AZ90" s="444" t="str"/>
      <x:c r="BA90" s="444" t="str"/>
      <x:c r="BB90" s="444" t="str"/>
      <x:c r="BC90" s="444" t="str"/>
      <x:c r="BD90" s="444" t="str">
        <x:v>Y</x:v>
      </x:c>
      <x:c r="BE90" s="444" t="str"/>
      <x:c r="BF90" s="444" t="str">
        <x:v>101</x:v>
      </x:c>
      <x:c r="BG90" s="444" t="str">
        <x:v>DT_1KC2020</x:v>
      </x:c>
      <x:c r="BH90" s="444" t="str">
        <x:v>T</x:v>
      </x:c>
      <x:c r="BI90" s="444" t="str"/>
      <x:c r="BJ90" s="444" t="str">
        <x:v>T3</x:v>
      </x:c>
      <x:c r="BK90" s="444" t="str">
        <x:v>M</x:v>
      </x:c>
      <x:c r="BL90" s="444" t="str">
        <x:v>-0.8</x:v>
      </x:c>
      <x:c r="BM90" s="444" t="str">
        <x:v>202501</x:v>
      </x:c>
      <x:c r="BN90" s="444" t="str">
        <x:v>202412</x:v>
      </x:c>
      <x:c r="BO90" s="444" t="str">
        <x:v>CHANGE_RATE</x:v>
      </x:c>
      <x:c r="BP90" s="444" t="str">
        <x:v>일치</x:v>
      </x:c>
      <x:c r="BQ90" s="444" t="str">
        <x:v>KOSIS 서비스업생산 계절조정지수는 2024년 12월 119.0, 2025년 1월 118.2로 -0.672%. 기사 -0.8%와 현재 개정치·허용오차 0.3%p 이내</x:v>
      </x:c>
      <x:c r="BR90" s="444" t="str">
        <x:v>수동확정_현재KOSIS개정치기준</x:v>
      </x:c>
      <x:c r="BS90" s="444" t="str">
        <x:v>검증가능</x:v>
      </x:c>
      <x:c r="BT90" s="444" t="str">
        <x:v>N</x:v>
      </x:c>
      <x:c r="BU90" s="444" t="str">
        <x:v>N</x:v>
      </x:c>
      <x:c r="BV90" s="444" t="str">
        <x:v>N</x:v>
      </x:c>
      <x:c r="BW90" s="444" t="str">
        <x:v>N</x:v>
      </x:c>
      <x:c r="BX90" s="444" t="str">
        <x:v>N</x:v>
      </x:c>
      <x:c r="BY90" s="444" t="str">
        <x:v>N</x:v>
      </x:c>
      <x:c r="BZ90" s="444" t="str">
        <x:v>N</x:v>
      </x:c>
      <x:c r="CA90" s="444" t="str">
        <x:v>N</x:v>
      </x:c>
      <x:c r="CB90" s="444" t="str">
        <x:v>N</x:v>
      </x:c>
      <x:c r="CC90" s="444" t="str">
        <x:v>검증가능여부;통계표;항목;시점;주장수치;비교방식;최종판정</x:v>
      </x:c>
      <x:c r="CD90" s="444" t="str">
        <x:v>검증가능 지표를 코드북이 지원하지 않아 보류</x:v>
      </x:c>
    </x:row>
    <x:row r="91" ht="38" customHeight="1">
      <x:c r="A91" s="444" t="str">
        <x:v>90</x:v>
      </x:c>
      <x:c r="B91" s="444" t="str">
        <x:v>소매</x:v>
      </x:c>
      <x:c r="C91" s="444" t="str">
        <x:v>독립층화:증감률재검토</x:v>
      </x:c>
      <x:c r="D91" s="444" t="str">
        <x:v>증감률재검토</x:v>
      </x:c>
      <x:c r="E91" s="444" t="str">
        <x:v>재검토필요_증감률불일치</x:v>
      </x:c>
      <x:c r="F91" s="444" t="str">
        <x:v>outputs\bteam_review\final_verified_filled_2001_remapped_v6.csv</x:v>
      </x:c>
      <x:c r="G91" s="444" t="str">
        <x:v>C06503</x:v>
      </x:c>
      <x:c r="H91" s="444" t="str">
        <x:v>816</x:v>
      </x:c>
      <x:c r="I91" s="444" t="str">
        <x:v>1월 생산 2.7%↓ 소비 0.6%↓ 투자 14.2%↓ ‘트리플 감소’</x:v>
      </x:c>
      <x:c r="J91" s="444" t="str">
        <x:v>2025-03-04</x:v>
      </x:c>
      <x:c r="K91" s="444" t="str">
        <x:v>https://www.chosun.com/economy/economy_general/2025/03/04/FU65MUD47VCAFLZSKULBHJ3HDY</x:v>
      </x:c>
      <x:c r="L91" s="444" t="str">
        <x:v>서비스업 생산도 0.8% 줄었다.</x:v>
      </x:c>
      <x:c r="M91" s="444" t="str">
        <x:v>소비 추이를 보여주는 지표인 소매판매도 전월보다 0.6% 감소했다.</x:v>
      </x:c>
      <x:c r="N91" s="444" t="str">
        <x:v>소매판매는 작년 10월과 11월 0.7%씩 감소했다가 같은 해 12월(0.2%) 소폭 늘어난 뒤 다시 줄었다.</x:v>
      </x:c>
      <x:c r="O91" s="444" t="str">
        <x:v>비율·증감률</x:v>
      </x:c>
      <x:c r="P91" s="444" t="str">
        <x:v>비율·증감률</x:v>
      </x:c>
      <x:c r="Q91" s="444" t="str">
        <x:v>[0.6]</x:v>
      </x:c>
      <x:c r="R91" s="444" t="str">
        <x:v>['%']</x:v>
      </x:c>
      <x:c r="S91" s="444" t="str">
        <x:v>[]</x:v>
      </x:c>
      <x:c r="T91" s="444" t="str">
        <x:v>[]</x:v>
      </x:c>
      <x:c r="U91" s="444" t="str"/>
      <x:c r="V91" s="444" t="str">
        <x:v>101</x:v>
      </x:c>
      <x:c r="W91" s="444" t="str">
        <x:v>DT_1K41012</x:v>
      </x:c>
      <x:c r="X91" s="444" t="str">
        <x:v>G0</x:v>
      </x:c>
      <x:c r="Y91" s="444" t="str"/>
      <x:c r="Z91" s="444" t="str">
        <x:v>T2</x:v>
      </x:c>
      <x:c r="AA91" s="444" t="str">
        <x:v>M</x:v>
      </x:c>
      <x:c r="AB91" s="444" t="str">
        <x:v>CHANGE_RATE</x:v>
      </x:c>
      <x:c r="AC91" s="444" t="str">
        <x:v>0.6</x:v>
      </x:c>
      <x:c r="AD91" s="444" t="str">
        <x:v>202502</x:v>
      </x:c>
      <x:c r="AE91" s="444" t="str">
        <x:v>202501</x:v>
      </x:c>
      <x:c r="AF91" s="444" t="str">
        <x:v>-6.786427146</x:v>
      </x:c>
      <x:c r="AG91" s="444" t="str">
        <x:v>불일치</x:v>
      </x:c>
      <x:c r="AH91" s="444" t="str"/>
      <x:c r="AI91" s="444" t="str">
        <x:v>전국/지역 미상 소매판매 claim이라 전국 소매판매액지수 표로 변경 | 상품군 obj_l1 직접 확인 필요 | 상품군 코드 자동 후보: 총지수(G0)</x:v>
      </x:c>
      <x:c r="AJ91" s="444" t="str">
        <x:v>검증가능</x:v>
      </x:c>
      <x:c r="AK91" s="444" t="str"/>
      <x:c r="AL91" s="444" t="str">
        <x:v>101</x:v>
      </x:c>
      <x:c r="AM91" s="444" t="str">
        <x:v>DT_1K41012</x:v>
      </x:c>
      <x:c r="AN91" s="444" t="str">
        <x:v>G0</x:v>
      </x:c>
      <x:c r="AO91" s="444" t="str"/>
      <x:c r="AP91" s="444" t="str">
        <x:v>T3</x:v>
      </x:c>
      <x:c r="AQ91" s="444" t="str">
        <x:v>M</x:v>
      </x:c>
      <x:c r="AR91" s="444" t="str">
        <x:v>-0.6</x:v>
      </x:c>
      <x:c r="AS91" s="444" t="str">
        <x:v>202501</x:v>
      </x:c>
      <x:c r="AT91" s="444" t="str">
        <x:v>202412</x:v>
      </x:c>
      <x:c r="AU91" s="444" t="str">
        <x:v>CHANGE_RATE</x:v>
      </x:c>
      <x:c r="AV91" s="444" t="str">
        <x:v>소매판매 계절조정 전월비</x:v>
      </x:c>
      <x:c r="AW91" s="444" t="str">
        <x:v>Y</x:v>
      </x:c>
      <x:c r="AX91" s="444" t="str">
        <x:v>0</x:v>
      </x:c>
      <x:c r="AY91" s="444" t="str">
        <x:v>101.6</x:v>
      </x:c>
      <x:c r="AZ91" s="444" t="str">
        <x:v>101.6</x:v>
      </x:c>
      <x:c r="BA91" s="444" t="str">
        <x:v>2020＝100</x:v>
      </x:c>
      <x:c r="BB91" s="444" t="str">
        <x:v>불일치</x:v>
      </x:c>
      <x:c r="BC91" s="444" t="str"/>
      <x:c r="BD91" s="444" t="str">
        <x:v>Y</x:v>
      </x:c>
      <x:c r="BE91" s="444" t="str"/>
      <x:c r="BF91" s="444" t="str">
        <x:v>101</x:v>
      </x:c>
      <x:c r="BG91" s="444" t="str">
        <x:v>DT_1K41012</x:v>
      </x:c>
      <x:c r="BH91" s="444" t="str">
        <x:v>G0</x:v>
      </x:c>
      <x:c r="BI91" s="444" t="str"/>
      <x:c r="BJ91" s="444" t="str">
        <x:v>T3</x:v>
      </x:c>
      <x:c r="BK91" s="444" t="str">
        <x:v>M</x:v>
      </x:c>
      <x:c r="BL91" s="444" t="str">
        <x:v>-0.6</x:v>
      </x:c>
      <x:c r="BM91" s="444" t="str">
        <x:v>202501</x:v>
      </x:c>
      <x:c r="BN91" s="444" t="str">
        <x:v>202412</x:v>
      </x:c>
      <x:c r="BO91" s="444" t="str">
        <x:v>CHANGE_RATE</x:v>
      </x:c>
      <x:c r="BP91" s="444" t="str">
        <x:v>불일치</x:v>
      </x:c>
      <x:c r="BQ91" s="444" t="str">
        <x:v>소매판매액지수 202501=101.6, 202412=101.6, 전월비 0.0%, 기사 주장 -0.6%와 0.6%p 차이로 불일치</x:v>
      </x:c>
      <x:c r="BR91" s="444" t="str">
        <x:v>수동확정_현재KOSIS개정치기준</x:v>
      </x:c>
      <x:c r="BS91" s="444" t="str">
        <x:v>검증가능</x:v>
      </x:c>
      <x:c r="BT91" s="444" t="str">
        <x:v>Y</x:v>
      </x:c>
      <x:c r="BU91" s="444" t="str">
        <x:v>Y</x:v>
      </x:c>
      <x:c r="BV91" s="444" t="str">
        <x:v>Y</x:v>
      </x:c>
      <x:c r="BW91" s="444" t="str">
        <x:v>Y</x:v>
      </x:c>
      <x:c r="BX91" s="444" t="str">
        <x:v>Y</x:v>
      </x:c>
      <x:c r="BY91" s="444" t="str">
        <x:v>Y</x:v>
      </x:c>
      <x:c r="BZ91" s="444" t="str">
        <x:v>Y</x:v>
      </x:c>
      <x:c r="CA91" s="444" t="str">
        <x:v>Y</x:v>
      </x:c>
      <x:c r="CB91" s="444" t="str">
        <x:v>Y</x:v>
      </x:c>
      <x:c r="CC91" s="444" t="str"/>
      <x:c r="CD91" s="444" t="str"/>
    </x:row>
    <x:row r="92" ht="38" customHeight="1">
      <x:c r="A92" s="444" t="str">
        <x:v>91</x:v>
      </x:c>
      <x:c r="B92" s="444" t="str">
        <x:v>소매</x:v>
      </x:c>
      <x:c r="C92" s="444" t="str">
        <x:v>독립층화:보충</x:v>
      </x:c>
      <x:c r="D92" s="444" t="str">
        <x:v>판단불가</x:v>
      </x:c>
      <x:c r="E92" s="444" t="str"/>
      <x:c r="F92" s="444" t="str">
        <x:v>outputs\archive\bteam_poc_20260714\bteam_verification\bteam_kosis_review_manual_prioritized_4403.csv</x:v>
      </x:c>
      <x:c r="G92" s="444" t="str">
        <x:v>C06928</x:v>
      </x:c>
      <x:c r="H92" s="444" t="str">
        <x:v>873</x:v>
      </x:c>
      <x:c r="I92" s="444" t="str">
        <x:v>픽업트럭 기아 타스만, 불티나게 팔리는 이유</x:v>
      </x:c>
      <x:c r="J92" s="444" t="str">
        <x:v>2025-03-09</x:v>
      </x:c>
      <x:c r="K92" s="444" t="str">
        <x:v>https://www.chosun.com/economy/auto/2025/03/09/7KBLGBFYONHXZBMQOMJWKE275U</x:v>
      </x:c>
      <x:c r="L92" s="444" t="str">
        <x:v>지난해 내수 판매량을 보면 KGM의 렉스턴 스포츠는 1만2779대, 한국 GM의 콜로라도는 368대, 시에라는 328대에 그쳤다.</x:v>
      </x:c>
      <x:c r="M92" s="444" t="str">
        <x:v>전체 픽업트럭 판매의 90%를 웃도는 렉스턴 스포츠가 2018년 첫 출시 이후 노후화되면서 국내 픽업 시장도 덩달아 쪼그라드는 추세였다.</x:v>
      </x:c>
      <x:c r="N92" s="444" t="str">
        <x:v>타스만이 KGM이 지난 5일 출시한 ‘무쏘 EV’와 함께 픽업트럭의 부활을 이끌 것이란 기대도 나온다.</x:v>
      </x:c>
      <x:c r="O92" s="444" t="str">
        <x:v>판매·생산량</x:v>
      </x:c>
      <x:c r="P92" s="444" t="str">
        <x:v>판매·생산량; 비율·증감률; 날짜·시간</x:v>
      </x:c>
      <x:c r="Q92" s="444" t="str">
        <x:v>[90, 2018]</x:v>
      </x:c>
      <x:c r="R92" s="444" t="str">
        <x:v>['%', '년']</x:v>
      </x:c>
      <x:c r="S92" s="444" t="str">
        <x:v>['2018']</x:v>
      </x:c>
      <x:c r="T92" s="444" t="str">
        <x:v>[]</x:v>
      </x:c>
      <x:c r="U92" s="444" t="str"/>
      <x:c r="V92" s="444" t="str"/>
      <x:c r="W92" s="444" t="str"/>
      <x:c r="X92" s="444" t="str"/>
      <x:c r="Y92" s="444" t="str"/>
      <x:c r="Z92" s="444" t="str"/>
      <x:c r="AA92" s="444" t="str"/>
      <x:c r="AB92" s="444" t="str"/>
      <x:c r="AC92" s="444" t="str"/>
      <x:c r="AD92" s="444" t="str"/>
      <x:c r="AE92" s="444" t="str"/>
      <x:c r="AF92" s="444" t="str"/>
      <x:c r="AG92" s="444" t="str"/>
      <x:c r="AH92" s="444" t="str"/>
      <x:c r="AI92" s="444" t="str">
        <x:v>[Claude 검토] KOSIS 검증 대상 아님: KG모빌리티 렉스턴 스포츠(개별모델) 픽업시장 점유율, KOSIS 통계 아님</x:v>
      </x:c>
      <x:c r="AJ92" s="444" t="str">
        <x:v>보류</x:v>
      </x:c>
      <x:c r="AK92" s="444" t="str"/>
      <x:c r="AL92" s="444" t="str"/>
      <x:c r="AM92" s="444" t="str"/>
      <x:c r="AN92" s="444" t="str"/>
      <x:c r="AO92" s="444" t="str"/>
      <x:c r="AP92" s="444" t="str"/>
      <x:c r="AQ92" s="444" t="str"/>
      <x:c r="AR92" s="444" t="str"/>
      <x:c r="AS92" s="444" t="str"/>
      <x:c r="AT92" s="444" t="str"/>
      <x:c r="AU92" s="444" t="str"/>
      <x:c r="AV92" s="444" t="str"/>
      <x:c r="AW92" s="444" t="str">
        <x:v>N/A</x:v>
      </x:c>
      <x:c r="AX92" s="444" t="str"/>
      <x:c r="AY92" s="444" t="str"/>
      <x:c r="AZ92" s="444" t="str"/>
      <x:c r="BA92" s="444" t="str"/>
      <x:c r="BB92" s="444" t="str"/>
      <x:c r="BC92" s="444" t="str"/>
      <x:c r="BD92" s="444" t="str">
        <x:v>N</x:v>
      </x:c>
      <x:c r="BE92" s="444" t="str">
        <x:v>KOSIS 미제공</x:v>
      </x:c>
      <x:c r="BF92" s="444" t="str"/>
      <x:c r="BG92" s="444" t="str"/>
      <x:c r="BH92" s="444" t="str"/>
      <x:c r="BI92" s="444" t="str"/>
      <x:c r="BJ92" s="444" t="str"/>
      <x:c r="BK92" s="444" t="str"/>
      <x:c r="BL92" s="444" t="str"/>
      <x:c r="BM92" s="444" t="str"/>
      <x:c r="BN92" s="444" t="str"/>
      <x:c r="BO92" s="444" t="str"/>
      <x:c r="BP92" s="444" t="str"/>
      <x:c r="BQ92" s="444" t="str">
        <x:v>렉스턴 스포츠의 국내 픽업트럭 판매 점유율 90% 초과는 차종별 업계 판매자료로 KOSIS 동일 분류가 없음</x:v>
      </x:c>
      <x:c r="BR92" s="444" t="str">
        <x:v>수동확정_검증불가</x:v>
      </x:c>
      <x:c r="BS92" s="444" t="str">
        <x:v>검증불가</x:v>
      </x:c>
      <x:c r="BT92" s="444" t="str">
        <x:v>N</x:v>
      </x:c>
      <x:c r="BU92" s="444" t="str">
        <x:v>N/A</x:v>
      </x:c>
      <x:c r="BV92" s="444" t="str">
        <x:v>N/A</x:v>
      </x:c>
      <x:c r="BW92" s="444" t="str">
        <x:v>N/A</x:v>
      </x:c>
      <x:c r="BX92" s="444" t="str">
        <x:v>N/A</x:v>
      </x:c>
      <x:c r="BY92" s="444" t="str">
        <x:v>N/A</x:v>
      </x:c>
      <x:c r="BZ92" s="444" t="str">
        <x:v>N/A</x:v>
      </x:c>
      <x:c r="CA92" s="444" t="str">
        <x:v>N/A</x:v>
      </x:c>
      <x:c r="CB92" s="444" t="str">
        <x:v>N/A</x:v>
      </x:c>
      <x:c r="CC92" s="444" t="str">
        <x:v>검증가능여부</x:v>
      </x:c>
      <x:c r="CD92" s="444" t="str">
        <x:v>검증불가 사유를 자동 분류하지 못해 보류</x:v>
      </x:c>
    </x:row>
    <x:row r="93" ht="38" customHeight="1">
      <x:c r="A93" s="444" t="str">
        <x:v>92</x:v>
      </x:c>
      <x:c r="B93" s="444" t="str">
        <x:v>소매</x:v>
      </x:c>
      <x:c r="C93" s="444" t="str">
        <x:v>독립층화:판단불가</x:v>
      </x:c>
      <x:c r="D93" s="444" t="str">
        <x:v>판단불가</x:v>
      </x:c>
      <x:c r="E93" s="444" t="str"/>
      <x:c r="F93" s="444" t="str">
        <x:v>outputs\archive\bteam_poc_20260714\bteam_verification\bteam_kosis_review_manual_prioritized_4403.csv</x:v>
      </x:c>
      <x:c r="G93" s="444" t="str">
        <x:v>C09984</x:v>
      </x:c>
      <x:c r="H93" s="444" t="str">
        <x:v>1289</x:v>
      </x:c>
      <x:c r="I93" s="444" t="str">
        <x:v>기아 “5년간 42조 투자… 생산 능력 425만대로 확대”</x:v>
      </x:c>
      <x:c r="J93" s="444" t="str">
        <x:v>2025-04-10</x:v>
      </x:c>
      <x:c r="K93" s="444" t="str">
        <x:v>https://www.chosun.com/economy/auto/2025/04/10/6NXRJL5AIZHS3DSEUDGPCGSVYQ</x:v>
      </x:c>
      <x:c r="L93" s="444" t="str">
        <x:v>각각 올해 대비 13%, 20% 늘어난 수치다.</x:v>
      </x:c>
      <x:c r="M93" s="444" t="str">
        <x:v>연 50만대 규모로 증설을 앞둔 ‘현대차그룹 메타플랜트 아메리카’의 생산량 40%를 기아 브랜드 제품으로 채우기로 한 만큼, 해외를 중심으로 생산 확대가 빠르게 이뤄질 전망이다.</x:v>
      </x:c>
      <x:c r="N93" s="444" t="str"/>
      <x:c r="O93" s="444" t="str">
        <x:v>판매·생산량</x:v>
      </x:c>
      <x:c r="P93" s="444" t="str">
        <x:v>판매·생산량; 비율·증감률</x:v>
      </x:c>
      <x:c r="Q93" s="444" t="str">
        <x:v>[40]</x:v>
      </x:c>
      <x:c r="R93" s="444" t="str">
        <x:v>['%']</x:v>
      </x:c>
      <x:c r="S93" s="444" t="str">
        <x:v>[]</x:v>
      </x:c>
      <x:c r="T93" s="444" t="str">
        <x:v>[]</x:v>
      </x:c>
      <x:c r="U93" s="444" t="str"/>
      <x:c r="V93" s="444" t="str"/>
      <x:c r="W93" s="444" t="str"/>
      <x:c r="X93" s="444" t="str"/>
      <x:c r="Y93" s="444" t="str"/>
      <x:c r="Z93" s="444" t="str"/>
      <x:c r="AA93" s="444" t="str"/>
      <x:c r="AB93" s="444" t="str"/>
      <x:c r="AC93" s="444" t="str"/>
      <x:c r="AD93" s="444" t="str"/>
      <x:c r="AE93" s="444" t="str"/>
      <x:c r="AF93" s="444" t="str"/>
      <x:c r="AG93" s="444" t="str"/>
      <x:c r="AH93" s="444" t="str"/>
      <x:c r="AI93" s="444" t="str">
        <x:v>판매·생산량 metric: 품목/산업별 표가 달라 자동 확정 불가</x:v>
      </x:c>
      <x:c r="AJ93" s="444" t="str">
        <x:v>검증불가</x:v>
      </x:c>
      <x:c r="AK93" s="444" t="str">
        <x:v>정보 부족</x:v>
      </x:c>
      <x:c r="AL93" s="444" t="str"/>
      <x:c r="AM93" s="444" t="str"/>
      <x:c r="AN93" s="444" t="str"/>
      <x:c r="AO93" s="444" t="str"/>
      <x:c r="AP93" s="444" t="str"/>
      <x:c r="AQ93" s="444" t="str"/>
      <x:c r="AR93" s="444" t="str"/>
      <x:c r="AS93" s="444" t="str"/>
      <x:c r="AT93" s="444" t="str"/>
      <x:c r="AU93" s="444" t="str"/>
      <x:c r="AV93" s="444" t="str"/>
      <x:c r="AW93" s="444" t="str">
        <x:v>N/A</x:v>
      </x:c>
      <x:c r="AX93" s="444" t="str"/>
      <x:c r="AY93" s="444" t="str"/>
      <x:c r="AZ93" s="444" t="str"/>
      <x:c r="BA93" s="444" t="str"/>
      <x:c r="BB93" s="444" t="str">
        <x:v>판단불가</x:v>
      </x:c>
      <x:c r="BC93" s="444" t="str">
        <x:v>관측 실적이 아닌 전망·목표 문장</x:v>
      </x:c>
      <x:c r="BD93" s="444" t="str">
        <x:v>N</x:v>
      </x:c>
      <x:c r="BE93" s="444" t="str">
        <x:v>KOSIS 미제공</x:v>
      </x:c>
      <x:c r="BF93" s="444" t="str"/>
      <x:c r="BG93" s="444" t="str"/>
      <x:c r="BH93" s="444" t="str"/>
      <x:c r="BI93" s="444" t="str"/>
      <x:c r="BJ93" s="444" t="str"/>
      <x:c r="BK93" s="444" t="str"/>
      <x:c r="BL93" s="444" t="str"/>
      <x:c r="BM93" s="444" t="str"/>
      <x:c r="BN93" s="444" t="str"/>
      <x:c r="BO93" s="444" t="str"/>
      <x:c r="BP93" s="444" t="str"/>
      <x:c r="BQ93" s="444" t="str">
        <x:v>기아의 향후 생산능력과 미국 공장 배분계획으로 KOSIS 소매판매 실제 관측값이 아님</x:v>
      </x:c>
      <x:c r="BR93" s="444" t="str">
        <x:v>수동확정_검증불가</x:v>
      </x:c>
      <x:c r="BS93" s="444" t="str">
        <x:v>검증불가</x:v>
      </x:c>
      <x:c r="BT93" s="444" t="str">
        <x:v>Y</x:v>
      </x:c>
      <x:c r="BU93" s="444" t="str">
        <x:v>N/A</x:v>
      </x:c>
      <x:c r="BV93" s="444" t="str">
        <x:v>N/A</x:v>
      </x:c>
      <x:c r="BW93" s="444" t="str">
        <x:v>N/A</x:v>
      </x:c>
      <x:c r="BX93" s="444" t="str">
        <x:v>N/A</x:v>
      </x:c>
      <x:c r="BY93" s="444" t="str">
        <x:v>N/A</x:v>
      </x:c>
      <x:c r="BZ93" s="444" t="str">
        <x:v>N/A</x:v>
      </x:c>
      <x:c r="CA93" s="444" t="str">
        <x:v>N/A</x:v>
      </x:c>
      <x:c r="CB93" s="444" t="str">
        <x:v>N/A</x:v>
      </x:c>
      <x:c r="CC93" s="444" t="str"/>
      <x:c r="CD93" s="444" t="str"/>
    </x:row>
    <x:row r="94" ht="38" customHeight="1">
      <x:c r="A94" s="444" t="str">
        <x:v>93</x:v>
      </x:c>
      <x:c r="B94" s="444" t="str">
        <x:v>소매</x:v>
      </x:c>
      <x:c r="C94" s="444" t="str">
        <x:v>독립층화:보충</x:v>
      </x:c>
      <x:c r="D94" s="444" t="str">
        <x:v>판단불가</x:v>
      </x:c>
      <x:c r="E94" s="444" t="str"/>
      <x:c r="F94" s="444" t="str">
        <x:v>outputs\archive\bteam_poc_20260714\bteam_verification\bteam_kosis_review_manual_prioritized_4403.csv</x:v>
      </x:c>
      <x:c r="G94" s="444" t="str">
        <x:v>C11377</x:v>
      </x:c>
      <x:c r="H94" s="444" t="str">
        <x:v>1472</x:v>
      </x:c>
      <x:c r="I94" s="444" t="str">
        <x:v>현대차 역대 최고 1분기 매출...하이브리드차와 美 실적이 이끌었다</x:v>
      </x:c>
      <x:c r="J94" s="444" t="str">
        <x:v>2025-04-24</x:v>
      </x:c>
      <x:c r="K94" s="444" t="str">
        <x:v>https://www.chosun.com/economy/auto/2025/04/24/CFC3RGIBVJFW3A26KQCUTZMICE</x:v>
      </x:c>
      <x:c r="L94" s="444" t="str">
        <x:v>현대차의 올 1분기 미국 판매량은 작년 같은 기간보다 1.1% 증가한 24만 2729대로 집계됐다.</x:v>
      </x:c>
      <x:c r="M94" s="444" t="str">
        <x:v>유럽(-3.8%), 인도(-4.2%), 중국(-38.1%) 등 대부분 해외 지역에서 판매가 줄었지만, 미국 실적 덕분에 글로벌 판매량(100만 1120대)이 작년 동기 대비 0.6% 감소에 그쳤다.</x:v>
      </x:c>
      <x:c r="N94" s="444" t="str">
        <x:v>고수익 차종인 하이브리드차 판매 역시 주효했다.</x:v>
      </x:c>
      <x:c r="O94" s="444" t="str">
        <x:v>판매·생산량</x:v>
      </x:c>
      <x:c r="P94" s="444" t="str">
        <x:v>판매·생산량; 비율·증감률</x:v>
      </x:c>
      <x:c r="Q94" s="444" t="str">
        <x:v>[3.8, 4.2, 38.1, 0.6]</x:v>
      </x:c>
      <x:c r="R94" s="444" t="str">
        <x:v>['%', '%', '%', '%']</x:v>
      </x:c>
      <x:c r="S94" s="444" t="str">
        <x:v>[]</x:v>
      </x:c>
      <x:c r="T94" s="444" t="str">
        <x:v>[]</x:v>
      </x:c>
      <x:c r="U94" s="444" t="str">
        <x:v>20대</x:v>
      </x:c>
      <x:c r="V94" s="444" t="str"/>
      <x:c r="W94" s="444" t="str"/>
      <x:c r="X94" s="444" t="str"/>
      <x:c r="Y94" s="444" t="str"/>
      <x:c r="Z94" s="444" t="str"/>
      <x:c r="AA94" s="444" t="str"/>
      <x:c r="AB94" s="444" t="str"/>
      <x:c r="AC94" s="444" t="str"/>
      <x:c r="AD94" s="444" t="str"/>
      <x:c r="AE94" s="444" t="str"/>
      <x:c r="AF94" s="444" t="str"/>
      <x:c r="AG94" s="444" t="str"/>
      <x:c r="AH94" s="444" t="str"/>
      <x:c r="AI94" s="444" t="str">
        <x:v>판매·생산량 metric: 품목/산업별 표가 달라 자동 확정 불가</x:v>
      </x:c>
      <x:c r="AJ94" s="444" t="str">
        <x:v>검증불가</x:v>
      </x:c>
      <x:c r="AK94" s="444" t="str">
        <x:v>KOSIS 미제공</x:v>
      </x:c>
      <x:c r="AL94" s="444" t="str"/>
      <x:c r="AM94" s="444" t="str"/>
      <x:c r="AN94" s="444" t="str"/>
      <x:c r="AO94" s="444" t="str"/>
      <x:c r="AP94" s="444" t="str"/>
      <x:c r="AQ94" s="444" t="str"/>
      <x:c r="AR94" s="444" t="str"/>
      <x:c r="AS94" s="444" t="str"/>
      <x:c r="AT94" s="444" t="str"/>
      <x:c r="AU94" s="444" t="str"/>
      <x:c r="AV94" s="444" t="str"/>
      <x:c r="AW94" s="444" t="str">
        <x:v>N/A</x:v>
      </x:c>
      <x:c r="AX94" s="444" t="str"/>
      <x:c r="AY94" s="444" t="str"/>
      <x:c r="AZ94" s="444" t="str"/>
      <x:c r="BA94" s="444" t="str"/>
      <x:c r="BB94" s="444" t="str">
        <x:v>판단불가</x:v>
      </x:c>
      <x:c r="BC94" s="444" t="str">
        <x:v>대한민국 KOSIS 범위 밖의 해외 통계</x:v>
      </x:c>
      <x:c r="BD94" s="444" t="str">
        <x:v>N</x:v>
      </x:c>
      <x:c r="BE94" s="444" t="str">
        <x:v>KOSIS 미제공</x:v>
      </x:c>
      <x:c r="BF94" s="444" t="str"/>
      <x:c r="BG94" s="444" t="str"/>
      <x:c r="BH94" s="444" t="str"/>
      <x:c r="BI94" s="444" t="str"/>
      <x:c r="BJ94" s="444" t="str"/>
      <x:c r="BK94" s="444" t="str"/>
      <x:c r="BL94" s="444" t="str"/>
      <x:c r="BM94" s="444" t="str"/>
      <x:c r="BN94" s="444" t="str"/>
      <x:c r="BO94" s="444" t="str"/>
      <x:c r="BP94" s="444" t="str"/>
      <x:c r="BQ94" s="444" t="str">
        <x:v>현대차의 지역별 기업 판매실적으로 KOSIS 국내 소매판매액지수와 대상·정의가 다름</x:v>
      </x:c>
      <x:c r="BR94" s="444" t="str">
        <x:v>수동확정_검증불가</x:v>
      </x:c>
      <x:c r="BS94" s="444" t="str">
        <x:v>검증불가</x:v>
      </x:c>
      <x:c r="BT94" s="444" t="str">
        <x:v>Y</x:v>
      </x:c>
      <x:c r="BU94" s="444" t="str">
        <x:v>N/A</x:v>
      </x:c>
      <x:c r="BV94" s="444" t="str">
        <x:v>N/A</x:v>
      </x:c>
      <x:c r="BW94" s="444" t="str">
        <x:v>N/A</x:v>
      </x:c>
      <x:c r="BX94" s="444" t="str">
        <x:v>N/A</x:v>
      </x:c>
      <x:c r="BY94" s="444" t="str">
        <x:v>N/A</x:v>
      </x:c>
      <x:c r="BZ94" s="444" t="str">
        <x:v>N/A</x:v>
      </x:c>
      <x:c r="CA94" s="444" t="str">
        <x:v>N/A</x:v>
      </x:c>
      <x:c r="CB94" s="444" t="str">
        <x:v>N/A</x:v>
      </x:c>
      <x:c r="CC94" s="444" t="str"/>
      <x:c r="CD94" s="444" t="str"/>
    </x:row>
    <x:row r="95" ht="38" customHeight="1">
      <x:c r="A95" s="444" t="str">
        <x:v>94</x:v>
      </x:c>
      <x:c r="B95" s="444" t="str">
        <x:v>소매</x:v>
      </x:c>
      <x:c r="C95" s="444" t="str">
        <x:v>독립층화:증감률재검토</x:v>
      </x:c>
      <x:c r="D95" s="444" t="str">
        <x:v>증감률재검토</x:v>
      </x:c>
      <x:c r="E95" s="444" t="str">
        <x:v>재검토필요_증감률불일치</x:v>
      </x:c>
      <x:c r="F95" s="444" t="str">
        <x:v>outputs\bteam_review\final_verified_filled_2001_remapped_v6.csv</x:v>
      </x:c>
      <x:c r="G95" s="444" t="str">
        <x:v>C11936</x:v>
      </x:c>
      <x:c r="H95" s="444" t="str">
        <x:v>1553</x:v>
      </x:c>
      <x:c r="I95" s="444" t="str">
        <x:v>깊어지는 내수 부진 늪… 지난달 생산 0.9% 늘었지만 소비·투자 동반 하락</x:v>
      </x:c>
      <x:c r="J95" s="444" t="str">
        <x:v>2025-04-30</x:v>
      </x:c>
      <x:c r="K95" s="444" t="str">
        <x:v>https://www.chosun.com/economy/economy_general/2025/04/30/ECFB26C2WBBRNAOG4TUKJOGIOM</x:v>
      </x:c>
      <x:c r="L95" s="444" t="str">
        <x:v>이에 힘입어 전체 제조업 생산도 3.2% 증가하며 지난 2월(1.2%)에 이어 두 달째 증가세를 이어갔다.</x:v>
      </x:c>
      <x:c r="M95" s="444" t="str">
        <x:v>반면 물품 소비에 해당하는 소매판매는 전월 대비 0.3% 줄었다.</x:v>
      </x:c>
      <x:c r="N95" s="444" t="str">
        <x:v>소매판매는 지난 1월 0.6% 감소했다가 2월 1.9% 반등했는데, 지난달 다시 감소세로 전환한 것이다.</x:v>
      </x:c>
      <x:c r="O95" s="444" t="str">
        <x:v>비율·증감률</x:v>
      </x:c>
      <x:c r="P95" s="444" t="str">
        <x:v>비율·증감률</x:v>
      </x:c>
      <x:c r="Q95" s="444" t="str">
        <x:v>[0.3]</x:v>
      </x:c>
      <x:c r="R95" s="444" t="str">
        <x:v>['%']</x:v>
      </x:c>
      <x:c r="S95" s="444" t="str">
        <x:v>[]</x:v>
      </x:c>
      <x:c r="T95" s="444" t="str">
        <x:v>[]</x:v>
      </x:c>
      <x:c r="U95" s="444" t="str"/>
      <x:c r="V95" s="444" t="str">
        <x:v>101</x:v>
      </x:c>
      <x:c r="W95" s="444" t="str">
        <x:v>DT_1K41012</x:v>
      </x:c>
      <x:c r="X95" s="444" t="str">
        <x:v>G0</x:v>
      </x:c>
      <x:c r="Y95" s="444" t="str"/>
      <x:c r="Z95" s="444" t="str">
        <x:v>T2</x:v>
      </x:c>
      <x:c r="AA95" s="444" t="str">
        <x:v>M</x:v>
      </x:c>
      <x:c r="AB95" s="444" t="str">
        <x:v>CHANGE_RATE</x:v>
      </x:c>
      <x:c r="AC95" s="444" t="str">
        <x:v>0.3</x:v>
      </x:c>
      <x:c r="AD95" s="444" t="str">
        <x:v>202503</x:v>
      </x:c>
      <x:c r="AE95" s="444" t="str">
        <x:v>202502</x:v>
      </x:c>
      <x:c r="AF95" s="444" t="str">
        <x:v>10.8137045</x:v>
      </x:c>
      <x:c r="AG95" s="444" t="str">
        <x:v>불일치</x:v>
      </x:c>
      <x:c r="AH95" s="444" t="str"/>
      <x:c r="AI95" s="444" t="str">
        <x:v>전국/지역 미상 소매판매 claim이라 전국 소매판매액지수 표로 변경 | 상품군 obj_l1 직접 확인 필요 | 상품군 코드 자동 후보: 총지수(G0)</x:v>
      </x:c>
      <x:c r="AJ95" s="444" t="str">
        <x:v>검증가능</x:v>
      </x:c>
      <x:c r="AK95" s="444" t="str"/>
      <x:c r="AL95" s="444" t="str">
        <x:v>101</x:v>
      </x:c>
      <x:c r="AM95" s="444" t="str">
        <x:v>DT_1K41012</x:v>
      </x:c>
      <x:c r="AN95" s="444" t="str">
        <x:v>G0</x:v>
      </x:c>
      <x:c r="AO95" s="444" t="str"/>
      <x:c r="AP95" s="444" t="str">
        <x:v>T3</x:v>
      </x:c>
      <x:c r="AQ95" s="444" t="str">
        <x:v>M</x:v>
      </x:c>
      <x:c r="AR95" s="444" t="str">
        <x:v>-0.3</x:v>
      </x:c>
      <x:c r="AS95" s="444" t="str">
        <x:v>202503</x:v>
      </x:c>
      <x:c r="AT95" s="444" t="str">
        <x:v>202502</x:v>
      </x:c>
      <x:c r="AU95" s="444" t="str">
        <x:v>CHANGE_RATE</x:v>
      </x:c>
      <x:c r="AV95" s="444" t="str">
        <x:v>소매판매 계절조정 전월비</x:v>
      </x:c>
      <x:c r="AW95" s="444" t="str">
        <x:v>Y</x:v>
      </x:c>
      <x:c r="AX95" s="444" t="str">
        <x:v>-1.065891473</x:v>
      </x:c>
      <x:c r="AY95" s="444" t="str">
        <x:v>102.1</x:v>
      </x:c>
      <x:c r="AZ95" s="444" t="str">
        <x:v>103.2</x:v>
      </x:c>
      <x:c r="BA95" s="444" t="str">
        <x:v>2020＝100</x:v>
      </x:c>
      <x:c r="BB95" s="444" t="str">
        <x:v>불일치</x:v>
      </x:c>
      <x:c r="BC95" s="444" t="str"/>
      <x:c r="BD95" s="444" t="str">
        <x:v>Y</x:v>
      </x:c>
      <x:c r="BE95" s="444" t="str"/>
      <x:c r="BF95" s="444" t="str">
        <x:v>101</x:v>
      </x:c>
      <x:c r="BG95" s="444" t="str">
        <x:v>DT_1K41012</x:v>
      </x:c>
      <x:c r="BH95" s="444" t="str">
        <x:v>G0</x:v>
      </x:c>
      <x:c r="BI95" s="444" t="str"/>
      <x:c r="BJ95" s="444" t="str">
        <x:v>T3</x:v>
      </x:c>
      <x:c r="BK95" s="444" t="str">
        <x:v>M</x:v>
      </x:c>
      <x:c r="BL95" s="444" t="str">
        <x:v>-0.3</x:v>
      </x:c>
      <x:c r="BM95" s="444" t="str">
        <x:v>202503</x:v>
      </x:c>
      <x:c r="BN95" s="444" t="str">
        <x:v>202502</x:v>
      </x:c>
      <x:c r="BO95" s="444" t="str">
        <x:v>CHANGE_RATE</x:v>
      </x:c>
      <x:c r="BP95" s="444" t="str">
        <x:v>불일치</x:v>
      </x:c>
      <x:c r="BQ95" s="444" t="str">
        <x:v>소매판매액지수 202503=102.1, 202502=103.2, 전월비 -1.066%, 기사 주장 -0.3%와 0.766%p 차이로 불일치</x:v>
      </x:c>
      <x:c r="BR95" s="444" t="str">
        <x:v>수동확정_현재KOSIS개정치기준</x:v>
      </x:c>
      <x:c r="BS95" s="444" t="str">
        <x:v>검증가능</x:v>
      </x:c>
      <x:c r="BT95" s="444" t="str">
        <x:v>Y</x:v>
      </x:c>
      <x:c r="BU95" s="444" t="str">
        <x:v>Y</x:v>
      </x:c>
      <x:c r="BV95" s="444" t="str">
        <x:v>Y</x:v>
      </x:c>
      <x:c r="BW95" s="444" t="str">
        <x:v>Y</x:v>
      </x:c>
      <x:c r="BX95" s="444" t="str">
        <x:v>Y</x:v>
      </x:c>
      <x:c r="BY95" s="444" t="str">
        <x:v>Y</x:v>
      </x:c>
      <x:c r="BZ95" s="444" t="str">
        <x:v>Y</x:v>
      </x:c>
      <x:c r="CA95" s="444" t="str">
        <x:v>Y</x:v>
      </x:c>
      <x:c r="CB95" s="444" t="str">
        <x:v>Y</x:v>
      </x:c>
      <x:c r="CC95" s="444" t="str"/>
      <x:c r="CD95" s="444" t="str"/>
    </x:row>
    <x:row r="96" ht="38" customHeight="1">
      <x:c r="A96" s="444" t="str">
        <x:v>95</x:v>
      </x:c>
      <x:c r="B96" s="444" t="str">
        <x:v>소매</x:v>
      </x:c>
      <x:c r="C96" s="444" t="str">
        <x:v>독립층화:증감률재검토</x:v>
      </x:c>
      <x:c r="D96" s="444" t="str">
        <x:v>증감률재검토</x:v>
      </x:c>
      <x:c r="E96" s="444" t="str">
        <x:v>재검토필요_증감률불일치</x:v>
      </x:c>
      <x:c r="F96" s="444" t="str">
        <x:v>outputs\bteam_review\final_verified_filled_2001_remapped_v6.csv</x:v>
      </x:c>
      <x:c r="G96" s="444" t="str">
        <x:v>C11937</x:v>
      </x:c>
      <x:c r="H96" s="444" t="str">
        <x:v>1553</x:v>
      </x:c>
      <x:c r="I96" s="444" t="str">
        <x:v>깊어지는 내수 부진 늪… 지난달 생산 0.9% 늘었지만 소비·투자 동반 하락</x:v>
      </x:c>
      <x:c r="J96" s="444" t="str">
        <x:v>2025-04-30</x:v>
      </x:c>
      <x:c r="K96" s="444" t="str">
        <x:v>https://www.chosun.com/economy/economy_general/2025/04/30/ECFB26C2WBBRNAOG4TUKJOGIOM</x:v>
      </x:c>
      <x:c r="L96" s="444" t="str">
        <x:v>반면 물품 소비에 해당하는 소매판매는 전월 대비 0.3% 줄었다.</x:v>
      </x:c>
      <x:c r="M96" s="444" t="str">
        <x:v>소매판매는 지난 1월 0.6% 감소했다가 2월 1.9% 반등했는데, 지난달 다시 감소세로 전환한 것이다.</x:v>
      </x:c>
      <x:c r="N96" s="444" t="str">
        <x:v>2월 전기차 보조금을 조기 지급했던 게 지난달에는 소비 감소로 이어지며 승용차 소비가 5.3% 줄어드는 등 내구재 소비가 8.6% 감소한 영향이 컸다.</x:v>
      </x:c>
      <x:c r="O96" s="444" t="str">
        <x:v>비율·증감률</x:v>
      </x:c>
      <x:c r="P96" s="444" t="str">
        <x:v>비율·증감률; 날짜·시간</x:v>
      </x:c>
      <x:c r="Q96" s="444" t="str">
        <x:v>[1, 0.6, 2, 1.9]</x:v>
      </x:c>
      <x:c r="R96" s="444" t="str">
        <x:v>['월', '%', '월', '%']</x:v>
      </x:c>
      <x:c r="S96" s="444" t="str">
        <x:v>[]</x:v>
      </x:c>
      <x:c r="T96" s="444" t="str">
        <x:v>[]</x:v>
      </x:c>
      <x:c r="U96" s="444" t="str"/>
      <x:c r="V96" s="444" t="str">
        <x:v>101</x:v>
      </x:c>
      <x:c r="W96" s="444" t="str">
        <x:v>DT_1K41012</x:v>
      </x:c>
      <x:c r="X96" s="444" t="str">
        <x:v>G0</x:v>
      </x:c>
      <x:c r="Y96" s="444" t="str"/>
      <x:c r="Z96" s="444" t="str">
        <x:v>T2</x:v>
      </x:c>
      <x:c r="AA96" s="444" t="str">
        <x:v>M</x:v>
      </x:c>
      <x:c r="AB96" s="444" t="str">
        <x:v>CHANGE_RATE</x:v>
      </x:c>
      <x:c r="AC96" s="444" t="str">
        <x:v>1.9</x:v>
      </x:c>
      <x:c r="AD96" s="444" t="str">
        <x:v>202502</x:v>
      </x:c>
      <x:c r="AE96" s="444" t="str">
        <x:v>202501</x:v>
      </x:c>
      <x:c r="AF96" s="444" t="str">
        <x:v>-6.786427146</x:v>
      </x:c>
      <x:c r="AG96" s="444" t="str">
        <x:v>불일치</x:v>
      </x:c>
      <x:c r="AH96" s="444" t="str"/>
      <x:c r="AI96" s="444" t="str">
        <x:v>전국/지역 미상 소매판매 claim이라 전국 소매판매액지수 표로 변경 | 상품군 obj_l1 직접 확인 필요 | 상품군 코드 자동 후보: 총지수(G0)</x:v>
      </x:c>
      <x:c r="AJ96" s="444" t="str">
        <x:v>보류</x:v>
      </x:c>
      <x:c r="AK96" s="444" t="str"/>
      <x:c r="AL96" s="444" t="str"/>
      <x:c r="AM96" s="444" t="str"/>
      <x:c r="AN96" s="444" t="str"/>
      <x:c r="AO96" s="444" t="str"/>
      <x:c r="AP96" s="444" t="str"/>
      <x:c r="AQ96" s="444" t="str"/>
      <x:c r="AR96" s="444" t="str"/>
      <x:c r="AS96" s="444" t="str"/>
      <x:c r="AT96" s="444" t="str"/>
      <x:c r="AU96" s="444" t="str"/>
      <x:c r="AV96" s="444" t="str"/>
      <x:c r="AW96" s="444" t="str">
        <x:v>N/A</x:v>
      </x:c>
      <x:c r="AX96" s="444" t="str"/>
      <x:c r="AY96" s="444" t="str"/>
      <x:c r="AZ96" s="444" t="str"/>
      <x:c r="BA96" s="444" t="str"/>
      <x:c r="BB96" s="444" t="str"/>
      <x:c r="BC96" s="444" t="str"/>
      <x:c r="BD96" s="444" t="str">
        <x:v>Y</x:v>
      </x:c>
      <x:c r="BE96" s="444" t="str"/>
      <x:c r="BF96" s="444" t="str">
        <x:v>101</x:v>
      </x:c>
      <x:c r="BG96" s="444" t="str">
        <x:v>DT_1K41012</x:v>
      </x:c>
      <x:c r="BH96" s="444" t="str">
        <x:v>G0</x:v>
      </x:c>
      <x:c r="BI96" s="444" t="str"/>
      <x:c r="BJ96" s="444" t="str">
        <x:v>T3</x:v>
      </x:c>
      <x:c r="BK96" s="444" t="str">
        <x:v>M</x:v>
      </x:c>
      <x:c r="BL96" s="444" t="str">
        <x:v>1.9</x:v>
      </x:c>
      <x:c r="BM96" s="444" t="str">
        <x:v>202502</x:v>
      </x:c>
      <x:c r="BN96" s="444" t="str">
        <x:v>202501</x:v>
      </x:c>
      <x:c r="BO96" s="444" t="str">
        <x:v>CHANGE_RATE</x:v>
      </x:c>
      <x:c r="BP96" s="444" t="str">
        <x:v>불일치</x:v>
      </x:c>
      <x:c r="BQ96" s="444" t="str">
        <x:v>현재 KOSIS 소매판매 계절조정지수는 2025년 1월 101.6, 2월 103.2로 +1.575%. 기사 발표시점 수치 +1.9%와 0.325%p 차이로 현행 0.3%p 허용오차를 소폭 초과하며, 개정치 기준 불일치</x:v>
      </x:c>
      <x:c r="BR96" s="444" t="str">
        <x:v>수동확정_현재KOSIS개정치기준</x:v>
      </x:c>
      <x:c r="BS96" s="444" t="str">
        <x:v>검증가능</x:v>
      </x:c>
      <x:c r="BT96" s="444" t="str">
        <x:v>N</x:v>
      </x:c>
      <x:c r="BU96" s="444" t="str">
        <x:v>N</x:v>
      </x:c>
      <x:c r="BV96" s="444" t="str">
        <x:v>N</x:v>
      </x:c>
      <x:c r="BW96" s="444" t="str">
        <x:v>N</x:v>
      </x:c>
      <x:c r="BX96" s="444" t="str">
        <x:v>N</x:v>
      </x:c>
      <x:c r="BY96" s="444" t="str">
        <x:v>N</x:v>
      </x:c>
      <x:c r="BZ96" s="444" t="str">
        <x:v>N</x:v>
      </x:c>
      <x:c r="CA96" s="444" t="str">
        <x:v>N</x:v>
      </x:c>
      <x:c r="CB96" s="444" t="str">
        <x:v>N</x:v>
      </x:c>
      <x:c r="CC96" s="444" t="str">
        <x:v>검증가능여부;통계표;항목;시점;주장수치;비교방식;최종판정</x:v>
      </x:c>
      <x:c r="CD96" s="444" t="str">
        <x:v>검증가능 지표를 코드북이 지원하지 않아 보류</x:v>
      </x:c>
    </x:row>
    <x:row r="97" ht="38" customHeight="1">
      <x:c r="A97" s="444" t="str">
        <x:v>96</x:v>
      </x:c>
      <x:c r="B97" s="444" t="str">
        <x:v>소매</x:v>
      </x:c>
      <x:c r="C97" s="444" t="str">
        <x:v>독립층화:증감률재검토</x:v>
      </x:c>
      <x:c r="D97" s="444" t="str">
        <x:v>증감률재검토</x:v>
      </x:c>
      <x:c r="E97" s="444" t="str">
        <x:v>재검토필요_증감률불일치</x:v>
      </x:c>
      <x:c r="F97" s="444" t="str">
        <x:v>outputs\bteam_review\final_verified_filled_2001_remapped_v6.csv</x:v>
      </x:c>
      <x:c r="G97" s="444" t="str">
        <x:v>C14971</x:v>
      </x:c>
      <x:c r="H97" s="444" t="str">
        <x:v>1968</x:v>
      </x:c>
      <x:c r="I97" s="444" t="str">
        <x:v>하나증권 “중고차 시장 호조에 렌터카 기업도 수혜”</x:v>
      </x:c>
      <x:c r="J97" s="444" t="str">
        <x:v>2025-06-01</x:v>
      </x:c>
      <x:c r="K97" s="444" t="str">
        <x:v>https://www.chosun.com/economy/money/2025/06/01/7EPHL77GTDGYVQ3JO26NURCHV4</x:v>
      </x:c>
      <x:c r="L97" s="444" t="str">
        <x:v>1일 하나증권은 리포트를 내고 중고차 경매시장의 호조가 중고차 가격을 지지하며 신차 시장을 아웃퍼폼(평균보다 성과가 좋은 것)하고 있다고 분석했다.</x:v>
      </x:c>
      <x:c r="M97" s="444" t="str">
        <x:v>케이카의 올해 1분기 실적에 따르면 중고차의 소매 평균거래가격(ASP)은 전년 대비 3% 상승했지만, 소매판매 대수는 5% 감소했다.</x:v>
      </x:c>
      <x:c r="N97" s="444" t="str">
        <x:v>반면 경매 ASP는 전년보다 17%나 높아지고 경매 판매 대수도 같은 기간 9% 늘었다.</x:v>
      </x:c>
      <x:c r="O97" s="444" t="str">
        <x:v>비율·증감률</x:v>
      </x:c>
      <x:c r="P97" s="444" t="str">
        <x:v>비율·증감률; 날짜·시간</x:v>
      </x:c>
      <x:c r="Q97" s="444" t="str">
        <x:v>[1, 3, 5]</x:v>
      </x:c>
      <x:c r="R97" s="444" t="str">
        <x:v>['분', '%', '%']</x:v>
      </x:c>
      <x:c r="S97" s="444" t="str">
        <x:v>[]</x:v>
      </x:c>
      <x:c r="T97" s="444" t="str">
        <x:v>[]</x:v>
      </x:c>
      <x:c r="U97" s="444" t="str"/>
      <x:c r="V97" s="444" t="str">
        <x:v>101</x:v>
      </x:c>
      <x:c r="W97" s="444" t="str">
        <x:v>DT_1K41012</x:v>
      </x:c>
      <x:c r="X97" s="444" t="str">
        <x:v>G0</x:v>
      </x:c>
      <x:c r="Y97" s="444" t="str"/>
      <x:c r="Z97" s="444" t="str">
        <x:v>T2</x:v>
      </x:c>
      <x:c r="AA97" s="444" t="str">
        <x:v>Q</x:v>
      </x:c>
      <x:c r="AB97" s="444" t="str">
        <x:v>CHANGE_RATE</x:v>
      </x:c>
      <x:c r="AC97" s="444" t="str">
        <x:v>5</x:v>
      </x:c>
      <x:c r="AD97" s="444" t="str">
        <x:v>202401</x:v>
      </x:c>
      <x:c r="AE97" s="444" t="str">
        <x:v>202301</x:v>
      </x:c>
      <x:c r="AF97" s="444" t="str">
        <x:v>-1.480750247</x:v>
      </x:c>
      <x:c r="AG97" s="444" t="str">
        <x:v>불일치</x:v>
      </x:c>
      <x:c r="AH97" s="444" t="str"/>
      <x:c r="AI97" s="444" t="str">
        <x:v>전국/지역 미상 소매판매 claim이라 전국 소매판매액지수 표로 변경 | 상품군 obj_l1 직접 확인 필요 | 상품군 코드 자동 후보: 총지수(G0)</x:v>
      </x:c>
      <x:c r="AJ97" s="444" t="str">
        <x:v>검증가능</x:v>
      </x:c>
      <x:c r="AK97" s="444" t="str"/>
      <x:c r="AL97" s="444" t="str">
        <x:v>101</x:v>
      </x:c>
      <x:c r="AM97" s="444" t="str">
        <x:v>DT_1K41012</x:v>
      </x:c>
      <x:c r="AN97" s="444" t="str">
        <x:v>G0</x:v>
      </x:c>
      <x:c r="AO97" s="444" t="str"/>
      <x:c r="AP97" s="444" t="str">
        <x:v>T2</x:v>
      </x:c>
      <x:c r="AQ97" s="444" t="str">
        <x:v>Q</x:v>
      </x:c>
      <x:c r="AR97" s="444" t="str">
        <x:v>3</x:v>
      </x:c>
      <x:c r="AS97" s="444" t="str">
        <x:v>202501</x:v>
      </x:c>
      <x:c r="AT97" s="444" t="str">
        <x:v>202401</x:v>
      </x:c>
      <x:c r="AU97" s="444" t="str">
        <x:v>CHANGE_RATE</x:v>
      </x:c>
      <x:c r="AV97" s="444" t="str">
        <x:v>소매판매 분기 증감률</x:v>
      </x:c>
      <x:c r="AW97" s="444" t="str">
        <x:v>Y</x:v>
      </x:c>
      <x:c r="AX97" s="444" t="str">
        <x:v>-0.801603206</x:v>
      </x:c>
      <x:c r="AY97" s="444" t="str">
        <x:v>99</x:v>
      </x:c>
      <x:c r="AZ97" s="444" t="str">
        <x:v>99.8</x:v>
      </x:c>
      <x:c r="BA97" s="444" t="str">
        <x:v>2020＝100</x:v>
      </x:c>
      <x:c r="BB97" s="444" t="str">
        <x:v>불일치</x:v>
      </x:c>
      <x:c r="BC97" s="444" t="str"/>
      <x:c r="BD97" s="444" t="str">
        <x:v>N</x:v>
      </x:c>
      <x:c r="BE97" s="444" t="str">
        <x:v>KOSIS 미제공</x:v>
      </x:c>
      <x:c r="BF97" s="444" t="str"/>
      <x:c r="BG97" s="444" t="str"/>
      <x:c r="BH97" s="444" t="str"/>
      <x:c r="BI97" s="444" t="str"/>
      <x:c r="BJ97" s="444" t="str"/>
      <x:c r="BK97" s="444" t="str"/>
      <x:c r="BL97" s="444" t="str"/>
      <x:c r="BM97" s="444" t="str"/>
      <x:c r="BN97" s="444" t="str"/>
      <x:c r="BO97" s="444" t="str"/>
      <x:c r="BP97" s="444" t="str"/>
      <x:c r="BQ97" s="444" t="str">
        <x:v>케이카 개별 기업의 중고차 평균거래가격과 판매대수 실적으로, 국내 전체 소매판매액지수와 정의가 다르고 동일한 KOSIS 관측값이 없음</x:v>
      </x:c>
      <x:c r="BR97" s="444" t="str">
        <x:v>수동확정_검증불가</x:v>
      </x:c>
      <x:c r="BS97" s="444" t="str">
        <x:v>검증불가</x:v>
      </x:c>
      <x:c r="BT97" s="444" t="str">
        <x:v>N</x:v>
      </x:c>
      <x:c r="BU97" s="444" t="str">
        <x:v>N/A</x:v>
      </x:c>
      <x:c r="BV97" s="444" t="str">
        <x:v>N/A</x:v>
      </x:c>
      <x:c r="BW97" s="444" t="str">
        <x:v>N/A</x:v>
      </x:c>
      <x:c r="BX97" s="444" t="str">
        <x:v>N/A</x:v>
      </x:c>
      <x:c r="BY97" s="444" t="str">
        <x:v>N/A</x:v>
      </x:c>
      <x:c r="BZ97" s="444" t="str">
        <x:v>N/A</x:v>
      </x:c>
      <x:c r="CA97" s="444" t="str">
        <x:v>N/A</x:v>
      </x:c>
      <x:c r="CB97" s="444" t="str">
        <x:v>N/A</x:v>
      </x:c>
      <x:c r="CC97" s="444" t="str">
        <x:v>검증가능여부</x:v>
      </x:c>
      <x:c r="CD97" s="444" t="str">
        <x:v>검증불가 주장을 KOSIS 표에 과매핑</x:v>
      </x:c>
    </x:row>
    <x:row r="98" ht="38" customHeight="1">
      <x:c r="A98" s="444" t="str">
        <x:v>97</x:v>
      </x:c>
      <x:c r="B98" s="444" t="str">
        <x:v>소매</x:v>
      </x:c>
      <x:c r="C98" s="444" t="str">
        <x:v>독립층화:보충</x:v>
      </x:c>
      <x:c r="D98" s="444" t="str">
        <x:v>판단불가</x:v>
      </x:c>
      <x:c r="E98" s="444" t="str"/>
      <x:c r="F98" s="444" t="str">
        <x:v>outputs\archive\bteam_poc_20260714\bteam_verification\bteam_kosis_review_manual_prioritized_4403.csv</x:v>
      </x:c>
      <x:c r="G98" s="444" t="str">
        <x:v>C16528</x:v>
      </x:c>
      <x:c r="H98" s="444" t="str">
        <x:v>2175</x:v>
      </x:c>
      <x:c r="I98" s="444" t="str">
        <x:v>5월 자동차 내수 판매, 친환경차가 내연차 첫 역전</x:v>
      </x:c>
      <x:c r="J98" s="444" t="str">
        <x:v>2025-06-17</x:v>
      </x:c>
      <x:c r="K98" s="444" t="str">
        <x:v>https://www.chosun.com/economy/auto/2025/06/17/7Q5BOD7QBZFKDGBIM5BG2IXI5U</x:v>
      </x:c>
      <x:c r="L98" s="444" t="str">
        <x:v>산업통상자원부가 17일 이 같은 내용을 담은 ‘2025년 5월 자동차 산업 동향’을 발표했다.</x:v>
      </x:c>
      <x:c r="M98" s="444" t="str">
        <x:v>이에 따르면 지난 5월 국내 자동차 판매량은 14만1865대로 작년 같은 달보다 0.4% 늘었다.</x:v>
      </x:c>
      <x:c r="N98" s="444" t="str">
        <x:v>지난달 국내 친환경차 판매량은 7만3511대로, 전년 동기 대비 39.0% 증가했다.</x:v>
      </x:c>
      <x:c r="O98" s="444" t="str">
        <x:v>판매·생산량</x:v>
      </x:c>
      <x:c r="P98" s="444" t="str">
        <x:v>판매·생산량; 비율·증감률; 날짜·시간</x:v>
      </x:c>
      <x:c r="Q98" s="444" t="str">
        <x:v>[5, 0.4]</x:v>
      </x:c>
      <x:c r="R98" s="444" t="str">
        <x:v>['월', '%']</x:v>
      </x:c>
      <x:c r="S98" s="444" t="str">
        <x:v>[]</x:v>
      </x:c>
      <x:c r="T98" s="444" t="str">
        <x:v>[]</x:v>
      </x:c>
      <x:c r="U98" s="444" t="str"/>
      <x:c r="V98" s="444" t="str"/>
      <x:c r="W98" s="444" t="str"/>
      <x:c r="X98" s="444" t="str"/>
      <x:c r="Y98" s="444" t="str"/>
      <x:c r="Z98" s="444" t="str"/>
      <x:c r="AA98" s="444" t="str"/>
      <x:c r="AB98" s="444" t="str"/>
      <x:c r="AC98" s="444" t="str"/>
      <x:c r="AD98" s="444" t="str"/>
      <x:c r="AE98" s="444" t="str"/>
      <x:c r="AF98" s="444" t="str"/>
      <x:c r="AG98" s="444" t="str"/>
      <x:c r="AH98" s="444" t="str"/>
      <x:c r="AI98" s="444" t="str">
        <x:v>판매·생산량 metric: 품목/산업별 표가 달라 자동 확정 불가</x:v>
      </x:c>
      <x:c r="AJ98" s="444" t="str">
        <x:v>보류</x:v>
      </x:c>
      <x:c r="AK98" s="444" t="str"/>
      <x:c r="AL98" s="444" t="str"/>
      <x:c r="AM98" s="444" t="str"/>
      <x:c r="AN98" s="444" t="str"/>
      <x:c r="AO98" s="444" t="str"/>
      <x:c r="AP98" s="444" t="str"/>
      <x:c r="AQ98" s="444" t="str"/>
      <x:c r="AR98" s="444" t="str"/>
      <x:c r="AS98" s="444" t="str"/>
      <x:c r="AT98" s="444" t="str"/>
      <x:c r="AU98" s="444" t="str"/>
      <x:c r="AV98" s="444" t="str"/>
      <x:c r="AW98" s="444" t="str">
        <x:v>N/A</x:v>
      </x:c>
      <x:c r="AX98" s="444" t="str"/>
      <x:c r="AY98" s="444" t="str"/>
      <x:c r="AZ98" s="444" t="str"/>
      <x:c r="BA98" s="444" t="str"/>
      <x:c r="BB98" s="444" t="str"/>
      <x:c r="BC98" s="444" t="str"/>
      <x:c r="BD98" s="444" t="str">
        <x:v>N</x:v>
      </x:c>
      <x:c r="BE98" s="444" t="str">
        <x:v>KOSIS 미제공</x:v>
      </x:c>
      <x:c r="BF98" s="444" t="str"/>
      <x:c r="BG98" s="444" t="str"/>
      <x:c r="BH98" s="444" t="str"/>
      <x:c r="BI98" s="444" t="str"/>
      <x:c r="BJ98" s="444" t="str"/>
      <x:c r="BK98" s="444" t="str"/>
      <x:c r="BL98" s="444" t="str"/>
      <x:c r="BM98" s="444" t="str"/>
      <x:c r="BN98" s="444" t="str"/>
      <x:c r="BO98" s="444" t="str"/>
      <x:c r="BP98" s="444" t="str"/>
      <x:c r="BQ98" s="444" t="str">
        <x:v>산업통상자원부 자동차산업동향의 월간 국내 판매량 141,865대와 친환경차 분류는 KOSIS에서 동일 월간 산업 집계를 제공하지 않음</x:v>
      </x:c>
      <x:c r="BR98" s="444" t="str">
        <x:v>수동확정_검증불가</x:v>
      </x:c>
      <x:c r="BS98" s="444" t="str">
        <x:v>검증불가</x:v>
      </x:c>
      <x:c r="BT98" s="444" t="str">
        <x:v>N</x:v>
      </x:c>
      <x:c r="BU98" s="444" t="str">
        <x:v>N/A</x:v>
      </x:c>
      <x:c r="BV98" s="444" t="str">
        <x:v>N/A</x:v>
      </x:c>
      <x:c r="BW98" s="444" t="str">
        <x:v>N/A</x:v>
      </x:c>
      <x:c r="BX98" s="444" t="str">
        <x:v>N/A</x:v>
      </x:c>
      <x:c r="BY98" s="444" t="str">
        <x:v>N/A</x:v>
      </x:c>
      <x:c r="BZ98" s="444" t="str">
        <x:v>N/A</x:v>
      </x:c>
      <x:c r="CA98" s="444" t="str">
        <x:v>N/A</x:v>
      </x:c>
      <x:c r="CB98" s="444" t="str">
        <x:v>N/A</x:v>
      </x:c>
      <x:c r="CC98" s="444" t="str">
        <x:v>검증가능여부</x:v>
      </x:c>
      <x:c r="CD98" s="444" t="str">
        <x:v>검증불가 사유를 자동 분류하지 못해 보류</x:v>
      </x:c>
    </x:row>
    <x:row r="99" ht="38" customHeight="1">
      <x:c r="A99" s="444" t="str">
        <x:v>98</x:v>
      </x:c>
      <x:c r="B99" s="444" t="str">
        <x:v>소매</x:v>
      </x:c>
      <x:c r="C99" s="444" t="str">
        <x:v>독립층화:판단불가</x:v>
      </x:c>
      <x:c r="D99" s="444" t="str">
        <x:v>판단불가</x:v>
      </x:c>
      <x:c r="E99" s="444" t="str"/>
      <x:c r="F99" s="444" t="str">
        <x:v>outputs\archive\bteam_poc_20260714\bteam_verification\bteam_kosis_review_manual_prioritized_4403.csv</x:v>
      </x:c>
      <x:c r="G99" s="444" t="str">
        <x:v>C17314</x:v>
      </x:c>
      <x:c r="H99" s="444" t="str">
        <x:v>2275</x:v>
      </x:c>
      <x:c r="I99" s="444" t="str">
        <x:v>“無알코올로 마셔요”… 술 시장 바꾸는 글로벌 MZ세대</x:v>
      </x:c>
      <x:c r="J99" s="444" t="str">
        <x:v>2025-06-24</x:v>
      </x:c>
      <x:c r="K99" s="444" t="str">
        <x:v>https://www.chosun.com/economy/industry-company/2025/06/24/WGB5XVP2ORAXPIAAGGB6XNXD44</x:v>
      </x:c>
      <x:c r="L99" s="444" t="str">
        <x:v>글로벌 주류 시장 조사 업체인 영국 IWSR은 최근 “무알코올 맥주 소비량이 올해 맥주 판매량 2위 카테고리인 에일 맥주를 넘어설 것”이라고 발표했다.</x:v>
      </x:c>
      <x:c r="M99" s="444" t="str">
        <x:v>알코올이 전혀 포함돼 있지 않거나 미량 들어간 이른바 ‘무알코올 맥주’ 판매량이 지난해 9% 늘어나며, 이제는 글로벌 맥주 소비 1위인 라거 맥주에 이어 2위 자리를 꿰차는 상황까지 온 것이다.</x:v>
      </x:c>
      <x:c r="N99" s="444" t="str">
        <x:v>반면 지난해 세계 주류 소비량은 1년 전보다 1% 감소했다는 것이 IWSR의 조사 결과다.</x:v>
      </x:c>
      <x:c r="O99" s="444" t="str">
        <x:v>판매·생산량</x:v>
      </x:c>
      <x:c r="P99" s="444" t="str">
        <x:v>판매·생산량; 비율·증감률</x:v>
      </x:c>
      <x:c r="Q99" s="444" t="str">
        <x:v>[9]</x:v>
      </x:c>
      <x:c r="R99" s="444" t="str">
        <x:v>['%']</x:v>
      </x:c>
      <x:c r="S99" s="444" t="str">
        <x:v>[]</x:v>
      </x:c>
      <x:c r="T99" s="444" t="str">
        <x:v>[]</x:v>
      </x:c>
      <x:c r="U99" s="444" t="str"/>
      <x:c r="V99" s="444" t="str"/>
      <x:c r="W99" s="444" t="str"/>
      <x:c r="X99" s="444" t="str"/>
      <x:c r="Y99" s="444" t="str"/>
      <x:c r="Z99" s="444" t="str"/>
      <x:c r="AA99" s="444" t="str"/>
      <x:c r="AB99" s="444" t="str"/>
      <x:c r="AC99" s="444" t="str"/>
      <x:c r="AD99" s="444" t="str"/>
      <x:c r="AE99" s="444" t="str"/>
      <x:c r="AF99" s="444" t="str"/>
      <x:c r="AG99" s="444" t="str"/>
      <x:c r="AH99" s="444" t="str"/>
      <x:c r="AI99" s="444" t="str">
        <x:v>판매·생산량 metric: 품목/산업별 표가 달라 자동 확정 불가</x:v>
      </x:c>
      <x:c r="AJ99" s="444" t="str">
        <x:v>보류</x:v>
      </x:c>
      <x:c r="AK99" s="444" t="str"/>
      <x:c r="AL99" s="444" t="str"/>
      <x:c r="AM99" s="444" t="str"/>
      <x:c r="AN99" s="444" t="str"/>
      <x:c r="AO99" s="444" t="str"/>
      <x:c r="AP99" s="444" t="str"/>
      <x:c r="AQ99" s="444" t="str"/>
      <x:c r="AR99" s="444" t="str"/>
      <x:c r="AS99" s="444" t="str"/>
      <x:c r="AT99" s="444" t="str"/>
      <x:c r="AU99" s="444" t="str"/>
      <x:c r="AV99" s="444" t="str"/>
      <x:c r="AW99" s="444" t="str">
        <x:v>N/A</x:v>
      </x:c>
      <x:c r="AX99" s="444" t="str"/>
      <x:c r="AY99" s="444" t="str"/>
      <x:c r="AZ99" s="444" t="str"/>
      <x:c r="BA99" s="444" t="str"/>
      <x:c r="BB99" s="444" t="str"/>
      <x:c r="BC99" s="444" t="str"/>
      <x:c r="BD99" s="444" t="str">
        <x:v>N</x:v>
      </x:c>
      <x:c r="BE99" s="444" t="str">
        <x:v>KOSIS 미제공</x:v>
      </x:c>
      <x:c r="BF99" s="444" t="str"/>
      <x:c r="BG99" s="444" t="str"/>
      <x:c r="BH99" s="444" t="str"/>
      <x:c r="BI99" s="444" t="str"/>
      <x:c r="BJ99" s="444" t="str"/>
      <x:c r="BK99" s="444" t="str"/>
      <x:c r="BL99" s="444" t="str"/>
      <x:c r="BM99" s="444" t="str"/>
      <x:c r="BN99" s="444" t="str"/>
      <x:c r="BO99" s="444" t="str"/>
      <x:c r="BP99" s="444" t="str"/>
      <x:c r="BQ99" s="444" t="str">
        <x:v>영국 IWSR의 세계 무알코올 맥주 판매량·글로벌 맥주 카테고리 순위는 해외 민간 시장조사로 KOSIS 범위 밖임</x:v>
      </x:c>
      <x:c r="BR99" s="444" t="str">
        <x:v>수동확정_검증불가</x:v>
      </x:c>
      <x:c r="BS99" s="444" t="str">
        <x:v>검증불가</x:v>
      </x:c>
      <x:c r="BT99" s="444" t="str">
        <x:v>N</x:v>
      </x:c>
      <x:c r="BU99" s="444" t="str">
        <x:v>N/A</x:v>
      </x:c>
      <x:c r="BV99" s="444" t="str">
        <x:v>N/A</x:v>
      </x:c>
      <x:c r="BW99" s="444" t="str">
        <x:v>N/A</x:v>
      </x:c>
      <x:c r="BX99" s="444" t="str">
        <x:v>N/A</x:v>
      </x:c>
      <x:c r="BY99" s="444" t="str">
        <x:v>N/A</x:v>
      </x:c>
      <x:c r="BZ99" s="444" t="str">
        <x:v>N/A</x:v>
      </x:c>
      <x:c r="CA99" s="444" t="str">
        <x:v>N/A</x:v>
      </x:c>
      <x:c r="CB99" s="444" t="str">
        <x:v>N/A</x:v>
      </x:c>
      <x:c r="CC99" s="444" t="str">
        <x:v>검증가능여부</x:v>
      </x:c>
      <x:c r="CD99" s="444" t="str">
        <x:v>검증불가 사유를 자동 분류하지 못해 보류</x:v>
      </x:c>
    </x:row>
    <x:row r="100" ht="38" customHeight="1">
      <x:c r="A100" s="444" t="str">
        <x:v>99</x:v>
      </x:c>
      <x:c r="B100" s="444" t="str">
        <x:v>소매</x:v>
      </x:c>
      <x:c r="C100" s="444" t="str">
        <x:v>독립층화:보충</x:v>
      </x:c>
      <x:c r="D100" s="444" t="str">
        <x:v>판단불가</x:v>
      </x:c>
      <x:c r="E100" s="444" t="str"/>
      <x:c r="F100" s="444" t="str">
        <x:v>outputs\archive\bteam_poc_20260714\bteam_verification\bteam_kosis_review_manual_prioritized_4403.csv</x:v>
      </x:c>
      <x:c r="G100" s="444" t="str">
        <x:v>C19263</x:v>
      </x:c>
      <x:c r="H100" s="444" t="str">
        <x:v>2528</x:v>
      </x:c>
      <x:c r="I100" s="444" t="str">
        <x:v>뜨거운 땅과 바다… 배추 값 27% 뛰고, 우럭은 폐사 위기</x:v>
      </x:c>
      <x:c r="J100" s="444" t="str">
        <x:v>2025-07-14</x:v>
      </x:c>
      <x:c r="K100" s="444" t="str">
        <x:v>https://www.chosun.com/economy/economy_general/2025/07/14/OOVM3JHTJZAK7MRNMYFZ3PTFGY</x:v>
      </x:c>
      <x:c r="L100" s="444" t="str">
        <x:v>우럭처럼 작년 고수온 피해가 컸던 홍합과 멍게도 상황은 마찬가지다.</x:v>
      </x:c>
      <x:c r="M100" s="444" t="str">
        <x:v>지난 1~5월 홍합 생산량은 전년 대비 68% 급감했고, 멍게도 1~6월 생산량이 전년 대비 30.6% 감소했다.</x:v>
      </x:c>
      <x:c r="N100" s="444" t="str">
        <x:v>한국수산업경영인중앙연합회 관계자는 “올해도 작년처럼 고수온 현상이 지속되면 우럭과 홍합, 멍게 집단 폐사는 시간문제일 것”이라고 했다.</x:v>
      </x:c>
      <x:c r="O100" s="444" t="str">
        <x:v>판매·생산량</x:v>
      </x:c>
      <x:c r="P100" s="444" t="str">
        <x:v>판매·생산량; 비율·증감률; 날짜·시간</x:v>
      </x:c>
      <x:c r="Q100" s="444" t="str">
        <x:v>[5, 68, 6, 30.6]</x:v>
      </x:c>
      <x:c r="R100" s="444" t="str">
        <x:v>['월', '%', '월', '%']</x:v>
      </x:c>
      <x:c r="S100" s="444" t="str">
        <x:v>[]</x:v>
      </x:c>
      <x:c r="T100" s="444" t="str">
        <x:v>[]</x:v>
      </x:c>
      <x:c r="U100" s="444" t="str"/>
      <x:c r="V100" s="444" t="str"/>
      <x:c r="W100" s="444" t="str"/>
      <x:c r="X100" s="444" t="str"/>
      <x:c r="Y100" s="444" t="str"/>
      <x:c r="Z100" s="444" t="str"/>
      <x:c r="AA100" s="444" t="str"/>
      <x:c r="AB100" s="444" t="str"/>
      <x:c r="AC100" s="444" t="str"/>
      <x:c r="AD100" s="444" t="str"/>
      <x:c r="AE100" s="444" t="str"/>
      <x:c r="AF100" s="444" t="str"/>
      <x:c r="AG100" s="444" t="str"/>
      <x:c r="AH100" s="444" t="str"/>
      <x:c r="AI100" s="444" t="str">
        <x:v>판매·생산량 metric: 품목/산업별 표가 달라 자동 확정 불가</x:v>
      </x:c>
      <x:c r="AJ100" s="444" t="str">
        <x:v>보류</x:v>
      </x:c>
      <x:c r="AK100" s="444" t="str"/>
      <x:c r="AL100" s="444" t="str"/>
      <x:c r="AM100" s="444" t="str"/>
      <x:c r="AN100" s="444" t="str"/>
      <x:c r="AO100" s="444" t="str"/>
      <x:c r="AP100" s="444" t="str"/>
      <x:c r="AQ100" s="444" t="str"/>
      <x:c r="AR100" s="444" t="str"/>
      <x:c r="AS100" s="444" t="str"/>
      <x:c r="AT100" s="444" t="str"/>
      <x:c r="AU100" s="444" t="str"/>
      <x:c r="AV100" s="444" t="str"/>
      <x:c r="AW100" s="444" t="str">
        <x:v>N/A</x:v>
      </x:c>
      <x:c r="AX100" s="444" t="str"/>
      <x:c r="AY100" s="444" t="str"/>
      <x:c r="AZ100" s="444" t="str"/>
      <x:c r="BA100" s="444" t="str"/>
      <x:c r="BB100" s="444" t="str"/>
      <x:c r="BC100" s="444" t="str"/>
      <x:c r="BD100" s="444" t="str">
        <x:v>Y</x:v>
      </x:c>
      <x:c r="BE100" s="444" t="str"/>
      <x:c r="BF100" s="444" t="str">
        <x:v>101</x:v>
      </x:c>
      <x:c r="BG100" s="444" t="str">
        <x:v>DT_1EW0004</x:v>
      </x:c>
      <x:c r="BH100" s="444" t="str">
        <x:v>2</x:v>
      </x:c>
      <x:c r="BI100" s="444" t="str">
        <x:v>230354|00|0</x:v>
      </x:c>
      <x:c r="BJ100" s="444" t="str">
        <x:v>T01</x:v>
      </x:c>
      <x:c r="BK100" s="444" t="str">
        <x:v>M</x:v>
      </x:c>
      <x:c r="BL100" s="444" t="str">
        <x:v>-68</x:v>
      </x:c>
      <x:c r="BM100" s="444" t="str">
        <x:v>202501:202505</x:v>
      </x:c>
      <x:c r="BN100" s="444" t="str">
        <x:v>202401:202405</x:v>
      </x:c>
      <x:c r="BO100" s="444" t="str">
        <x:v>SUM_PERIODS_CHANGE_RATE</x:v>
      </x:c>
      <x:c r="BP100" s="444" t="str">
        <x:v>일치</x:v>
      </x:c>
      <x:c r="BQ100" s="444" t="str">
        <x:v>KOSIS 해면양식 홍합 생산량은 2024년 1~5월 38,357.2톤, 2025년 1~5월 12,263톤으로 -68.029%, 기사 -68%와 일치. 같은 문장의 멍게 -30.6%는 현재 KOSIS 개정치와 달라 별도 주장으로 분리 필요</x:v>
      </x:c>
      <x:c r="BR100" s="444" t="str">
        <x:v>수동확정_첫번째수치기준_복합문장분리필요</x:v>
      </x:c>
      <x:c r="BS100" s="444" t="str">
        <x:v>검증가능</x:v>
      </x:c>
      <x:c r="BT100" s="444" t="str">
        <x:v>N</x:v>
      </x:c>
      <x:c r="BU100" s="444" t="str">
        <x:v>N</x:v>
      </x:c>
      <x:c r="BV100" s="444" t="str">
        <x:v>N</x:v>
      </x:c>
      <x:c r="BW100" s="444" t="str">
        <x:v>N</x:v>
      </x:c>
      <x:c r="BX100" s="444" t="str">
        <x:v>N</x:v>
      </x:c>
      <x:c r="BY100" s="444" t="str">
        <x:v>N</x:v>
      </x:c>
      <x:c r="BZ100" s="444" t="str">
        <x:v>N</x:v>
      </x:c>
      <x:c r="CA100" s="444" t="str">
        <x:v>N</x:v>
      </x:c>
      <x:c r="CB100" s="444" t="str">
        <x:v>N</x:v>
      </x:c>
      <x:c r="CC100" s="444" t="str">
        <x:v>검증가능여부;통계표;항목;시점;주장수치;비교방식;최종판정</x:v>
      </x:c>
      <x:c r="CD100" s="444" t="str">
        <x:v>검증가능 지표를 코드북이 지원하지 않아 보류</x:v>
      </x:c>
    </x:row>
    <x:row r="101" ht="38" customHeight="1">
      <x:c r="A101" s="444" t="str">
        <x:v>100</x:v>
      </x:c>
      <x:c r="B101" s="444" t="str">
        <x:v>소매</x:v>
      </x:c>
      <x:c r="C101" s="444" t="str">
        <x:v>독립층화:판단불가</x:v>
      </x:c>
      <x:c r="D101" s="444" t="str">
        <x:v>판단불가</x:v>
      </x:c>
      <x:c r="E101" s="444" t="str"/>
      <x:c r="F101" s="444" t="str">
        <x:v>outputs\archive\bteam_poc_20260714\bteam_verification\bteam_kosis_review_manual_prioritized_4403.csv</x:v>
      </x:c>
      <x:c r="G101" s="444" t="str">
        <x:v>C19470</x:v>
      </x:c>
      <x:c r="H101" s="444" t="str">
        <x:v>2562</x:v>
      </x:c>
      <x:c r="I101" s="444" t="str">
        <x:v>美 뉴욕 증시, 호실적과 양호한 경제지표에 상승세</x:v>
      </x:c>
      <x:c r="J101" s="444" t="str">
        <x:v>2025-07-17</x:v>
      </x:c>
      <x:c r="K101" s="444" t="str">
        <x:v>https://www.chosun.com/economy/money/2025/07/17/AMKB6DJNZ3P6EVACEPCWXPXPWM</x:v>
      </x:c>
      <x:c r="L101" s="444" t="str">
        <x:v>미 노동부는 7월 12일로 끝난 주간 신규 실업수당 청구 건수가 22만1000건으로, 전주보다 7000건 줄었다고 발표했다.</x:v>
      </x:c>
      <x:c r="M101" s="444" t="str">
        <x:v>또한 미 상무부는 6월 소매판매가 전월 대비 0.6% 증가했다고 밝혔다.</x:v>
      </x:c>
      <x:c r="N101" s="444" t="str">
        <x:v>이는 시장 전망치(0.1% 증가)를 웃도는 수치로, 소비 심리 회복세를 시사한다.</x:v>
      </x:c>
      <x:c r="O101" s="444" t="str">
        <x:v>비율·증감률</x:v>
      </x:c>
      <x:c r="P101" s="444" t="str">
        <x:v>비율·증감률; 날짜·시간</x:v>
      </x:c>
      <x:c r="Q101" s="444" t="str">
        <x:v>[6, 0.6]</x:v>
      </x:c>
      <x:c r="R101" s="444" t="str">
        <x:v>['월', '%']</x:v>
      </x:c>
      <x:c r="S101" s="444" t="str">
        <x:v>[]</x:v>
      </x:c>
      <x:c r="T101" s="444" t="str">
        <x:v>[]</x:v>
      </x:c>
      <x:c r="U101" s="444" t="str"/>
      <x:c r="V101" s="444" t="str"/>
      <x:c r="W101" s="444" t="str"/>
      <x:c r="X101" s="444" t="str"/>
      <x:c r="Y101" s="444" t="str"/>
      <x:c r="Z101" s="444" t="str"/>
      <x:c r="AA101" s="444" t="str"/>
      <x:c r="AB101" s="444" t="str"/>
      <x:c r="AC101" s="444" t="str"/>
      <x:c r="AD101" s="444" t="str"/>
      <x:c r="AE101" s="444" t="str"/>
      <x:c r="AF101" s="444" t="str"/>
      <x:c r="AG101" s="444" t="str"/>
      <x:c r="AH101" s="444" t="str"/>
      <x:c r="AI101" s="444" t="str">
        <x:v>KOSIS 검증 대상 아님: 증시/시장 가격 지표</x:v>
      </x:c>
      <x:c r="AJ101" s="444" t="str">
        <x:v>검증불가</x:v>
      </x:c>
      <x:c r="AK101" s="444" t="str">
        <x:v>KOSIS 미제공</x:v>
      </x:c>
      <x:c r="AL101" s="444" t="str"/>
      <x:c r="AM101" s="444" t="str"/>
      <x:c r="AN101" s="444" t="str"/>
      <x:c r="AO101" s="444" t="str"/>
      <x:c r="AP101" s="444" t="str"/>
      <x:c r="AQ101" s="444" t="str"/>
      <x:c r="AR101" s="444" t="str"/>
      <x:c r="AS101" s="444" t="str"/>
      <x:c r="AT101" s="444" t="str"/>
      <x:c r="AU101" s="444" t="str"/>
      <x:c r="AV101" s="444" t="str"/>
      <x:c r="AW101" s="444" t="str">
        <x:v>N/A</x:v>
      </x:c>
      <x:c r="AX101" s="444" t="str"/>
      <x:c r="AY101" s="444" t="str"/>
      <x:c r="AZ101" s="444" t="str"/>
      <x:c r="BA101" s="444" t="str"/>
      <x:c r="BB101" s="444" t="str">
        <x:v>판단불가</x:v>
      </x:c>
      <x:c r="BC101" s="444" t="str">
        <x:v>대한민국 KOSIS 범위 밖의 해외 소매 통계</x:v>
      </x:c>
      <x:c r="BD101" s="444" t="str">
        <x:v>N</x:v>
      </x:c>
      <x:c r="BE101" s="444" t="str">
        <x:v>KOSIS 미제공</x:v>
      </x:c>
      <x:c r="BF101" s="444" t="str"/>
      <x:c r="BG101" s="444" t="str"/>
      <x:c r="BH101" s="444" t="str"/>
      <x:c r="BI101" s="444" t="str"/>
      <x:c r="BJ101" s="444" t="str"/>
      <x:c r="BK101" s="444" t="str"/>
      <x:c r="BL101" s="444" t="str"/>
      <x:c r="BM101" s="444" t="str"/>
      <x:c r="BN101" s="444" t="str"/>
      <x:c r="BO101" s="444" t="str"/>
      <x:c r="BP101" s="444" t="str"/>
      <x:c r="BQ101" s="444" t="str">
        <x:v>미국 상무부의 미국 소매판매 증가율로 KOSIS 국내 소매판매 통계와 국가가 다름</x:v>
      </x:c>
      <x:c r="BR101" s="444" t="str">
        <x:v>수동확정_검증불가</x:v>
      </x:c>
      <x:c r="BS101" s="444" t="str">
        <x:v>검증불가</x:v>
      </x:c>
      <x:c r="BT101" s="444" t="str">
        <x:v>Y</x:v>
      </x:c>
      <x:c r="BU101" s="444" t="str">
        <x:v>N/A</x:v>
      </x:c>
      <x:c r="BV101" s="444" t="str">
        <x:v>N/A</x:v>
      </x:c>
      <x:c r="BW101" s="444" t="str">
        <x:v>N/A</x:v>
      </x:c>
      <x:c r="BX101" s="444" t="str">
        <x:v>N/A</x:v>
      </x:c>
      <x:c r="BY101" s="444" t="str">
        <x:v>N/A</x:v>
      </x:c>
      <x:c r="BZ101" s="444" t="str">
        <x:v>N/A</x:v>
      </x:c>
      <x:c r="CA101" s="444" t="str">
        <x:v>N/A</x:v>
      </x:c>
      <x:c r="CB101" s="444" t="str">
        <x:v>N/A</x:v>
      </x:c>
      <x:c r="CC101" s="444" t="str"/>
      <x:c r="CD101" s="444" t="str"/>
    </x:row>
  </x:sheetData>
  <x:pageMargins left="0.7" right="0.7" top="0.75" bottom="0.75" header="0.3" footer="0.3"/>
  <x:tableParts count="1">
    <x:tablePart xmlns:r="http://schemas.openxmlformats.org/officeDocument/2006/relationships" r:id="R2e24e86d41624e9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2" hidden="0" customWidth="1"/>
    <x:col min="3" max="3" width="10" hidden="0" customWidth="1"/>
    <x:col min="4" max="4" width="58" hidden="0" customWidth="1"/>
    <x:col min="5" max="5" width="58" hidden="0" customWidth="1"/>
    <x:col min="6" max="6" width="52" hidden="0" customWidth="1"/>
  </x:cols>
  <x:sheetData>
    <x:row r="1">
      <x:c r="A1" s="491" t="str">
        <x:v>우선순위</x:v>
      </x:c>
      <x:c r="B1" s="492" t="str">
        <x:v>범위</x:v>
      </x:c>
      <x:c r="C1" s="492" t="str">
        <x:v>건수</x:v>
      </x:c>
      <x:c r="D1" s="492" t="str">
        <x:v>근거 claim_id</x:v>
      </x:c>
      <x:c r="E1" s="492" t="str">
        <x:v>권장 조치</x:v>
      </x:c>
      <x:c r="F1" s="493" t="str">
        <x:v>평가 정책</x:v>
      </x:c>
    </x:row>
    <x:row r="2" ht="62" customHeight="1">
      <x:c r="A2" s="574" t="str">
        <x:v>P0</x:v>
      </x:c>
      <x:c r="B2" s="594" t="str">
        <x:v>검증가능 지표 과배제</x:v>
      </x:c>
      <x:c r="C2" s="594" t="n">
        <x:v>1</x:v>
      </x:c>
      <x:c r="D2" s="594" t="str">
        <x:v>C12152</x:v>
      </x:c>
      <x:c r="E2" s="594" t="str">
        <x:v>국내 공식 지표가 명시되면 일반 배제 키워드보다 KOSIS 지표 탐색을 먼저 수행</x:v>
      </x:c>
      <x:c r="F2" s="594" t="str">
        <x:v>현재 표본은 개발 자료로만 사용하고 수정 후 새 독립 표본에서 재측정</x:v>
      </x:c>
    </x:row>
    <x:row r="3" ht="62" customHeight="1">
      <x:c r="A3" s="574" t="str">
        <x:v>P0</x:v>
      </x:c>
      <x:c r="B3" s="594" t="str">
        <x:v>검증불가 주장 과매핑</x:v>
      </x:c>
      <x:c r="C3" s="594" t="n">
        <x:v>2</x:v>
      </x:c>
      <x:c r="D3" s="594" t="str">
        <x:v>C20289;C14971</x:v>
      </x:c>
      <x:c r="E3" s="594" t="str">
        <x:v>다중 수치의 검증 대상 모호성 및 민간기업 고유 지표를 KOSIS 국가통계와 구분</x:v>
      </x:c>
      <x:c r="F3" s="594" t="str">
        <x:v>과검증 방지 음성 테스트를 추가하고 자동 확정 정밀도를 우선</x:v>
      </x:c>
    </x:row>
    <x:row r="4" ht="62" customHeight="1">
      <x:c r="A4" s="574" t="str">
        <x:v>P1</x:v>
      </x:c>
      <x:c r="B4" s="594" t="str">
        <x:v>물가 검증가능 매핑 커버리지</x:v>
      </x:c>
      <x:c r="C4" s="594" t="n">
        <x:v>4</x:v>
      </x:c>
      <x:c r="D4" s="594" t="str">
        <x:v>C12193;C20297;C20298;C20299</x:v>
      </x:c>
      <x:c r="E4" s="594" t="str">
        <x:v>반복 표·항목 조합을 후보 코드북으로 정리하고 지역·단위·전월/전년동월 문맥 테스트 추가</x:v>
      </x:c>
      <x:c r="F4" s="594" t="str">
        <x:v>골드 근거를 학습에 사용하되 현재 표본 성능을 다시 독립 성능으로 보고하지 않음</x:v>
      </x:c>
    </x:row>
    <x:row r="5" ht="62" customHeight="1">
      <x:c r="A5" s="574" t="str">
        <x:v>P1</x:v>
      </x:c>
      <x:c r="B5" s="594" t="str">
        <x:v>고용 검증가능 매핑 커버리지</x:v>
      </x:c>
      <x:c r="C5" s="594" t="n">
        <x:v>7</x:v>
      </x:c>
      <x:c r="D5" s="594" t="str">
        <x:v>C03732;C07866;C07867;C10535;C10540;C20327;C20379</x:v>
      </x:c>
      <x:c r="E5" s="594" t="str">
        <x:v>반복 표·항목 조합을 후보 코드북으로 정리하고 지역·단위·전월/전년동월 문맥 테스트 추가</x:v>
      </x:c>
      <x:c r="F5" s="594" t="str">
        <x:v>골드 근거를 학습에 사용하되 현재 표본 성능을 다시 독립 성능으로 보고하지 않음</x:v>
      </x:c>
    </x:row>
    <x:row r="6" ht="62" customHeight="1">
      <x:c r="A6" s="574" t="str">
        <x:v>P1</x:v>
      </x:c>
      <x:c r="B6" s="594" t="str">
        <x:v>무역 검증가능 매핑 커버리지</x:v>
      </x:c>
      <x:c r="C6" s="594" t="n">
        <x:v>5</x:v>
      </x:c>
      <x:c r="D6" s="594" t="str">
        <x:v>C02277;C14951;C19032;C20463;C20467</x:v>
      </x:c>
      <x:c r="E6" s="594" t="str">
        <x:v>반복 표·항목 조합을 후보 코드북으로 정리하고 지역·단위·전월/전년동월 문맥 테스트 추가</x:v>
      </x:c>
      <x:c r="F6" s="594" t="str">
        <x:v>골드 근거를 학습에 사용하되 현재 표본 성능을 다시 독립 성능으로 보고하지 않음</x:v>
      </x:c>
    </x:row>
    <x:row r="7" ht="62" customHeight="1">
      <x:c r="A7" s="574" t="str">
        <x:v>P1</x:v>
      </x:c>
      <x:c r="B7" s="594" t="str">
        <x:v>인구 검증가능 매핑 커버리지</x:v>
      </x:c>
      <x:c r="C7" s="594" t="n">
        <x:v>10</x:v>
      </x:c>
      <x:c r="D7" s="594" t="str">
        <x:v>C02285;C02705;C03047;C09032;C10718;C10721;C14029;C14030;C17350;C19545</x:v>
      </x:c>
      <x:c r="E7" s="594" t="str">
        <x:v>반복 표·항목 조합을 후보 코드북으로 정리하고 지역·단위·전월/전년동월 문맥 테스트 추가</x:v>
      </x:c>
      <x:c r="F7" s="594" t="str">
        <x:v>골드 근거를 학습에 사용하되 현재 표본 성능을 다시 독립 성능으로 보고하지 않음</x:v>
      </x:c>
    </x:row>
    <x:row r="8" ht="62" customHeight="1">
      <x:c r="A8" s="574" t="str">
        <x:v>P1</x:v>
      </x:c>
      <x:c r="B8" s="594" t="str">
        <x:v>소매 검증가능 매핑 커버리지</x:v>
      </x:c>
      <x:c r="C8" s="594" t="n">
        <x:v>4</x:v>
      </x:c>
      <x:c r="D8" s="594" t="str">
        <x:v>C01572;C06502;C11937;C19263</x:v>
      </x:c>
      <x:c r="E8" s="594" t="str">
        <x:v>반복 표·항목 조합을 후보 코드북으로 정리하고 지역·단위·전월/전년동월 문맥 테스트 추가</x:v>
      </x:c>
      <x:c r="F8" s="594" t="str">
        <x:v>골드 근거를 학습에 사용하되 현재 표본 성능을 다시 독립 성능으로 보고하지 않음</x:v>
      </x:c>
    </x:row>
    <x:row r="9" ht="62" customHeight="1">
      <x:c r="A9" s="574" t="str">
        <x:v>P2</x:v>
      </x:c>
      <x:c r="B9" s="594" t="str">
        <x:v>검증불가 자동 분류: KOSIS 미제공</x:v>
      </x:c>
      <x:c r="C9" s="594" t="n">
        <x:v>30</x:v>
      </x:c>
      <x:c r="D9" s="594" t="str">
        <x:v>C06536;C12854;C07973;C08764;C16079;C16576;C16580;C00688;C04244;C08058;C11295;C13058;C13856;C14732;C18243;C19025;C04124;C05231;C10602;C14688;C17862;C19835;C20179;C20405;C00069;C02074;C03125;C06928;C16528;C17314</x:v>
      </x:c>
      <x:c r="E9" s="594" t="str">
        <x:v>사유별 표현 사전과 우선순위를 분리하고 양성·음성 회귀 테스트 추가</x:v>
      </x:c>
      <x:c r="F9" s="594" t="str">
        <x:v>애매한 문장은 자동 확정하지 않고 보류 유지</x:v>
      </x:c>
    </x:row>
    <x:row r="10" ht="62" customHeight="1">
      <x:c r="A10" s="574" t="str">
        <x:v>P2</x:v>
      </x:c>
      <x:c r="B10" s="594" t="str">
        <x:v>검증불가 자동 분류: 정보 부족</x:v>
      </x:c>
      <x:c r="C10" s="594" t="n">
        <x:v>5</x:v>
      </x:c>
      <x:c r="D10" s="594" t="str">
        <x:v>C16487;C19826;C05931;C09115;C20161</x:v>
      </x:c>
      <x:c r="E10" s="594" t="str">
        <x:v>사유별 표현 사전과 우선순위를 분리하고 양성·음성 회귀 테스트 추가</x:v>
      </x:c>
      <x:c r="F10" s="594" t="str">
        <x:v>애매한 문장은 자동 확정하지 않고 보류 유지</x:v>
      </x:c>
    </x:row>
  </x:sheetData>
  <x:conditionalFormatting sqref="A2:A10">
    <x:cfRule type="containsText" dxfId="2" priority="1" operator="containsText" text="P0"/>
    <x:cfRule type="containsText" dxfId="3" priority="2" operator="containsText" text="P1"/>
  </x:conditionalFormatting>
  <x:pageMargins left="0.7" right="0.7" top="0.75" bottom="0.75" header="0.3" footer="0.3"/>
  <x:tableParts count="1">
    <x:tablePart xmlns:r="http://schemas.openxmlformats.org/officeDocument/2006/relationships" r:id="R90fae845fd744a4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9" hidden="0" customWidth="1"/>
    <x:col min="3" max="3" width="12" hidden="0" customWidth="1"/>
    <x:col min="4" max="4" width="58" hidden="0" customWidth="1"/>
    <x:col min="5" max="5" width="13" hidden="0" customWidth="1"/>
    <x:col min="6" max="6" width="14" hidden="0" customWidth="1"/>
    <x:col min="7" max="7" width="18" hidden="0" customWidth="1"/>
    <x:col min="8" max="8" width="20" hidden="0" customWidth="1"/>
    <x:col min="9" max="9" width="11" hidden="0" customWidth="1"/>
    <x:col min="10" max="10" width="11" hidden="0" customWidth="1"/>
    <x:col min="11" max="11" width="24" hidden="0" customWidth="1"/>
    <x:col min="12" max="12" width="14" hidden="0" customWidth="1"/>
    <x:col min="13" max="13" width="12" hidden="0" customWidth="1"/>
    <x:col min="14" max="14" width="13" hidden="0" customWidth="1"/>
    <x:col min="15" max="15" width="14" hidden="0" customWidth="1"/>
    <x:col min="16" max="16" width="26" hidden="0" customWidth="1"/>
    <x:col min="17" max="17" width="36" hidden="0" customWidth="1"/>
  </x:cols>
  <x:sheetData>
    <x:row r="1">
      <x:c r="A1" s="378" t="str">
        <x:v>번호</x:v>
      </x:c>
      <x:c r="B1" s="379" t="str">
        <x:v>분야</x:v>
      </x:c>
      <x:c r="C1" s="379" t="str">
        <x:v>claim_id</x:v>
      </x:c>
      <x:c r="D1" s="379" t="str">
        <x:v>주장 문장</x:v>
      </x:c>
      <x:c r="E1" s="379" t="str">
        <x:v>자동결정</x:v>
      </x:c>
      <x:c r="F1" s="379" t="str">
        <x:v>골드 검증가능</x:v>
      </x:c>
      <x:c r="G1" s="379" t="str">
        <x:v>검증불가 사유</x:v>
      </x:c>
      <x:c r="H1" s="379" t="str">
        <x:v>골드 통계표</x:v>
      </x:c>
      <x:c r="I1" s="379" t="str">
        <x:v>obj_l1</x:v>
      </x:c>
      <x:c r="J1" s="379" t="str">
        <x:v>obj_l2</x:v>
      </x:c>
      <x:c r="K1" s="379" t="str">
        <x:v>골드 항목</x:v>
      </x:c>
      <x:c r="L1" s="379" t="str">
        <x:v>골드 시점</x:v>
      </x:c>
      <x:c r="M1" s="379" t="str">
        <x:v>골드 판정</x:v>
      </x:c>
      <x:c r="N1" s="379" t="str">
        <x:v>가능여부 정답</x:v>
      </x:c>
      <x:c r="O1" s="379" t="str">
        <x:v>전체매핑 정답</x:v>
      </x:c>
      <x:c r="P1" s="379" t="str">
        <x:v>오류 유형</x:v>
      </x:c>
      <x:c r="Q1" s="380" t="str">
        <x:v>오류 원인</x:v>
      </x:c>
    </x:row>
    <x:row r="2" ht="44" customHeight="1">
      <x:c r="A2" s="596" t="str">
        <x:v>1</x:v>
      </x:c>
      <x:c r="B2" s="596" t="str">
        <x:v>물가</x:v>
      </x:c>
      <x:c r="C2" s="596" t="str">
        <x:v>C06536</x:v>
      </x:c>
      <x:c r="D2" s="598" t="str">
        <x:v>특히 30대 이하 가구에서 체감 물가가 1%포인트 오를 때, 자가 주택 소유 확률이 7.4%포인트쯤 올라 주택 수요가 더 커지는 것으로 나타났다.</x:v>
      </x:c>
      <x:c r="E2" s="596" t="str">
        <x:v>보류</x:v>
      </x:c>
      <x:c r="F2" s="596" t="str">
        <x:v>N</x:v>
      </x:c>
      <x:c r="G2" s="596" t="str">
        <x:v>KOSIS 미제공</x:v>
      </x:c>
      <x:c r="H2" s="596" t="str"/>
      <x:c r="I2" s="596" t="str"/>
      <x:c r="J2" s="596" t="str"/>
      <x:c r="K2" s="596" t="str"/>
      <x:c r="L2" s="596" t="str"/>
      <x:c r="M2" s="596" t="str"/>
      <x:c r="N2" s="596" t="str">
        <x:v>N</x:v>
      </x:c>
      <x:c r="O2" s="596" t="str">
        <x:v>N/A</x:v>
      </x:c>
      <x:c r="P2" s="598" t="str">
        <x:v>검증가능여부</x:v>
      </x:c>
      <x:c r="Q2" s="598" t="str">
        <x:v>검증불가 사유를 자동 분류하지 못해 보류</x:v>
      </x:c>
    </x:row>
    <x:row r="3" ht="44" customHeight="1">
      <x:c r="A3" s="596" t="str">
        <x:v>2</x:v>
      </x:c>
      <x:c r="B3" s="596" t="str">
        <x:v>물가</x:v>
      </x:c>
      <x:c r="C3" s="596" t="str">
        <x:v>C07989</x:v>
      </x:c>
      <x:c r="D3" s="598" t="str">
        <x:v>1월 소비자물가는 전년보다 4% 올라, 2년 만의 최고치였다.</x:v>
      </x:c>
      <x:c r="E3" s="596" t="str">
        <x:v>검증불가</x:v>
      </x:c>
      <x:c r="F3" s="596" t="str">
        <x:v>N</x:v>
      </x:c>
      <x:c r="G3" s="596" t="str">
        <x:v>KOSIS 미제공</x:v>
      </x:c>
      <x:c r="H3" s="596" t="str"/>
      <x:c r="I3" s="596" t="str"/>
      <x:c r="J3" s="596" t="str"/>
      <x:c r="K3" s="596" t="str"/>
      <x:c r="L3" s="596" t="str"/>
      <x:c r="M3" s="596" t="str"/>
      <x:c r="N3" s="596" t="str">
        <x:v>Y</x:v>
      </x:c>
      <x:c r="O3" s="596" t="str">
        <x:v>N/A</x:v>
      </x:c>
      <x:c r="P3" s="598" t="str"/>
      <x:c r="Q3" s="598" t="str"/>
    </x:row>
    <x:row r="4" ht="44" customHeight="1">
      <x:c r="A4" s="596" t="str">
        <x:v>3</x:v>
      </x:c>
      <x:c r="B4" s="596" t="str">
        <x:v>물가</x:v>
      </x:c>
      <x:c r="C4" s="596" t="str">
        <x:v>C09199</x:v>
      </x:c>
      <x:c r="D4" s="598" t="str">
        <x:v>2%는 한국은행이 물가상승률 목표로 제시한 수치다.</x:v>
      </x:c>
      <x:c r="E4" s="596" t="str">
        <x:v>검증불가</x:v>
      </x:c>
      <x:c r="F4" s="596" t="str">
        <x:v>N</x:v>
      </x:c>
      <x:c r="G4" s="596" t="str">
        <x:v>정보 부족</x:v>
      </x:c>
      <x:c r="H4" s="596" t="str"/>
      <x:c r="I4" s="596" t="str"/>
      <x:c r="J4" s="596" t="str"/>
      <x:c r="K4" s="596" t="str"/>
      <x:c r="L4" s="596" t="str"/>
      <x:c r="M4" s="596" t="str"/>
      <x:c r="N4" s="596" t="str">
        <x:v>Y</x:v>
      </x:c>
      <x:c r="O4" s="596" t="str">
        <x:v>N/A</x:v>
      </x:c>
      <x:c r="P4" s="598" t="str"/>
      <x:c r="Q4" s="598" t="str"/>
    </x:row>
    <x:row r="5" ht="44" customHeight="1">
      <x:c r="A5" s="596" t="str">
        <x:v>4</x:v>
      </x:c>
      <x:c r="B5" s="596" t="str">
        <x:v>물가</x:v>
      </x:c>
      <x:c r="C5" s="596" t="str">
        <x:v>C09603</x:v>
      </x:c>
      <x:c r="D5" s="598" t="str">
        <x:v>한국 시각으로 오는 10일과 11일 발표되는 미국의 3월 소비자물가지수(CPI)·생산자물가지수(PPI)와 미국 중앙은행 연방준비제도(Fed·연준) 인사 연설 등도 주목할 필요가 있다.</x:v>
      </x:c>
      <x:c r="E5" s="596" t="str">
        <x:v>검증불가</x:v>
      </x:c>
      <x:c r="F5" s="596" t="str">
        <x:v>N</x:v>
      </x:c>
      <x:c r="G5" s="596" t="str">
        <x:v>정보 부족</x:v>
      </x:c>
      <x:c r="H5" s="596" t="str"/>
      <x:c r="I5" s="596" t="str"/>
      <x:c r="J5" s="596" t="str"/>
      <x:c r="K5" s="596" t="str"/>
      <x:c r="L5" s="596" t="str"/>
      <x:c r="M5" s="596" t="str"/>
      <x:c r="N5" s="596" t="str">
        <x:v>Y</x:v>
      </x:c>
      <x:c r="O5" s="596" t="str">
        <x:v>N/A</x:v>
      </x:c>
      <x:c r="P5" s="598" t="str"/>
      <x:c r="Q5" s="598" t="str"/>
    </x:row>
    <x:row r="6" ht="44" customHeight="1">
      <x:c r="A6" s="596" t="str">
        <x:v>5</x:v>
      </x:c>
      <x:c r="B6" s="596" t="str">
        <x:v>물가</x:v>
      </x:c>
      <x:c r="C6" s="596" t="str">
        <x:v>C10263</x:v>
      </x:c>
      <x:c r="D6" s="598" t="str">
        <x:v>미국의 3월 소비자물가지수(CPI)는 시장 예상치를 하회해 인플레이션 가능성은 여전히 낮다는 평가가 나온다.</x:v>
      </x:c>
      <x:c r="E6" s="596" t="str">
        <x:v>검증불가</x:v>
      </x:c>
      <x:c r="F6" s="596" t="str">
        <x:v>N</x:v>
      </x:c>
      <x:c r="G6" s="596" t="str">
        <x:v>정보 부족</x:v>
      </x:c>
      <x:c r="H6" s="596" t="str"/>
      <x:c r="I6" s="596" t="str"/>
      <x:c r="J6" s="596" t="str"/>
      <x:c r="K6" s="596" t="str"/>
      <x:c r="L6" s="596" t="str"/>
      <x:c r="M6" s="596" t="str"/>
      <x:c r="N6" s="596" t="str">
        <x:v>Y</x:v>
      </x:c>
      <x:c r="O6" s="596" t="str">
        <x:v>N/A</x:v>
      </x:c>
      <x:c r="P6" s="598" t="str"/>
      <x:c r="Q6" s="598" t="str"/>
    </x:row>
    <x:row r="7" ht="44" customHeight="1">
      <x:c r="A7" s="596" t="str">
        <x:v>6</x:v>
      </x:c>
      <x:c r="B7" s="596" t="str">
        <x:v>물가</x:v>
      </x:c>
      <x:c r="C7" s="596" t="str">
        <x:v>C12152</x:v>
      </x:c>
      <x:c r="D7" s="598" t="str">
        <x:v>연초 미국의 석유 증산 등으로 국제 유가가 떨어졌던 게 시차를 두고 반영되면서, 지난달 석유류 가격은 1.7% 떨어졌다.</x:v>
      </x:c>
      <x:c r="E7" s="596" t="str">
        <x:v>검증불가</x:v>
      </x:c>
      <x:c r="F7" s="596" t="str">
        <x:v>Y</x:v>
      </x:c>
      <x:c r="G7" s="596" t="str"/>
      <x:c r="H7" s="596" t="str">
        <x:v>DT_1J22112</x:v>
      </x:c>
      <x:c r="I7" s="596" t="str">
        <x:v>T10</x:v>
      </x:c>
      <x:c r="J7" s="596" t="str">
        <x:v>B05</x:v>
      </x:c>
      <x:c r="K7" s="596" t="str">
        <x:v>T</x:v>
      </x:c>
      <x:c r="L7" s="596" t="str">
        <x:v>202504</x:v>
      </x:c>
      <x:c r="M7" s="596" t="str">
        <x:v>일치</x:v>
      </x:c>
      <x:c r="N7" s="596" t="str">
        <x:v>N</x:v>
      </x:c>
      <x:c r="O7" s="596" t="str">
        <x:v>N</x:v>
      </x:c>
      <x:c r="P7" s="598" t="str">
        <x:v>검증가능여부;통계표;항목;시점;주장수치;비교방식;최종판정</x:v>
      </x:c>
      <x:c r="Q7" s="598" t="str">
        <x:v>검증가능 지표를 비검증 대상으로 과배제</x:v>
      </x:c>
    </x:row>
    <x:row r="8" ht="44" customHeight="1">
      <x:c r="A8" s="596" t="str">
        <x:v>7</x:v>
      </x:c>
      <x:c r="B8" s="596" t="str">
        <x:v>물가</x:v>
      </x:c>
      <x:c r="C8" s="596" t="str">
        <x:v>C12193</x:v>
      </x:c>
      <x:c r="D8" s="598" t="str">
        <x:v>지난달 석유류 가격은 1.7% 하락했다.</x:v>
      </x:c>
      <x:c r="E8" s="596" t="str">
        <x:v>보류</x:v>
      </x:c>
      <x:c r="F8" s="596" t="str">
        <x:v>Y</x:v>
      </x:c>
      <x:c r="G8" s="596" t="str"/>
      <x:c r="H8" s="596" t="str">
        <x:v>DT_1J22112</x:v>
      </x:c>
      <x:c r="I8" s="596" t="str">
        <x:v>T10</x:v>
      </x:c>
      <x:c r="J8" s="596" t="str">
        <x:v>B05</x:v>
      </x:c>
      <x:c r="K8" s="596" t="str">
        <x:v>T</x:v>
      </x:c>
      <x:c r="L8" s="596" t="str">
        <x:v>202504</x:v>
      </x:c>
      <x:c r="M8" s="596" t="str">
        <x:v>일치</x:v>
      </x:c>
      <x:c r="N8" s="596" t="str">
        <x:v>N</x:v>
      </x:c>
      <x:c r="O8" s="596" t="str">
        <x:v>N</x:v>
      </x:c>
      <x:c r="P8" s="598" t="str">
        <x:v>검증가능여부;통계표;항목;시점;주장수치;비교방식;최종판정</x:v>
      </x:c>
      <x:c r="Q8" s="598" t="str">
        <x:v>검증가능 지표를 코드북이 지원하지 않아 보류</x:v>
      </x:c>
    </x:row>
    <x:row r="9" ht="44" customHeight="1">
      <x:c r="A9" s="596" t="str">
        <x:v>8</x:v>
      </x:c>
      <x:c r="B9" s="596" t="str">
        <x:v>물가</x:v>
      </x:c>
      <x:c r="C9" s="596" t="str">
        <x:v>C12850</x:v>
      </x:c>
      <x:c r="D9" s="598" t="str">
        <x:v>1 중국의 4월 소비자물가지수(CPI)가 지난해 동월 대비 0.1% 내려갔다.</x:v>
      </x:c>
      <x:c r="E9" s="596" t="str">
        <x:v>검증불가</x:v>
      </x:c>
      <x:c r="F9" s="596" t="str">
        <x:v>N</x:v>
      </x:c>
      <x:c r="G9" s="596" t="str">
        <x:v>KOSIS 미제공</x:v>
      </x:c>
      <x:c r="H9" s="596" t="str"/>
      <x:c r="I9" s="596" t="str"/>
      <x:c r="J9" s="596" t="str"/>
      <x:c r="K9" s="596" t="str"/>
      <x:c r="L9" s="596" t="str"/>
      <x:c r="M9" s="596" t="str"/>
      <x:c r="N9" s="596" t="str">
        <x:v>Y</x:v>
      </x:c>
      <x:c r="O9" s="596" t="str">
        <x:v>N/A</x:v>
      </x:c>
      <x:c r="P9" s="598" t="str"/>
      <x:c r="Q9" s="598" t="str"/>
    </x:row>
    <x:row r="10" ht="44" customHeight="1">
      <x:c r="A10" s="596" t="str">
        <x:v>9</x:v>
      </x:c>
      <x:c r="B10" s="596" t="str">
        <x:v>물가</x:v>
      </x:c>
      <x:c r="C10" s="596" t="str">
        <x:v>C12854</x:v>
      </x:c>
      <x:c r="D10" s="598" t="str">
        <x:v>2월에는 -0.7%, 3월에는 -0.1%를 기록했다.</x:v>
      </x:c>
      <x:c r="E10" s="596" t="str">
        <x:v>보류</x:v>
      </x:c>
      <x:c r="F10" s="596" t="str">
        <x:v>N</x:v>
      </x:c>
      <x:c r="G10" s="596" t="str">
        <x:v>KOSIS 미제공</x:v>
      </x:c>
      <x:c r="H10" s="596" t="str"/>
      <x:c r="I10" s="596" t="str"/>
      <x:c r="J10" s="596" t="str"/>
      <x:c r="K10" s="596" t="str"/>
      <x:c r="L10" s="596" t="str"/>
      <x:c r="M10" s="596" t="str"/>
      <x:c r="N10" s="596" t="str">
        <x:v>N</x:v>
      </x:c>
      <x:c r="O10" s="596" t="str">
        <x:v>N/A</x:v>
      </x:c>
      <x:c r="P10" s="598" t="str">
        <x:v>검증가능여부</x:v>
      </x:c>
      <x:c r="Q10" s="598" t="str">
        <x:v>검증불가 사유를 자동 분류하지 못해 보류</x:v>
      </x:c>
    </x:row>
    <x:row r="11" ht="44" customHeight="1">
      <x:c r="A11" s="596" t="str">
        <x:v>10</x:v>
      </x:c>
      <x:c r="B11" s="596" t="str">
        <x:v>물가</x:v>
      </x:c>
      <x:c r="C11" s="596" t="str">
        <x:v>C13392</x:v>
      </x:c>
      <x:c r="D11" s="598" t="str">
        <x:v>미 에너지정보청에 따르면 5월 첫 주 미국의 하루 원유 채굴량은 1343만배럴로 작년 같은 기간보다 2.6% 늘었다.</x:v>
      </x:c>
      <x:c r="E11" s="596" t="str">
        <x:v>검증불가</x:v>
      </x:c>
      <x:c r="F11" s="596" t="str">
        <x:v>N</x:v>
      </x:c>
      <x:c r="G11" s="596" t="str">
        <x:v>KOSIS 미제공</x:v>
      </x:c>
      <x:c r="H11" s="596" t="str"/>
      <x:c r="I11" s="596" t="str"/>
      <x:c r="J11" s="596" t="str"/>
      <x:c r="K11" s="596" t="str"/>
      <x:c r="L11" s="596" t="str"/>
      <x:c r="M11" s="596" t="str"/>
      <x:c r="N11" s="596" t="str">
        <x:v>Y</x:v>
      </x:c>
      <x:c r="O11" s="596" t="str">
        <x:v>N/A</x:v>
      </x:c>
      <x:c r="P11" s="598" t="str"/>
      <x:c r="Q11" s="598" t="str"/>
    </x:row>
    <x:row r="12" ht="44" customHeight="1">
      <x:c r="A12" s="596" t="str">
        <x:v>11</x:v>
      </x:c>
      <x:c r="B12" s="596" t="str">
        <x:v>물가</x:v>
      </x:c>
      <x:c r="C12" s="596" t="str">
        <x:v>C13396</x:v>
      </x:c>
      <x:c r="D12" s="598" t="str">
        <x:v>신차(0.3%)나 중고차(1.5%) 가격도 예상만큼 많이 오르지 않았다.</x:v>
      </x:c>
      <x:c r="E12" s="596" t="str">
        <x:v>검증불가</x:v>
      </x:c>
      <x:c r="F12" s="596" t="str">
        <x:v>N</x:v>
      </x:c>
      <x:c r="G12" s="596" t="str">
        <x:v>KOSIS 미제공</x:v>
      </x:c>
      <x:c r="H12" s="596" t="str"/>
      <x:c r="I12" s="596" t="str"/>
      <x:c r="J12" s="596" t="str"/>
      <x:c r="K12" s="596" t="str"/>
      <x:c r="L12" s="596" t="str"/>
      <x:c r="M12" s="596" t="str"/>
      <x:c r="N12" s="596" t="str">
        <x:v>Y</x:v>
      </x:c>
      <x:c r="O12" s="596" t="str">
        <x:v>N/A</x:v>
      </x:c>
      <x:c r="P12" s="598" t="str"/>
      <x:c r="Q12" s="598" t="str"/>
    </x:row>
    <x:row r="13" ht="44" customHeight="1">
      <x:c r="A13" s="596" t="str">
        <x:v>12</x:v>
      </x:c>
      <x:c r="B13" s="596" t="str">
        <x:v>물가</x:v>
      </x:c>
      <x:c r="C13" s="596" t="str">
        <x:v>C13400</x:v>
      </x:c>
      <x:c r="D13" s="598" t="str">
        <x:v>종전에는 JP모건은 세 차례(0.75%포인트), 바클레이스는 두 차례(0.5%포인트) 인하할 것으로 예상했는데, 연준이 관세 정책이 인플레이션에 미치는 영향이 명확해질 때까지 기다려 좀 더 신중하게 움직일 것으로 전망을 바꾼 것이다.</x:v>
      </x:c>
      <x:c r="E13" s="596" t="str">
        <x:v>검증불가</x:v>
      </x:c>
      <x:c r="F13" s="596" t="str">
        <x:v>N</x:v>
      </x:c>
      <x:c r="G13" s="596" t="str">
        <x:v>정보 부족</x:v>
      </x:c>
      <x:c r="H13" s="596" t="str"/>
      <x:c r="I13" s="596" t="str"/>
      <x:c r="J13" s="596" t="str"/>
      <x:c r="K13" s="596" t="str"/>
      <x:c r="L13" s="596" t="str"/>
      <x:c r="M13" s="596" t="str"/>
      <x:c r="N13" s="596" t="str">
        <x:v>Y</x:v>
      </x:c>
      <x:c r="O13" s="596" t="str">
        <x:v>N/A</x:v>
      </x:c>
      <x:c r="P13" s="598" t="str"/>
      <x:c r="Q13" s="598" t="str"/>
    </x:row>
    <x:row r="14" ht="44" customHeight="1">
      <x:c r="A14" s="596" t="str">
        <x:v>13</x:v>
      </x:c>
      <x:c r="B14" s="596" t="str">
        <x:v>물가</x:v>
      </x:c>
      <x:c r="C14" s="596" t="str">
        <x:v>C14650</x:v>
      </x:c>
      <x:c r="D14" s="598" t="str">
        <x:v>내년 소비자물가 상승률은 기존 전망치(1.9%)보다 소폭 낮은 1.8%로 예상했다.</x:v>
      </x:c>
      <x:c r="E14" s="596" t="str">
        <x:v>검증불가</x:v>
      </x:c>
      <x:c r="F14" s="596" t="str">
        <x:v>N</x:v>
      </x:c>
      <x:c r="G14" s="596" t="str">
        <x:v>KOSIS 미제공</x:v>
      </x:c>
      <x:c r="H14" s="596" t="str"/>
      <x:c r="I14" s="596" t="str"/>
      <x:c r="J14" s="596" t="str"/>
      <x:c r="K14" s="596" t="str"/>
      <x:c r="L14" s="596" t="str"/>
      <x:c r="M14" s="596" t="str"/>
      <x:c r="N14" s="596" t="str">
        <x:v>Y</x:v>
      </x:c>
      <x:c r="O14" s="596" t="str">
        <x:v>N/A</x:v>
      </x:c>
      <x:c r="P14" s="598" t="str"/>
      <x:c r="Q14" s="598" t="str"/>
    </x:row>
    <x:row r="15" ht="44" customHeight="1">
      <x:c r="A15" s="596" t="str">
        <x:v>14</x:v>
      </x:c>
      <x:c r="B15" s="596" t="str">
        <x:v>물가</x:v>
      </x:c>
      <x:c r="C15" s="596" t="str">
        <x:v>C16487</x:v>
      </x:c>
      <x:c r="D15" s="598" t="str">
        <x:v>◇5년 새 20% 이상 오른 외식 품목 30가지 음식료품 물가 중 외식 물가는 최근 특히 비상이다.</x:v>
      </x:c>
      <x:c r="E15" s="596" t="str">
        <x:v>보류</x:v>
      </x:c>
      <x:c r="F15" s="596" t="str">
        <x:v>N</x:v>
      </x:c>
      <x:c r="G15" s="596" t="str">
        <x:v>정보 부족</x:v>
      </x:c>
      <x:c r="H15" s="596" t="str"/>
      <x:c r="I15" s="596" t="str"/>
      <x:c r="J15" s="596" t="str"/>
      <x:c r="K15" s="596" t="str"/>
      <x:c r="L15" s="596" t="str"/>
      <x:c r="M15" s="596" t="str"/>
      <x:c r="N15" s="596" t="str">
        <x:v>N</x:v>
      </x:c>
      <x:c r="O15" s="596" t="str">
        <x:v>N/A</x:v>
      </x:c>
      <x:c r="P15" s="598" t="str">
        <x:v>검증가능여부</x:v>
      </x:c>
      <x:c r="Q15" s="598" t="str">
        <x:v>검증불가 사유를 자동 분류하지 못해 보류</x:v>
      </x:c>
    </x:row>
    <x:row r="16" ht="44" customHeight="1">
      <x:c r="A16" s="596" t="str">
        <x:v>15</x:v>
      </x:c>
      <x:c r="B16" s="596" t="str">
        <x:v>물가</x:v>
      </x:c>
      <x:c r="C16" s="596" t="str">
        <x:v>C19826</x:v>
      </x:c>
      <x:c r="D16" s="598" t="str">
        <x:v>빵(38.5%)과 과일(35.2%), 우유·치즈·계란(30.7%) 가격의 상승 폭이 컸고 과자·빙과류(27.8%), 라면(25.3%), 생수·청량음료·과채주스(22.7%), 육류(21.1%), 어류·수산(20%) 등도 상승률이 20% 이상이었다.</x:v>
      </x:c>
      <x:c r="E16" s="596" t="str">
        <x:v>보류</x:v>
      </x:c>
      <x:c r="F16" s="596" t="str">
        <x:v>N</x:v>
      </x:c>
      <x:c r="G16" s="596" t="str">
        <x:v>정보 부족</x:v>
      </x:c>
      <x:c r="H16" s="596" t="str"/>
      <x:c r="I16" s="596" t="str"/>
      <x:c r="J16" s="596" t="str"/>
      <x:c r="K16" s="596" t="str"/>
      <x:c r="L16" s="596" t="str"/>
      <x:c r="M16" s="596" t="str"/>
      <x:c r="N16" s="596" t="str">
        <x:v>N</x:v>
      </x:c>
      <x:c r="O16" s="596" t="str">
        <x:v>N/A</x:v>
      </x:c>
      <x:c r="P16" s="598" t="str">
        <x:v>검증가능여부</x:v>
      </x:c>
      <x:c r="Q16" s="598" t="str">
        <x:v>검증불가 사유를 자동 분류하지 못해 보류</x:v>
      </x:c>
    </x:row>
    <x:row r="17" ht="44" customHeight="1">
      <x:c r="A17" s="596" t="str">
        <x:v>16</x:v>
      </x:c>
      <x:c r="B17" s="596" t="str">
        <x:v>물가</x:v>
      </x:c>
      <x:c r="C17" s="596" t="str">
        <x:v>C20289</x:v>
      </x:c>
      <x:c r="D17" s="598" t="str">
        <x:v>소비자 물가 상승률은 지난 8월 SK텔레콤 해킹 사태에 따른 요금 인하 효과로 1.7%를 기록했다가, 추석 명절 수요 등으로 가공식품과 축·수산물 등 먹거리 물가가 오르면서 9월 2.1%로 올라선 바 있다.</x:v>
      </x:c>
      <x:c r="E17" s="596" t="str">
        <x:v>검증가능</x:v>
      </x:c>
      <x:c r="F17" s="596" t="str">
        <x:v>N</x:v>
      </x:c>
      <x:c r="G17" s="596" t="str">
        <x:v>정보 부족</x:v>
      </x:c>
      <x:c r="H17" s="596" t="str"/>
      <x:c r="I17" s="596" t="str"/>
      <x:c r="J17" s="596" t="str"/>
      <x:c r="K17" s="596" t="str"/>
      <x:c r="L17" s="596" t="str"/>
      <x:c r="M17" s="596" t="str"/>
      <x:c r="N17" s="596" t="str">
        <x:v>N</x:v>
      </x:c>
      <x:c r="O17" s="596" t="str">
        <x:v>N/A</x:v>
      </x:c>
      <x:c r="P17" s="598" t="str">
        <x:v>검증가능여부</x:v>
      </x:c>
      <x:c r="Q17" s="598" t="str">
        <x:v>검증불가 주장을 KOSIS 표에 과매핑</x:v>
      </x:c>
    </x:row>
    <x:row r="18" ht="44" customHeight="1">
      <x:c r="A18" s="596" t="str">
        <x:v>17</x:v>
      </x:c>
      <x:c r="B18" s="596" t="str">
        <x:v>물가</x:v>
      </x:c>
      <x:c r="C18" s="596" t="str">
        <x:v>C20290</x:v>
      </x:c>
      <x:c r="D18" s="598" t="str">
        <x:v>가공식품 물가는 전년 같은 달 대비 3.5% 오르면서 전체 물가를 0.30%포인트 끌어올렸다.</x:v>
      </x:c>
      <x:c r="E18" s="596" t="str">
        <x:v>검증가능</x:v>
      </x:c>
      <x:c r="F18" s="596" t="str">
        <x:v>Y</x:v>
      </x:c>
      <x:c r="G18" s="596" t="str"/>
      <x:c r="H18" s="596" t="str">
        <x:v>DT_1J22112</x:v>
      </x:c>
      <x:c r="I18" s="596" t="str">
        <x:v>T10</x:v>
      </x:c>
      <x:c r="J18" s="596" t="str">
        <x:v>B01</x:v>
      </x:c>
      <x:c r="K18" s="596" t="str">
        <x:v>T</x:v>
      </x:c>
      <x:c r="L18" s="596" t="str">
        <x:v>202510</x:v>
      </x:c>
      <x:c r="M18" s="596" t="str">
        <x:v>일치</x:v>
      </x:c>
      <x:c r="N18" s="596" t="str">
        <x:v>Y</x:v>
      </x:c>
      <x:c r="O18" s="596" t="str">
        <x:v>Y</x:v>
      </x:c>
      <x:c r="P18" s="598" t="str"/>
      <x:c r="Q18" s="598" t="str"/>
    </x:row>
    <x:row r="19" ht="44" customHeight="1">
      <x:c r="A19" s="596" t="str">
        <x:v>18</x:v>
      </x:c>
      <x:c r="B19" s="596" t="str">
        <x:v>물가</x:v>
      </x:c>
      <x:c r="C19" s="596" t="str">
        <x:v>C20297</x:v>
      </x:c>
      <x:c r="D19" s="598" t="str">
        <x:v>어류·조개류가 속한 신선어개·채소·과실 등 기상 조건에 따라 가격 변동이 큰 품목으로 구성된 신선식품지수는 0.8% 하락했다.</x:v>
      </x:c>
      <x:c r="E19" s="596" t="str">
        <x:v>보류</x:v>
      </x:c>
      <x:c r="F19" s="596" t="str">
        <x:v>Y</x:v>
      </x:c>
      <x:c r="G19" s="596" t="str"/>
      <x:c r="H19" s="596" t="str">
        <x:v>DT_1J22042</x:v>
      </x:c>
      <x:c r="I19" s="596" t="str">
        <x:v>2</x:v>
      </x:c>
      <x:c r="J19" s="596" t="str"/>
      <x:c r="K19" s="596" t="str">
        <x:v>T03</x:v>
      </x:c>
      <x:c r="L19" s="596" t="str">
        <x:v>202510</x:v>
      </x:c>
      <x:c r="M19" s="596" t="str">
        <x:v>일치</x:v>
      </x:c>
      <x:c r="N19" s="596" t="str">
        <x:v>N</x:v>
      </x:c>
      <x:c r="O19" s="596" t="str">
        <x:v>N</x:v>
      </x:c>
      <x:c r="P19" s="598" t="str">
        <x:v>검증가능여부;통계표;항목;시점;주장수치;비교방식;최종판정</x:v>
      </x:c>
      <x:c r="Q19" s="598" t="str">
        <x:v>검증가능 지표를 코드북이 지원하지 않아 보류</x:v>
      </x:c>
    </x:row>
    <x:row r="20" ht="44" customHeight="1">
      <x:c r="A20" s="596" t="str">
        <x:v>19</x:v>
      </x:c>
      <x:c r="B20" s="596" t="str">
        <x:v>물가</x:v>
      </x:c>
      <x:c r="C20" s="596" t="str">
        <x:v>C20298</x:v>
      </x:c>
      <x:c r="D20" s="598" t="str">
        <x:v>국제유가 상승세로 석유류 물가는 4.8% 상승하면서 지난 2월(6.3%) 이후 가장 높은 상승 폭을 보였다.</x:v>
      </x:c>
      <x:c r="E20" s="596" t="str">
        <x:v>보류</x:v>
      </x:c>
      <x:c r="F20" s="596" t="str">
        <x:v>Y</x:v>
      </x:c>
      <x:c r="G20" s="596" t="str"/>
      <x:c r="H20" s="596" t="str">
        <x:v>DT_1J22112</x:v>
      </x:c>
      <x:c r="I20" s="596" t="str">
        <x:v>T10</x:v>
      </x:c>
      <x:c r="J20" s="596" t="str">
        <x:v>B05</x:v>
      </x:c>
      <x:c r="K20" s="596" t="str">
        <x:v>T</x:v>
      </x:c>
      <x:c r="L20" s="596" t="str">
        <x:v>202510</x:v>
      </x:c>
      <x:c r="M20" s="596" t="str">
        <x:v>일치</x:v>
      </x:c>
      <x:c r="N20" s="596" t="str">
        <x:v>N</x:v>
      </x:c>
      <x:c r="O20" s="596" t="str">
        <x:v>N</x:v>
      </x:c>
      <x:c r="P20" s="598" t="str">
        <x:v>검증가능여부;통계표;항목;시점;주장수치;비교방식;최종판정</x:v>
      </x:c>
      <x:c r="Q20" s="598" t="str">
        <x:v>검증가능 지표를 코드북이 지원하지 않아 보류</x:v>
      </x:c>
    </x:row>
    <x:row r="21" ht="44" customHeight="1">
      <x:c r="A21" s="596" t="str">
        <x:v>20</x:v>
      </x:c>
      <x:c r="B21" s="596" t="str">
        <x:v>물가</x:v>
      </x:c>
      <x:c r="C21" s="596" t="str">
        <x:v>C20299</x:v>
      </x:c>
      <x:c r="D21" s="598" t="str">
        <x:v>관련 기사 2.4% 찍은 소비자물가 상승률에...한은 "2% 내외로 다시 안정될 것" 지난달 소비자물가 상승률이 2.4%를 기록하며 1년 3개월 만에 최고치를 기록했다.</x:v>
      </x:c>
      <x:c r="E21" s="596" t="str">
        <x:v>보류</x:v>
      </x:c>
      <x:c r="F21" s="596" t="str">
        <x:v>Y</x:v>
      </x:c>
      <x:c r="G21" s="596" t="str"/>
      <x:c r="H21" s="596" t="str">
        <x:v>DT_1J22042</x:v>
      </x:c>
      <x:c r="I21" s="596" t="str">
        <x:v>0</x:v>
      </x:c>
      <x:c r="J21" s="596" t="str"/>
      <x:c r="K21" s="596" t="str">
        <x:v>T03</x:v>
      </x:c>
      <x:c r="L21" s="596" t="str">
        <x:v>202510</x:v>
      </x:c>
      <x:c r="M21" s="596" t="str">
        <x:v>일치</x:v>
      </x:c>
      <x:c r="N21" s="596" t="str">
        <x:v>N</x:v>
      </x:c>
      <x:c r="O21" s="596" t="str">
        <x:v>N</x:v>
      </x:c>
      <x:c r="P21" s="598" t="str">
        <x:v>검증가능여부;통계표;항목;시점;주장수치;비교방식;최종판정</x:v>
      </x:c>
      <x:c r="Q21" s="598" t="str">
        <x:v>검증가능 지표를 코드북이 지원하지 않아 보류</x:v>
      </x:c>
    </x:row>
    <x:row r="22" ht="44" customHeight="1">
      <x:c r="A22" s="596" t="str">
        <x:v>21</x:v>
      </x:c>
      <x:c r="B22" s="596" t="str">
        <x:v>고용</x:v>
      </x:c>
      <x:c r="C22" s="596" t="str">
        <x:v>C03732</x:v>
      </x:c>
      <x:c r="D22" s="598" t="str">
        <x:v>1963년 통계 작성 이래 처음으로 20% 아래로 떨어진 것이다.</x:v>
      </x:c>
      <x:c r="E22" s="596" t="str">
        <x:v>보류</x:v>
      </x:c>
      <x:c r="F22" s="596" t="str">
        <x:v>Y</x:v>
      </x:c>
      <x:c r="G22" s="596" t="str"/>
      <x:c r="H22" s="596" t="str">
        <x:v>DT_1DA7010S</x:v>
      </x:c>
      <x:c r="I22" s="596" t="str">
        <x:v>06/00</x:v>
      </x:c>
      <x:c r="J22" s="596" t="str"/>
      <x:c r="K22" s="596" t="str">
        <x:v>T30</x:v>
      </x:c>
      <x:c r="L22" s="596" t="str">
        <x:v>2024</x:v>
      </x:c>
      <x:c r="M22" s="596" t="str">
        <x:v>일치</x:v>
      </x:c>
      <x:c r="N22" s="596" t="str">
        <x:v>N</x:v>
      </x:c>
      <x:c r="O22" s="596" t="str">
        <x:v>N</x:v>
      </x:c>
      <x:c r="P22" s="598" t="str">
        <x:v>검증가능여부;통계표;항목;시점;주장수치;비교방식;최종판정</x:v>
      </x:c>
      <x:c r="Q22" s="598" t="str">
        <x:v>검증가능 지표를 코드북이 지원하지 않아 보류</x:v>
      </x:c>
    </x:row>
    <x:row r="23" ht="44" customHeight="1">
      <x:c r="A23" s="596" t="str">
        <x:v>22</x:v>
      </x:c>
      <x:c r="B23" s="596" t="str">
        <x:v>고용</x:v>
      </x:c>
      <x:c r="C23" s="596" t="str">
        <x:v>C03990</x:v>
      </x:c>
      <x:c r="D23" s="598" t="str">
        <x:v>미 노동부에 따르면 1월 미국 비농업 일자리는 전월대비 14만3000명 증가했다.</x:v>
      </x:c>
      <x:c r="E23" s="596" t="str">
        <x:v>검증불가</x:v>
      </x:c>
      <x:c r="F23" s="596" t="str">
        <x:v>N</x:v>
      </x:c>
      <x:c r="G23" s="596" t="str">
        <x:v>KOSIS 미제공</x:v>
      </x:c>
      <x:c r="H23" s="596" t="str"/>
      <x:c r="I23" s="596" t="str"/>
      <x:c r="J23" s="596" t="str"/>
      <x:c r="K23" s="596" t="str"/>
      <x:c r="L23" s="596" t="str"/>
      <x:c r="M23" s="596" t="str"/>
      <x:c r="N23" s="596" t="str">
        <x:v>Y</x:v>
      </x:c>
      <x:c r="O23" s="596" t="str">
        <x:v>N/A</x:v>
      </x:c>
      <x:c r="P23" s="598" t="str"/>
      <x:c r="Q23" s="598" t="str"/>
    </x:row>
    <x:row r="24" ht="44" customHeight="1">
      <x:c r="A24" s="596" t="str">
        <x:v>23</x:v>
      </x:c>
      <x:c r="B24" s="596" t="str">
        <x:v>고용</x:v>
      </x:c>
      <x:c r="C24" s="596" t="str">
        <x:v>C03991</x:v>
      </x:c>
      <x:c r="D24" s="598" t="str">
        <x:v>실업률은 4.0%로 전월(4.1%)보다 낮아졌고, 전문가 예상치(4.1%)도 하회했다.</x:v>
      </x:c>
      <x:c r="E24" s="596" t="str">
        <x:v>검증불가</x:v>
      </x:c>
      <x:c r="F24" s="596" t="str">
        <x:v>N</x:v>
      </x:c>
      <x:c r="G24" s="596" t="str">
        <x:v>KOSIS 미제공</x:v>
      </x:c>
      <x:c r="H24" s="596" t="str"/>
      <x:c r="I24" s="596" t="str"/>
      <x:c r="J24" s="596" t="str"/>
      <x:c r="K24" s="596" t="str"/>
      <x:c r="L24" s="596" t="str"/>
      <x:c r="M24" s="596" t="str"/>
      <x:c r="N24" s="596" t="str">
        <x:v>Y</x:v>
      </x:c>
      <x:c r="O24" s="596" t="str">
        <x:v>N/A</x:v>
      </x:c>
      <x:c r="P24" s="598" t="str"/>
      <x:c r="Q24" s="598" t="str"/>
    </x:row>
    <x:row r="25" ht="44" customHeight="1">
      <x:c r="A25" s="596" t="str">
        <x:v>24</x:v>
      </x:c>
      <x:c r="B25" s="596" t="str">
        <x:v>고용</x:v>
      </x:c>
      <x:c r="C25" s="596" t="str">
        <x:v>C06217</x:v>
      </x:c>
      <x:c r="D25" s="598" t="str">
        <x:v>올해 상반기 대졸 신규 채용을 준비 중인 기업들은 전체 인원의 31.2%를 경력직으로 선발할 계획이다.</x:v>
      </x:c>
      <x:c r="E25" s="596" t="str">
        <x:v>검증불가</x:v>
      </x:c>
      <x:c r="F25" s="596" t="str">
        <x:v>N</x:v>
      </x:c>
      <x:c r="G25" s="596" t="str">
        <x:v>KOSIS 미제공</x:v>
      </x:c>
      <x:c r="H25" s="596" t="str"/>
      <x:c r="I25" s="596" t="str"/>
      <x:c r="J25" s="596" t="str"/>
      <x:c r="K25" s="596" t="str"/>
      <x:c r="L25" s="596" t="str"/>
      <x:c r="M25" s="596" t="str"/>
      <x:c r="N25" s="596" t="str">
        <x:v>Y</x:v>
      </x:c>
      <x:c r="O25" s="596" t="str">
        <x:v>N/A</x:v>
      </x:c>
      <x:c r="P25" s="598" t="str"/>
      <x:c r="Q25" s="598" t="str"/>
    </x:row>
    <x:row r="26" ht="44" customHeight="1">
      <x:c r="A26" s="596" t="str">
        <x:v>25</x:v>
      </x:c>
      <x:c r="B26" s="596" t="str">
        <x:v>고용</x:v>
      </x:c>
      <x:c r="C26" s="596" t="str">
        <x:v>C07866</x:v>
      </x:c>
      <x:c r="D26" s="598" t="str">
        <x:v>1 통계청에 따르면 지난해 우리나라 전체 자영업자 수는 565만7000명이다.</x:v>
      </x:c>
      <x:c r="E26" s="596" t="str">
        <x:v>보류</x:v>
      </x:c>
      <x:c r="F26" s="596" t="str">
        <x:v>Y</x:v>
      </x:c>
      <x:c r="G26" s="596" t="str"/>
      <x:c r="H26" s="596" t="str">
        <x:v>DT_1DA7010S</x:v>
      </x:c>
      <x:c r="I26" s="596" t="str">
        <x:v>06</x:v>
      </x:c>
      <x:c r="J26" s="596" t="str"/>
      <x:c r="K26" s="596" t="str">
        <x:v>T30</x:v>
      </x:c>
      <x:c r="L26" s="596" t="str">
        <x:v>2024</x:v>
      </x:c>
      <x:c r="M26" s="596" t="str">
        <x:v>일치</x:v>
      </x:c>
      <x:c r="N26" s="596" t="str">
        <x:v>N</x:v>
      </x:c>
      <x:c r="O26" s="596" t="str">
        <x:v>N</x:v>
      </x:c>
      <x:c r="P26" s="598" t="str">
        <x:v>검증가능여부;통계표;항목;시점;주장수치;비교방식;최종판정</x:v>
      </x:c>
      <x:c r="Q26" s="598" t="str">
        <x:v>검증가능 지표를 코드북이 지원하지 않아 보류</x:v>
      </x:c>
    </x:row>
    <x:row r="27" ht="44" customHeight="1">
      <x:c r="A27" s="596" t="str">
        <x:v>26</x:v>
      </x:c>
      <x:c r="B27" s="596" t="str">
        <x:v>고용</x:v>
      </x:c>
      <x:c r="C27" s="596" t="str">
        <x:v>C07867</x:v>
      </x:c>
      <x:c r="D27" s="598" t="str">
        <x:v>이 중 직원 없는 ‘나 홀로 사장님’이 422만5000명으로 전체의 74.7%를 차지했다.</x:v>
      </x:c>
      <x:c r="E27" s="596" t="str">
        <x:v>보류</x:v>
      </x:c>
      <x:c r="F27" s="596" t="str">
        <x:v>Y</x:v>
      </x:c>
      <x:c r="G27" s="596" t="str"/>
      <x:c r="H27" s="596" t="str">
        <x:v>DT_1DA7010S</x:v>
      </x:c>
      <x:c r="I27" s="596" t="str">
        <x:v>21</x:v>
      </x:c>
      <x:c r="J27" s="596" t="str"/>
      <x:c r="K27" s="596" t="str">
        <x:v>T30</x:v>
      </x:c>
      <x:c r="L27" s="596" t="str">
        <x:v>2024</x:v>
      </x:c>
      <x:c r="M27" s="596" t="str">
        <x:v>일치</x:v>
      </x:c>
      <x:c r="N27" s="596" t="str">
        <x:v>N</x:v>
      </x:c>
      <x:c r="O27" s="596" t="str">
        <x:v>N</x:v>
      </x:c>
      <x:c r="P27" s="598" t="str">
        <x:v>검증가능여부;통계표;항목;시점;주장수치;비교방식;최종판정</x:v>
      </x:c>
      <x:c r="Q27" s="598" t="str">
        <x:v>검증가능 지표를 코드북이 지원하지 않아 보류</x:v>
      </x:c>
    </x:row>
    <x:row r="28" ht="44" customHeight="1">
      <x:c r="A28" s="596" t="str">
        <x:v>27</x:v>
      </x:c>
      <x:c r="B28" s="596" t="str">
        <x:v>고용</x:v>
      </x:c>
      <x:c r="C28" s="596" t="str">
        <x:v>C07973</x:v>
      </x:c>
      <x:c r="D28" s="598" t="str">
        <x:v>실업률은 4.3%에서 4.4%로, 물가상승률은 2.5%에서 2.7%로 올렸다.</x:v>
      </x:c>
      <x:c r="E28" s="596" t="str">
        <x:v>보류</x:v>
      </x:c>
      <x:c r="F28" s="596" t="str">
        <x:v>N</x:v>
      </x:c>
      <x:c r="G28" s="596" t="str">
        <x:v>KOSIS 미제공</x:v>
      </x:c>
      <x:c r="H28" s="596" t="str"/>
      <x:c r="I28" s="596" t="str"/>
      <x:c r="J28" s="596" t="str"/>
      <x:c r="K28" s="596" t="str"/>
      <x:c r="L28" s="596" t="str"/>
      <x:c r="M28" s="596" t="str"/>
      <x:c r="N28" s="596" t="str">
        <x:v>N</x:v>
      </x:c>
      <x:c r="O28" s="596" t="str">
        <x:v>N/A</x:v>
      </x:c>
      <x:c r="P28" s="598" t="str">
        <x:v>검증가능여부</x:v>
      </x:c>
      <x:c r="Q28" s="598" t="str">
        <x:v>검증불가 사유를 자동 분류하지 못해 보류</x:v>
      </x:c>
    </x:row>
    <x:row r="29" ht="44" customHeight="1">
      <x:c r="A29" s="596" t="str">
        <x:v>28</x:v>
      </x:c>
      <x:c r="B29" s="596" t="str">
        <x:v>고용</x:v>
      </x:c>
      <x:c r="C29" s="596" t="str">
        <x:v>C07974</x:v>
      </x:c>
      <x:c r="D29" s="598" t="str">
        <x:v>1970년대식 스태그플레이션 가능성에 대한 질문에 “현재 우리는 실업률이 완전고용에 근접한 4.1%를 유지하는 동안에도 인플레이션이 높은 수준에서 2%에 가깝게 둔화하는 상황에 있다”며 “우리가 (1970년대의)그런 상황과 비교할 만한 상황에 직면했다고 보진 않는다”라고 했다.</x:v>
      </x:c>
      <x:c r="E29" s="596" t="str">
        <x:v>검증불가</x:v>
      </x:c>
      <x:c r="F29" s="596" t="str">
        <x:v>N</x:v>
      </x:c>
      <x:c r="G29" s="596" t="str">
        <x:v>KOSIS 미제공</x:v>
      </x:c>
      <x:c r="H29" s="596" t="str"/>
      <x:c r="I29" s="596" t="str"/>
      <x:c r="J29" s="596" t="str"/>
      <x:c r="K29" s="596" t="str"/>
      <x:c r="L29" s="596" t="str"/>
      <x:c r="M29" s="596" t="str"/>
      <x:c r="N29" s="596" t="str">
        <x:v>Y</x:v>
      </x:c>
      <x:c r="O29" s="596" t="str">
        <x:v>N/A</x:v>
      </x:c>
      <x:c r="P29" s="598" t="str"/>
      <x:c r="Q29" s="598" t="str"/>
    </x:row>
    <x:row r="30" ht="44" customHeight="1">
      <x:c r="A30" s="596" t="str">
        <x:v>29</x:v>
      </x:c>
      <x:c r="B30" s="596" t="str">
        <x:v>고용</x:v>
      </x:c>
      <x:c r="C30" s="596" t="str">
        <x:v>C08764</x:v>
      </x:c>
      <x:c r="D30" s="598" t="str">
        <x:v>Z세대 구직자가 관심 있는 기술직 업종으로는 ‘IT‧배터리‧반도체(29%)’와 ‘자동차‧조선‧항공(29%)’이 나란히 1위를 차지했다.</x:v>
      </x:c>
      <x:c r="E30" s="596" t="str">
        <x:v>보류</x:v>
      </x:c>
      <x:c r="F30" s="596" t="str">
        <x:v>N</x:v>
      </x:c>
      <x:c r="G30" s="596" t="str">
        <x:v>KOSIS 미제공</x:v>
      </x:c>
      <x:c r="H30" s="596" t="str"/>
      <x:c r="I30" s="596" t="str"/>
      <x:c r="J30" s="596" t="str"/>
      <x:c r="K30" s="596" t="str"/>
      <x:c r="L30" s="596" t="str"/>
      <x:c r="M30" s="596" t="str"/>
      <x:c r="N30" s="596" t="str">
        <x:v>N</x:v>
      </x:c>
      <x:c r="O30" s="596" t="str">
        <x:v>N/A</x:v>
      </x:c>
      <x:c r="P30" s="598" t="str">
        <x:v>검증가능여부</x:v>
      </x:c>
      <x:c r="Q30" s="598" t="str">
        <x:v>검증불가 사유를 자동 분류하지 못해 보류</x:v>
      </x:c>
    </x:row>
    <x:row r="31" ht="44" customHeight="1">
      <x:c r="A31" s="596" t="str">
        <x:v>30</x:v>
      </x:c>
      <x:c r="B31" s="596" t="str">
        <x:v>고용</x:v>
      </x:c>
      <x:c r="C31" s="596" t="str">
        <x:v>C10535</x:v>
      </x:c>
      <x:c r="D31" s="598" t="str">
        <x:v>14일 통계청은 1분기 25~34세 청년층 취업자 수는 528만8000명으로 전년 동기(532만4000명)보다 3만6000명(0.7%) 줄었다고 밝혔다.</x:v>
      </x:c>
      <x:c r="E31" s="596" t="str">
        <x:v>보류</x:v>
      </x:c>
      <x:c r="F31" s="596" t="str">
        <x:v>Y</x:v>
      </x:c>
      <x:c r="G31" s="596" t="str"/>
      <x:c r="H31" s="596" t="str">
        <x:v>DT_1DA7002S</x:v>
      </x:c>
      <x:c r="I31" s="596" t="str">
        <x:v>202+301</x:v>
      </x:c>
      <x:c r="J31" s="596" t="str"/>
      <x:c r="K31" s="596" t="str">
        <x:v>T30</x:v>
      </x:c>
      <x:c r="L31" s="596" t="str">
        <x:v>202501</x:v>
      </x:c>
      <x:c r="M31" s="596" t="str">
        <x:v>일치</x:v>
      </x:c>
      <x:c r="N31" s="596" t="str">
        <x:v>N</x:v>
      </x:c>
      <x:c r="O31" s="596" t="str">
        <x:v>N</x:v>
      </x:c>
      <x:c r="P31" s="598" t="str">
        <x:v>검증가능여부;통계표;항목;시점;주장수치;비교방식;최종판정</x:v>
      </x:c>
      <x:c r="Q31" s="598" t="str">
        <x:v>검증가능 지표를 코드북이 지원하지 않아 보류</x:v>
      </x:c>
    </x:row>
    <x:row r="32" ht="44" customHeight="1">
      <x:c r="A32" s="596" t="str">
        <x:v>31</x:v>
      </x:c>
      <x:c r="B32" s="596" t="str">
        <x:v>고용</x:v>
      </x:c>
      <x:c r="C32" s="596" t="str">
        <x:v>C10540</x:v>
      </x:c>
      <x:c r="D32" s="598" t="str">
        <x:v>지난달 제조업 취업자는 전년 동월 대비 11만2000명 줄며 4년 4개월 만에 최대 감소 폭을 기록했고, 건설업 취업자는 18만5000명 급감하면서 2013년 관련 통계 집계 이래 최대 감소 폭을 보였다.</x:v>
      </x:c>
      <x:c r="E32" s="596" t="str">
        <x:v>보류</x:v>
      </x:c>
      <x:c r="F32" s="596" t="str">
        <x:v>Y</x:v>
      </x:c>
      <x:c r="G32" s="596" t="str"/>
      <x:c r="H32" s="596" t="str">
        <x:v>DT_1DA7E06S_NEW</x:v>
      </x:c>
      <x:c r="I32" s="596" t="str">
        <x:v>10</x:v>
      </x:c>
      <x:c r="J32" s="596" t="str"/>
      <x:c r="K32" s="596" t="str">
        <x:v>T30</x:v>
      </x:c>
      <x:c r="L32" s="596" t="str">
        <x:v>202503</x:v>
      </x:c>
      <x:c r="M32" s="596" t="str">
        <x:v>일치</x:v>
      </x:c>
      <x:c r="N32" s="596" t="str">
        <x:v>N</x:v>
      </x:c>
      <x:c r="O32" s="596" t="str">
        <x:v>N</x:v>
      </x:c>
      <x:c r="P32" s="598" t="str">
        <x:v>검증가능여부;통계표;항목;시점;주장수치;비교방식;최종판정</x:v>
      </x:c>
      <x:c r="Q32" s="598" t="str">
        <x:v>검증가능 지표를 코드북이 지원하지 않아 보류</x:v>
      </x:c>
    </x:row>
    <x:row r="33" ht="44" customHeight="1">
      <x:c r="A33" s="596" t="str">
        <x:v>32</x:v>
      </x:c>
      <x:c r="B33" s="596" t="str">
        <x:v>고용</x:v>
      </x:c>
      <x:c r="C33" s="596" t="str">
        <x:v>C16079</x:v>
      </x:c>
      <x:c r="D33" s="598" t="str">
        <x:v>국회 예산정책처에 따르면, 작년 8월 기준 65세 임금 근로자 61.2%는 비정규직이었고, 70세는 이 비율이 85.1%에 달했다.</x:v>
      </x:c>
      <x:c r="E33" s="596" t="str">
        <x:v>보류</x:v>
      </x:c>
      <x:c r="F33" s="596" t="str">
        <x:v>N</x:v>
      </x:c>
      <x:c r="G33" s="596" t="str">
        <x:v>KOSIS 미제공</x:v>
      </x:c>
      <x:c r="H33" s="596" t="str"/>
      <x:c r="I33" s="596" t="str"/>
      <x:c r="J33" s="596" t="str"/>
      <x:c r="K33" s="596" t="str"/>
      <x:c r="L33" s="596" t="str"/>
      <x:c r="M33" s="596" t="str"/>
      <x:c r="N33" s="596" t="str">
        <x:v>N</x:v>
      </x:c>
      <x:c r="O33" s="596" t="str">
        <x:v>N/A</x:v>
      </x:c>
      <x:c r="P33" s="598" t="str">
        <x:v>검증가능여부</x:v>
      </x:c>
      <x:c r="Q33" s="598" t="str">
        <x:v>검증불가 사유를 자동 분류하지 못해 보류</x:v>
      </x:c>
    </x:row>
    <x:row r="34" ht="44" customHeight="1">
      <x:c r="A34" s="596" t="str">
        <x:v>33</x:v>
      </x:c>
      <x:c r="B34" s="596" t="str">
        <x:v>고용</x:v>
      </x:c>
      <x:c r="C34" s="596" t="str">
        <x:v>C16575</x:v>
      </x:c>
      <x:c r="D34" s="598" t="str">
        <x:v>미 뉴욕 연방준비은행의 최근 보고서에 따르면, 지난 3월 미국 대학 졸업생들의 실업률은 5.8%로 1년 전(4.6%)보다 1.2%포인트 상승했다.</x:v>
      </x:c>
      <x:c r="E34" s="596" t="str">
        <x:v>검증불가</x:v>
      </x:c>
      <x:c r="F34" s="596" t="str">
        <x:v>N</x:v>
      </x:c>
      <x:c r="G34" s="596" t="str">
        <x:v>KOSIS 미제공</x:v>
      </x:c>
      <x:c r="H34" s="596" t="str"/>
      <x:c r="I34" s="596" t="str"/>
      <x:c r="J34" s="596" t="str"/>
      <x:c r="K34" s="596" t="str"/>
      <x:c r="L34" s="596" t="str"/>
      <x:c r="M34" s="596" t="str"/>
      <x:c r="N34" s="596" t="str">
        <x:v>Y</x:v>
      </x:c>
      <x:c r="O34" s="596" t="str">
        <x:v>N/A</x:v>
      </x:c>
      <x:c r="P34" s="598" t="str"/>
      <x:c r="Q34" s="598" t="str"/>
    </x:row>
    <x:row r="35" ht="44" customHeight="1">
      <x:c r="A35" s="596" t="str">
        <x:v>34</x:v>
      </x:c>
      <x:c r="B35" s="596" t="str">
        <x:v>고용</x:v>
      </x:c>
      <x:c r="C35" s="596" t="str">
        <x:v>C16576</x:v>
      </x:c>
      <x:c r="D35" s="598" t="str">
        <x:v>하버드 MBA 봄 학기 졸업생 가운데 졸업 이후 3개월 넘게 구직 활동을 하는 이들의 비율이 2022년에는 10%에 불과했지만, 지난해 23%로 늘었다는 것이다.</x:v>
      </x:c>
      <x:c r="E35" s="596" t="str">
        <x:v>보류</x:v>
      </x:c>
      <x:c r="F35" s="596" t="str">
        <x:v>N</x:v>
      </x:c>
      <x:c r="G35" s="596" t="str">
        <x:v>KOSIS 미제공</x:v>
      </x:c>
      <x:c r="H35" s="596" t="str"/>
      <x:c r="I35" s="596" t="str"/>
      <x:c r="J35" s="596" t="str"/>
      <x:c r="K35" s="596" t="str"/>
      <x:c r="L35" s="596" t="str"/>
      <x:c r="M35" s="596" t="str"/>
      <x:c r="N35" s="596" t="str">
        <x:v>N</x:v>
      </x:c>
      <x:c r="O35" s="596" t="str">
        <x:v>N/A</x:v>
      </x:c>
      <x:c r="P35" s="598" t="str">
        <x:v>검증가능여부</x:v>
      </x:c>
      <x:c r="Q35" s="598" t="str">
        <x:v>검증불가 사유를 자동 분류하지 못해 보류</x:v>
      </x:c>
    </x:row>
    <x:row r="36" ht="44" customHeight="1">
      <x:c r="A36" s="596" t="str">
        <x:v>35</x:v>
      </x:c>
      <x:c r="B36" s="596" t="str">
        <x:v>고용</x:v>
      </x:c>
      <x:c r="C36" s="596" t="str">
        <x:v>C16580</x:v>
      </x:c>
      <x:c r="D36" s="598" t="str">
        <x:v>15년 전인 2010년 4월 기준 두 집단 사이의 실업률 차이가 8.7%포인트에 달했지만, 올해 4월에는 그 차이가 1.6%포인트로 크게 줄었다는 것이다.</x:v>
      </x:c>
      <x:c r="E36" s="596" t="str">
        <x:v>보류</x:v>
      </x:c>
      <x:c r="F36" s="596" t="str">
        <x:v>N</x:v>
      </x:c>
      <x:c r="G36" s="596" t="str">
        <x:v>KOSIS 미제공</x:v>
      </x:c>
      <x:c r="H36" s="596" t="str"/>
      <x:c r="I36" s="596" t="str"/>
      <x:c r="J36" s="596" t="str"/>
      <x:c r="K36" s="596" t="str"/>
      <x:c r="L36" s="596" t="str"/>
      <x:c r="M36" s="596" t="str"/>
      <x:c r="N36" s="596" t="str">
        <x:v>N</x:v>
      </x:c>
      <x:c r="O36" s="596" t="str">
        <x:v>N/A</x:v>
      </x:c>
      <x:c r="P36" s="598" t="str">
        <x:v>검증가능여부</x:v>
      </x:c>
      <x:c r="Q36" s="598" t="str">
        <x:v>검증불가 사유를 자동 분류하지 못해 보류</x:v>
      </x:c>
    </x:row>
    <x:row r="37" ht="44" customHeight="1">
      <x:c r="A37" s="596" t="str">
        <x:v>36</x:v>
      </x:c>
      <x:c r="B37" s="596" t="str">
        <x:v>고용</x:v>
      </x:c>
      <x:c r="C37" s="596" t="str">
        <x:v>C17276</x:v>
      </x:c>
      <x:c r="D37" s="598" t="str">
        <x:v>우리나라의 전체 취업자 대비 자영업자 비율은 23.2%로 프랑스(12.9%), 일본(9.5%), 독일(8.5%), 미국(6.1%) 등 주요국을 크게 웃돈다.</x:v>
      </x:c>
      <x:c r="E37" s="596" t="str">
        <x:v>검증불가</x:v>
      </x:c>
      <x:c r="F37" s="596" t="str">
        <x:v>N</x:v>
      </x:c>
      <x:c r="G37" s="596" t="str">
        <x:v>정보 부족</x:v>
      </x:c>
      <x:c r="H37" s="596" t="str"/>
      <x:c r="I37" s="596" t="str"/>
      <x:c r="J37" s="596" t="str"/>
      <x:c r="K37" s="596" t="str"/>
      <x:c r="L37" s="596" t="str"/>
      <x:c r="M37" s="596" t="str"/>
      <x:c r="N37" s="596" t="str">
        <x:v>Y</x:v>
      </x:c>
      <x:c r="O37" s="596" t="str">
        <x:v>N/A</x:v>
      </x:c>
      <x:c r="P37" s="598" t="str"/>
      <x:c r="Q37" s="598" t="str"/>
    </x:row>
    <x:row r="38" ht="44" customHeight="1">
      <x:c r="A38" s="596" t="str">
        <x:v>37</x:v>
      </x:c>
      <x:c r="B38" s="596" t="str">
        <x:v>고용</x:v>
      </x:c>
      <x:c r="C38" s="596" t="str">
        <x:v>C19459</x:v>
      </x:c>
      <x:c r="D38" s="598" t="str">
        <x:v>15일 한국경영자총협회는 “국내 4년제 대학 경제·경영·법학교수 210명에게 65세로 법정 정년이 연장될 경우 가장 큰 부정적 효과를 설문한 결과, 응답자의 62.4%(이하 복수 응답)가 ‘청년층 신규 채용 감소’를 꼽았다“고 밝혔다.</x:v>
      </x:c>
      <x:c r="E38" s="596" t="str">
        <x:v>검증불가</x:v>
      </x:c>
      <x:c r="F38" s="596" t="str">
        <x:v>N</x:v>
      </x:c>
      <x:c r="G38" s="596" t="str">
        <x:v>KOSIS 미제공</x:v>
      </x:c>
      <x:c r="H38" s="596" t="str"/>
      <x:c r="I38" s="596" t="str"/>
      <x:c r="J38" s="596" t="str"/>
      <x:c r="K38" s="596" t="str"/>
      <x:c r="L38" s="596" t="str"/>
      <x:c r="M38" s="596" t="str"/>
      <x:c r="N38" s="596" t="str">
        <x:v>Y</x:v>
      </x:c>
      <x:c r="O38" s="596" t="str">
        <x:v>N/A</x:v>
      </x:c>
      <x:c r="P38" s="598" t="str"/>
      <x:c r="Q38" s="598" t="str"/>
    </x:row>
    <x:row r="39" ht="44" customHeight="1">
      <x:c r="A39" s="596" t="str">
        <x:v>38</x:v>
      </x:c>
      <x:c r="B39" s="596" t="str">
        <x:v>고용</x:v>
      </x:c>
      <x:c r="C39" s="596" t="str">
        <x:v>C20041</x:v>
      </x:c>
      <x:c r="D39" s="598" t="str">
        <x:v>이와 동시에 박람회 참여 기업 215개사 대상 설문조사에서는 58%가 ‘인재 채용이 쉽지 않다’고 답해 고용시장의 미스매치가 심각함이 드러났다.</x:v>
      </x:c>
      <x:c r="E39" s="596" t="str">
        <x:v>검증불가</x:v>
      </x:c>
      <x:c r="F39" s="596" t="str">
        <x:v>N</x:v>
      </x:c>
      <x:c r="G39" s="596" t="str">
        <x:v>KOSIS 미제공</x:v>
      </x:c>
      <x:c r="H39" s="596" t="str"/>
      <x:c r="I39" s="596" t="str"/>
      <x:c r="J39" s="596" t="str"/>
      <x:c r="K39" s="596" t="str"/>
      <x:c r="L39" s="596" t="str"/>
      <x:c r="M39" s="596" t="str"/>
      <x:c r="N39" s="596" t="str">
        <x:v>Y</x:v>
      </x:c>
      <x:c r="O39" s="596" t="str">
        <x:v>N/A</x:v>
      </x:c>
      <x:c r="P39" s="598" t="str"/>
      <x:c r="Q39" s="598" t="str"/>
    </x:row>
    <x:row r="40" ht="44" customHeight="1">
      <x:c r="A40" s="596" t="str">
        <x:v>39</x:v>
      </x:c>
      <x:c r="B40" s="596" t="str">
        <x:v>고용</x:v>
      </x:c>
      <x:c r="C40" s="596" t="str">
        <x:v>C20327</x:v>
      </x:c>
      <x:c r="D40" s="598" t="str">
        <x:v>전체 취업자 중 비임금 근로자가 차지하는 비율(22.6%)도 역대 최저였다.</x:v>
      </x:c>
      <x:c r="E40" s="596" t="str">
        <x:v>보류</x:v>
      </x:c>
      <x:c r="F40" s="596" t="str">
        <x:v>Y</x:v>
      </x:c>
      <x:c r="G40" s="596" t="str"/>
      <x:c r="H40" s="596" t="str">
        <x:v>DT_1DE6026S</x:v>
      </x:c>
      <x:c r="I40" s="596" t="str">
        <x:v>0</x:v>
      </x:c>
      <x:c r="J40" s="596" t="str"/>
      <x:c r="K40" s="596" t="str">
        <x:v>T10</x:v>
      </x:c>
      <x:c r="L40" s="596" t="str">
        <x:v>202508</x:v>
      </x:c>
      <x:c r="M40" s="596" t="str">
        <x:v>일치</x:v>
      </x:c>
      <x:c r="N40" s="596" t="str">
        <x:v>N</x:v>
      </x:c>
      <x:c r="O40" s="596" t="str">
        <x:v>N</x:v>
      </x:c>
      <x:c r="P40" s="598" t="str">
        <x:v>검증가능여부;통계표;항목;시점;주장수치;비교방식;최종판정</x:v>
      </x:c>
      <x:c r="Q40" s="598" t="str">
        <x:v>검증가능 지표를 코드북이 지원하지 않아 보류</x:v>
      </x:c>
    </x:row>
    <x:row r="41" ht="44" customHeight="1">
      <x:c r="A41" s="596" t="str">
        <x:v>40</x:v>
      </x:c>
      <x:c r="B41" s="596" t="str">
        <x:v>고용</x:v>
      </x:c>
      <x:c r="C41" s="596" t="str">
        <x:v>C20379</x:v>
      </x:c>
      <x:c r="D41" s="598" t="str">
        <x:v>실업률은 1%로 가장 낮다.</x:v>
      </x:c>
      <x:c r="E41" s="596" t="str">
        <x:v>보류</x:v>
      </x:c>
      <x:c r="F41" s="596" t="str">
        <x:v>Y</x:v>
      </x:c>
      <x:c r="G41" s="596" t="str"/>
      <x:c r="H41" s="596" t="str">
        <x:v>DT_1DA7004S</x:v>
      </x:c>
      <x:c r="I41" s="596" t="str">
        <x:v>33</x:v>
      </x:c>
      <x:c r="J41" s="596" t="str"/>
      <x:c r="K41" s="596" t="str">
        <x:v>T80</x:v>
      </x:c>
      <x:c r="L41" s="596" t="str">
        <x:v>202509</x:v>
      </x:c>
      <x:c r="M41" s="596" t="str">
        <x:v>일치</x:v>
      </x:c>
      <x:c r="N41" s="596" t="str">
        <x:v>N</x:v>
      </x:c>
      <x:c r="O41" s="596" t="str">
        <x:v>N</x:v>
      </x:c>
      <x:c r="P41" s="598" t="str">
        <x:v>검증가능여부;통계표;항목;시점;주장수치;비교방식;최종판정</x:v>
      </x:c>
      <x:c r="Q41" s="598" t="str">
        <x:v>검증가능 지표를 코드북이 지원하지 않아 보류</x:v>
      </x:c>
    </x:row>
    <x:row r="42" ht="44" customHeight="1">
      <x:c r="A42" s="596" t="str">
        <x:v>41</x:v>
      </x:c>
      <x:c r="B42" s="596" t="str">
        <x:v>무역</x:v>
      </x:c>
      <x:c r="C42" s="596" t="str">
        <x:v>C00688</x:v>
      </x:c>
      <x:c r="D42" s="598" t="str">
        <x:v>전체 수입차 판매는 2023년(27만1034대)보다 2.9% 감소한 26만3288대에 그쳤다.</x:v>
      </x:c>
      <x:c r="E42" s="596" t="str">
        <x:v>보류</x:v>
      </x:c>
      <x:c r="F42" s="596" t="str">
        <x:v>N</x:v>
      </x:c>
      <x:c r="G42" s="596" t="str">
        <x:v>KOSIS 미제공</x:v>
      </x:c>
      <x:c r="H42" s="596" t="str"/>
      <x:c r="I42" s="596" t="str"/>
      <x:c r="J42" s="596" t="str"/>
      <x:c r="K42" s="596" t="str"/>
      <x:c r="L42" s="596" t="str"/>
      <x:c r="M42" s="596" t="str"/>
      <x:c r="N42" s="596" t="str">
        <x:v>N</x:v>
      </x:c>
      <x:c r="O42" s="596" t="str">
        <x:v>N/A</x:v>
      </x:c>
      <x:c r="P42" s="598" t="str">
        <x:v>검증가능여부</x:v>
      </x:c>
      <x:c r="Q42" s="598" t="str">
        <x:v>검증불가 사유를 자동 분류하지 못해 보류</x:v>
      </x:c>
    </x:row>
    <x:row r="43" ht="44" customHeight="1">
      <x:c r="A43" s="596" t="str">
        <x:v>42</x:v>
      </x:c>
      <x:c r="B43" s="596" t="str">
        <x:v>무역</x:v>
      </x:c>
      <x:c r="C43" s="596" t="str">
        <x:v>C02277</x:v>
      </x:c>
      <x:c r="D43" s="598" t="str">
        <x:v>그나마 수출이 잘됐던 작년 1분기(1.3%) 덕에 2% 턱걸이를 했다.</x:v>
      </x:c>
      <x:c r="E43" s="596" t="str">
        <x:v>보류</x:v>
      </x:c>
      <x:c r="F43" s="596" t="str">
        <x:v>Y</x:v>
      </x:c>
      <x:c r="G43" s="596" t="str"/>
      <x:c r="H43" s="596" t="str">
        <x:v>DT_200Y104</x:v>
      </x:c>
      <x:c r="I43" s="596" t="str">
        <x:v>13102136259ACC_ITEM.1400</x:v>
      </x:c>
      <x:c r="J43" s="596" t="str"/>
      <x:c r="K43" s="596" t="str">
        <x:v>13103136259999</x:v>
      </x:c>
      <x:c r="L43" s="596" t="str">
        <x:v>202401</x:v>
      </x:c>
      <x:c r="M43" s="596" t="str">
        <x:v>일치</x:v>
      </x:c>
      <x:c r="N43" s="596" t="str">
        <x:v>N</x:v>
      </x:c>
      <x:c r="O43" s="596" t="str">
        <x:v>N</x:v>
      </x:c>
      <x:c r="P43" s="598" t="str">
        <x:v>검증가능여부;통계표;항목;시점;주장수치;비교방식;최종판정</x:v>
      </x:c>
      <x:c r="Q43" s="598" t="str">
        <x:v>검증가능 지표를 코드북이 지원하지 않아 보류</x:v>
      </x:c>
    </x:row>
    <x:row r="44" ht="44" customHeight="1">
      <x:c r="A44" s="596" t="str">
        <x:v>43</x:v>
      </x:c>
      <x:c r="B44" s="596" t="str">
        <x:v>무역</x:v>
      </x:c>
      <x:c r="C44" s="596" t="str">
        <x:v>C04244</x:v>
      </x:c>
      <x:c r="D44" s="598" t="str">
        <x:v>국가별로는 대(對)중국 수출이 29조5200만달러로 4.5% 증가한 반면, 대미 수출은 8.6% 줄었다.</x:v>
      </x:c>
      <x:c r="E44" s="596" t="str">
        <x:v>보류</x:v>
      </x:c>
      <x:c r="F44" s="596" t="str">
        <x:v>N</x:v>
      </x:c>
      <x:c r="G44" s="596" t="str">
        <x:v>KOSIS 미제공</x:v>
      </x:c>
      <x:c r="H44" s="596" t="str"/>
      <x:c r="I44" s="596" t="str"/>
      <x:c r="J44" s="596" t="str"/>
      <x:c r="K44" s="596" t="str"/>
      <x:c r="L44" s="596" t="str"/>
      <x:c r="M44" s="596" t="str"/>
      <x:c r="N44" s="596" t="str">
        <x:v>N</x:v>
      </x:c>
      <x:c r="O44" s="596" t="str">
        <x:v>N/A</x:v>
      </x:c>
      <x:c r="P44" s="598" t="str">
        <x:v>검증가능여부</x:v>
      </x:c>
      <x:c r="Q44" s="598" t="str">
        <x:v>검증불가 사유를 자동 분류하지 못해 보류</x:v>
      </x:c>
    </x:row>
    <x:row r="45" ht="44" customHeight="1">
      <x:c r="A45" s="596" t="str">
        <x:v>44</x:v>
      </x:c>
      <x:c r="B45" s="596" t="str">
        <x:v>무역</x:v>
      </x:c>
      <x:c r="C45" s="596" t="str">
        <x:v>C05931</x:v>
      </x:c>
      <x:c r="D45" s="598" t="str">
        <x:v>전 세계 인구 60%가 이 아래에 있다.</x:v>
      </x:c>
      <x:c r="E45" s="596" t="str">
        <x:v>보류</x:v>
      </x:c>
      <x:c r="F45" s="596" t="str">
        <x:v>N</x:v>
      </x:c>
      <x:c r="G45" s="596" t="str">
        <x:v>정보 부족</x:v>
      </x:c>
      <x:c r="H45" s="596" t="str"/>
      <x:c r="I45" s="596" t="str"/>
      <x:c r="J45" s="596" t="str"/>
      <x:c r="K45" s="596" t="str"/>
      <x:c r="L45" s="596" t="str"/>
      <x:c r="M45" s="596" t="str"/>
      <x:c r="N45" s="596" t="str">
        <x:v>N</x:v>
      </x:c>
      <x:c r="O45" s="596" t="str">
        <x:v>N/A</x:v>
      </x:c>
      <x:c r="P45" s="598" t="str">
        <x:v>검증가능여부</x:v>
      </x:c>
      <x:c r="Q45" s="598" t="str">
        <x:v>검증불가 사유를 자동 분류하지 못해 보류</x:v>
      </x:c>
    </x:row>
    <x:row r="46" ht="44" customHeight="1">
      <x:c r="A46" s="596" t="str">
        <x:v>45</x:v>
      </x:c>
      <x:c r="B46" s="596" t="str">
        <x:v>무역</x:v>
      </x:c>
      <x:c r="C46" s="596" t="str">
        <x:v>C08058</x:v>
      </x:c>
      <x:c r="D46" s="598" t="str">
        <x:v>수입액은 원유·가스·석탄 등 에너지 수입액 감소 여파로 전년 동기 대비 1.4%로 줄어든 344억달러로 집계됐다.</x:v>
      </x:c>
      <x:c r="E46" s="596" t="str">
        <x:v>보류</x:v>
      </x:c>
      <x:c r="F46" s="596" t="str">
        <x:v>N</x:v>
      </x:c>
      <x:c r="G46" s="596" t="str">
        <x:v>KOSIS 미제공</x:v>
      </x:c>
      <x:c r="H46" s="596" t="str"/>
      <x:c r="I46" s="596" t="str"/>
      <x:c r="J46" s="596" t="str"/>
      <x:c r="K46" s="596" t="str"/>
      <x:c r="L46" s="596" t="str"/>
      <x:c r="M46" s="596" t="str"/>
      <x:c r="N46" s="596" t="str">
        <x:v>N</x:v>
      </x:c>
      <x:c r="O46" s="596" t="str">
        <x:v>N/A</x:v>
      </x:c>
      <x:c r="P46" s="598" t="str">
        <x:v>검증가능여부</x:v>
      </x:c>
      <x:c r="Q46" s="598" t="str">
        <x:v>검증불가 사유를 자동 분류하지 못해 보류</x:v>
      </x:c>
    </x:row>
    <x:row r="47" ht="44" customHeight="1">
      <x:c r="A47" s="596" t="str">
        <x:v>46</x:v>
      </x:c>
      <x:c r="B47" s="596" t="str">
        <x:v>무역</x:v>
      </x:c>
      <x:c r="C47" s="596" t="str">
        <x:v>C09115</x:v>
      </x:c>
      <x:c r="D47" s="598" t="str">
        <x:v>이미 25% 관세가 시행 중인 철강 업계는 상호 관세 부과로 관세가 40~50%에 이르면 수출이 어려워질 것이라는 분위기다.</x:v>
      </x:c>
      <x:c r="E47" s="596" t="str">
        <x:v>보류</x:v>
      </x:c>
      <x:c r="F47" s="596" t="str">
        <x:v>N</x:v>
      </x:c>
      <x:c r="G47" s="596" t="str">
        <x:v>정보 부족</x:v>
      </x:c>
      <x:c r="H47" s="596" t="str"/>
      <x:c r="I47" s="596" t="str"/>
      <x:c r="J47" s="596" t="str"/>
      <x:c r="K47" s="596" t="str"/>
      <x:c r="L47" s="596" t="str"/>
      <x:c r="M47" s="596" t="str"/>
      <x:c r="N47" s="596" t="str">
        <x:v>N</x:v>
      </x:c>
      <x:c r="O47" s="596" t="str">
        <x:v>N/A</x:v>
      </x:c>
      <x:c r="P47" s="598" t="str">
        <x:v>검증가능여부</x:v>
      </x:c>
      <x:c r="Q47" s="598" t="str">
        <x:v>검증불가 사유를 자동 분류하지 못해 보류</x:v>
      </x:c>
    </x:row>
    <x:row r="48" ht="44" customHeight="1">
      <x:c r="A48" s="596" t="str">
        <x:v>47</x:v>
      </x:c>
      <x:c r="B48" s="596" t="str">
        <x:v>무역</x:v>
      </x:c>
      <x:c r="C48" s="596" t="str">
        <x:v>C09690</x:v>
      </x:c>
      <x:c r="D48" s="598" t="str">
        <x:v>아직 물가 상승률이 연준의 목표치인 2%에 도달하지 못했는데, 높은 관세 때문에 물가는 높게 유지되면서 경기는 꺾이는 스태그플레이션 위험이 커지고 있기 때문이다.</x:v>
      </x:c>
      <x:c r="E48" s="596" t="str">
        <x:v>검증불가</x:v>
      </x:c>
      <x:c r="F48" s="596" t="str">
        <x:v>N</x:v>
      </x:c>
      <x:c r="G48" s="596" t="str">
        <x:v>정보 부족</x:v>
      </x:c>
      <x:c r="H48" s="596" t="str"/>
      <x:c r="I48" s="596" t="str"/>
      <x:c r="J48" s="596" t="str"/>
      <x:c r="K48" s="596" t="str"/>
      <x:c r="L48" s="596" t="str"/>
      <x:c r="M48" s="596" t="str"/>
      <x:c r="N48" s="596" t="str">
        <x:v>Y</x:v>
      </x:c>
      <x:c r="O48" s="596" t="str">
        <x:v>N/A</x:v>
      </x:c>
      <x:c r="P48" s="598" t="str"/>
      <x:c r="Q48" s="598" t="str"/>
    </x:row>
    <x:row r="49" ht="44" customHeight="1">
      <x:c r="A49" s="596" t="str">
        <x:v>48</x:v>
      </x:c>
      <x:c r="B49" s="596" t="str">
        <x:v>무역</x:v>
      </x:c>
      <x:c r="C49" s="596" t="str">
        <x:v>C10045</x:v>
      </x:c>
      <x:c r="D49" s="598" t="str">
        <x:v>우리나라가 세계 최고 경쟁력을 가진 조선업, 중국·일본과 함께 세계 3대 수입국인 LNG가 25%에 이르는 상호 관세율을 내리는 데 어떤 역할을 할 수 있을지 주목된다.</x:v>
      </x:c>
      <x:c r="E49" s="596" t="str">
        <x:v>검증불가</x:v>
      </x:c>
      <x:c r="F49" s="596" t="str">
        <x:v>N</x:v>
      </x:c>
      <x:c r="G49" s="596" t="str">
        <x:v>정보 부족</x:v>
      </x:c>
      <x:c r="H49" s="596" t="str"/>
      <x:c r="I49" s="596" t="str"/>
      <x:c r="J49" s="596" t="str"/>
      <x:c r="K49" s="596" t="str"/>
      <x:c r="L49" s="596" t="str"/>
      <x:c r="M49" s="596" t="str"/>
      <x:c r="N49" s="596" t="str">
        <x:v>Y</x:v>
      </x:c>
      <x:c r="O49" s="596" t="str">
        <x:v>N/A</x:v>
      </x:c>
      <x:c r="P49" s="598" t="str"/>
      <x:c r="Q49" s="598" t="str"/>
    </x:row>
    <x:row r="50" ht="44" customHeight="1">
      <x:c r="A50" s="596" t="str">
        <x:v>49</x:v>
      </x:c>
      <x:c r="B50" s="596" t="str">
        <x:v>무역</x:v>
      </x:c>
      <x:c r="C50" s="596" t="str">
        <x:v>C11295</x:v>
      </x:c>
      <x:c r="D50" s="598" t="str">
        <x:v>미국이 이달부터 모든 수입차에 부과하는 25% 관세 역시 글로벌 자동차들의 발걸음을 중국으로 돌리고 있다.</x:v>
      </x:c>
      <x:c r="E50" s="596" t="str">
        <x:v>보류</x:v>
      </x:c>
      <x:c r="F50" s="596" t="str">
        <x:v>N</x:v>
      </x:c>
      <x:c r="G50" s="596" t="str">
        <x:v>KOSIS 미제공</x:v>
      </x:c>
      <x:c r="H50" s="596" t="str"/>
      <x:c r="I50" s="596" t="str"/>
      <x:c r="J50" s="596" t="str"/>
      <x:c r="K50" s="596" t="str"/>
      <x:c r="L50" s="596" t="str"/>
      <x:c r="M50" s="596" t="str"/>
      <x:c r="N50" s="596" t="str">
        <x:v>N</x:v>
      </x:c>
      <x:c r="O50" s="596" t="str">
        <x:v>N/A</x:v>
      </x:c>
      <x:c r="P50" s="598" t="str">
        <x:v>검증가능여부</x:v>
      </x:c>
      <x:c r="Q50" s="598" t="str">
        <x:v>검증불가 사유를 자동 분류하지 못해 보류</x:v>
      </x:c>
    </x:row>
    <x:row r="51" ht="44" customHeight="1">
      <x:c r="A51" s="596" t="str">
        <x:v>50</x:v>
      </x:c>
      <x:c r="B51" s="596" t="str">
        <x:v>무역</x:v>
      </x:c>
      <x:c r="C51" s="596" t="str">
        <x:v>C12660</x:v>
      </x:c>
      <x:c r="D51" s="598" t="str">
        <x:v>GM(제너럴모터스)은 1분기 순이익이 28억달러로 전년 동기 대비 6.6% 줄었다고 밝히면서, 관세로 인해 올해 최대 50억달러(약 7조원)의 비용이 발생할 것으로 전망했다.</x:v>
      </x:c>
      <x:c r="E51" s="596" t="str">
        <x:v>검증불가</x:v>
      </x:c>
      <x:c r="F51" s="596" t="str">
        <x:v>N</x:v>
      </x:c>
      <x:c r="G51" s="596" t="str">
        <x:v>KOSIS 미제공</x:v>
      </x:c>
      <x:c r="H51" s="596" t="str"/>
      <x:c r="I51" s="596" t="str"/>
      <x:c r="J51" s="596" t="str"/>
      <x:c r="K51" s="596" t="str"/>
      <x:c r="L51" s="596" t="str"/>
      <x:c r="M51" s="596" t="str"/>
      <x:c r="N51" s="596" t="str">
        <x:v>Y</x:v>
      </x:c>
      <x:c r="O51" s="596" t="str">
        <x:v>N/A</x:v>
      </x:c>
      <x:c r="P51" s="598" t="str"/>
      <x:c r="Q51" s="598" t="str"/>
    </x:row>
    <x:row r="52" ht="44" customHeight="1">
      <x:c r="A52" s="596" t="str">
        <x:v>51</x:v>
      </x:c>
      <x:c r="B52" s="596" t="str">
        <x:v>무역</x:v>
      </x:c>
      <x:c r="C52" s="596" t="str">
        <x:v>C13058</x:v>
      </x:c>
      <x:c r="D52" s="598" t="str">
        <x:v>국가별로 보면 베트남(14.5%) 등에서는 수입이 늘었지만, 중국(-16.8%), 미국(-20.0%), 유럽연합(-21.1%) 등은 줄었다.</x:v>
      </x:c>
      <x:c r="E52" s="596" t="str">
        <x:v>보류</x:v>
      </x:c>
      <x:c r="F52" s="596" t="str">
        <x:v>N</x:v>
      </x:c>
      <x:c r="G52" s="596" t="str">
        <x:v>KOSIS 미제공</x:v>
      </x:c>
      <x:c r="H52" s="596" t="str"/>
      <x:c r="I52" s="596" t="str"/>
      <x:c r="J52" s="596" t="str"/>
      <x:c r="K52" s="596" t="str"/>
      <x:c r="L52" s="596" t="str"/>
      <x:c r="M52" s="596" t="str"/>
      <x:c r="N52" s="596" t="str">
        <x:v>N</x:v>
      </x:c>
      <x:c r="O52" s="596" t="str">
        <x:v>N/A</x:v>
      </x:c>
      <x:c r="P52" s="598" t="str">
        <x:v>검증가능여부</x:v>
      </x:c>
      <x:c r="Q52" s="598" t="str">
        <x:v>검증불가 사유를 자동 분류하지 못해 보류</x:v>
      </x:c>
    </x:row>
    <x:row r="53" ht="44" customHeight="1">
      <x:c r="A53" s="596" t="str">
        <x:v>52</x:v>
      </x:c>
      <x:c r="B53" s="596" t="str">
        <x:v>무역</x:v>
      </x:c>
      <x:c r="C53" s="596" t="str">
        <x:v>C13856</x:v>
      </x:c>
      <x:c r="D53" s="598" t="str">
        <x:v>0 트럼프 관세 전쟁 우려, 국내 정치 불확실성 등에도 불구하고 올해 1분기(1~3월) 유가증권시장(코스피) 상장사들의 영업 이익이 23% 넘게 급증했다.</x:v>
      </x:c>
      <x:c r="E53" s="596" t="str">
        <x:v>보류</x:v>
      </x:c>
      <x:c r="F53" s="596" t="str">
        <x:v>N</x:v>
      </x:c>
      <x:c r="G53" s="596" t="str">
        <x:v>KOSIS 미제공</x:v>
      </x:c>
      <x:c r="H53" s="596" t="str"/>
      <x:c r="I53" s="596" t="str"/>
      <x:c r="J53" s="596" t="str"/>
      <x:c r="K53" s="596" t="str"/>
      <x:c r="L53" s="596" t="str"/>
      <x:c r="M53" s="596" t="str"/>
      <x:c r="N53" s="596" t="str">
        <x:v>N</x:v>
      </x:c>
      <x:c r="O53" s="596" t="str">
        <x:v>N/A</x:v>
      </x:c>
      <x:c r="P53" s="598" t="str">
        <x:v>검증가능여부</x:v>
      </x:c>
      <x:c r="Q53" s="598" t="str">
        <x:v>검증불가 사유를 자동 분류하지 못해 보류</x:v>
      </x:c>
    </x:row>
    <x:row r="54" ht="44" customHeight="1">
      <x:c r="A54" s="596" t="str">
        <x:v>53</x:v>
      </x:c>
      <x:c r="B54" s="596" t="str">
        <x:v>무역</x:v>
      </x:c>
      <x:c r="C54" s="596" t="str">
        <x:v>C14732</x:v>
      </x:c>
      <x:c r="D54" s="598" t="str">
        <x:v>만일 미국과 중국의 갈등이 다시 불붙고 미국 상호 관세가 유예 기간 후 절반 정도 다시 높아질 경우(비관적 시나리오) 올해와 내년 성장률은 0.7%, 1.2%로 각각 낮아질 수 있다고 봤다.</x:v>
      </x:c>
      <x:c r="E54" s="596" t="str">
        <x:v>보류</x:v>
      </x:c>
      <x:c r="F54" s="596" t="str">
        <x:v>N</x:v>
      </x:c>
      <x:c r="G54" s="596" t="str">
        <x:v>KOSIS 미제공</x:v>
      </x:c>
      <x:c r="H54" s="596" t="str"/>
      <x:c r="I54" s="596" t="str"/>
      <x:c r="J54" s="596" t="str"/>
      <x:c r="K54" s="596" t="str"/>
      <x:c r="L54" s="596" t="str"/>
      <x:c r="M54" s="596" t="str"/>
      <x:c r="N54" s="596" t="str">
        <x:v>N</x:v>
      </x:c>
      <x:c r="O54" s="596" t="str">
        <x:v>N/A</x:v>
      </x:c>
      <x:c r="P54" s="598" t="str">
        <x:v>검증가능여부</x:v>
      </x:c>
      <x:c r="Q54" s="598" t="str">
        <x:v>검증불가 사유를 자동 분류하지 못해 보류</x:v>
      </x:c>
    </x:row>
    <x:row r="55" ht="44" customHeight="1">
      <x:c r="A55" s="596" t="str">
        <x:v>54</x:v>
      </x:c>
      <x:c r="B55" s="596" t="str">
        <x:v>무역</x:v>
      </x:c>
      <x:c r="C55" s="596" t="str">
        <x:v>C14951</x:v>
      </x:c>
      <x:c r="D55" s="598" t="str">
        <x:v>수출액은 전년 대비 1.3% 줄었고, 수입액은 5.3% 감소했다.</x:v>
      </x:c>
      <x:c r="E55" s="596" t="str">
        <x:v>보류</x:v>
      </x:c>
      <x:c r="F55" s="596" t="str">
        <x:v>Y</x:v>
      </x:c>
      <x:c r="G55" s="596" t="str"/>
      <x:c r="H55" s="596" t="str">
        <x:v>DT_1R11001_FRM101</x:v>
      </x:c>
      <x:c r="I55" s="596" t="str">
        <x:v>13102112831A.A</x:v>
      </x:c>
      <x:c r="J55" s="596" t="str"/>
      <x:c r="K55" s="596" t="str">
        <x:v>13103112831T1</x:v>
      </x:c>
      <x:c r="L55" s="596" t="str">
        <x:v>202505</x:v>
      </x:c>
      <x:c r="M55" s="596" t="str">
        <x:v>일치</x:v>
      </x:c>
      <x:c r="N55" s="596" t="str">
        <x:v>N</x:v>
      </x:c>
      <x:c r="O55" s="596" t="str">
        <x:v>N</x:v>
      </x:c>
      <x:c r="P55" s="598" t="str">
        <x:v>검증가능여부;통계표;항목;시점;주장수치;비교방식;최종판정</x:v>
      </x:c>
      <x:c r="Q55" s="598" t="str">
        <x:v>검증가능 지표를 코드북이 지원하지 않아 보류</x:v>
      </x:c>
    </x:row>
    <x:row r="56" ht="44" customHeight="1">
      <x:c r="A56" s="596" t="str">
        <x:v>55</x:v>
      </x:c>
      <x:c r="B56" s="596" t="str">
        <x:v>무역</x:v>
      </x:c>
      <x:c r="C56" s="596" t="str">
        <x:v>C18243</x:v>
      </x:c>
      <x:c r="D56" s="598" t="str">
        <x:v>2000만 달러 이상의 수출 실적을 보인 신선식품 중 전년 대비 증가가 높은 품목은 닭고기(7.9%)와 유자(5.5%)로 집계됐다.</x:v>
      </x:c>
      <x:c r="E56" s="596" t="str">
        <x:v>보류</x:v>
      </x:c>
      <x:c r="F56" s="596" t="str">
        <x:v>N</x:v>
      </x:c>
      <x:c r="G56" s="596" t="str">
        <x:v>KOSIS 미제공</x:v>
      </x:c>
      <x:c r="H56" s="596" t="str"/>
      <x:c r="I56" s="596" t="str"/>
      <x:c r="J56" s="596" t="str"/>
      <x:c r="K56" s="596" t="str"/>
      <x:c r="L56" s="596" t="str"/>
      <x:c r="M56" s="596" t="str"/>
      <x:c r="N56" s="596" t="str">
        <x:v>N</x:v>
      </x:c>
      <x:c r="O56" s="596" t="str">
        <x:v>N/A</x:v>
      </x:c>
      <x:c r="P56" s="598" t="str">
        <x:v>검증가능여부</x:v>
      </x:c>
      <x:c r="Q56" s="598" t="str">
        <x:v>검증불가 사유를 자동 분류하지 못해 보류</x:v>
      </x:c>
    </x:row>
    <x:row r="57" ht="44" customHeight="1">
      <x:c r="A57" s="596" t="str">
        <x:v>56</x:v>
      </x:c>
      <x:c r="B57" s="596" t="str">
        <x:v>무역</x:v>
      </x:c>
      <x:c r="C57" s="596" t="str">
        <x:v>C19025</x:v>
      </x:c>
      <x:c r="D57" s="598" t="str">
        <x:v>절반인 75곳은 10~15%까지 버틸 수 있다고 답했다.</x:v>
      </x:c>
      <x:c r="E57" s="596" t="str">
        <x:v>보류</x:v>
      </x:c>
      <x:c r="F57" s="596" t="str">
        <x:v>N</x:v>
      </x:c>
      <x:c r="G57" s="596" t="str">
        <x:v>KOSIS 미제공</x:v>
      </x:c>
      <x:c r="H57" s="596" t="str"/>
      <x:c r="I57" s="596" t="str"/>
      <x:c r="J57" s="596" t="str"/>
      <x:c r="K57" s="596" t="str"/>
      <x:c r="L57" s="596" t="str"/>
      <x:c r="M57" s="596" t="str"/>
      <x:c r="N57" s="596" t="str">
        <x:v>N</x:v>
      </x:c>
      <x:c r="O57" s="596" t="str">
        <x:v>N/A</x:v>
      </x:c>
      <x:c r="P57" s="598" t="str">
        <x:v>검증가능여부</x:v>
      </x:c>
      <x:c r="Q57" s="598" t="str">
        <x:v>검증불가 사유를 자동 분류하지 못해 보류</x:v>
      </x:c>
    </x:row>
    <x:row r="58" ht="44" customHeight="1">
      <x:c r="A58" s="596" t="str">
        <x:v>57</x:v>
      </x:c>
      <x:c r="B58" s="596" t="str">
        <x:v>무역</x:v>
      </x:c>
      <x:c r="C58" s="596" t="str">
        <x:v>C19032</x:v>
      </x:c>
      <x:c r="D58" s="598" t="str">
        <x:v>상반기 전체 수출이 작년보다 0.03% 줄어들고, 양대 시장인 미국과 중국으로 수출이 올 상반기 나란히 감소한 상황에서 하반기를 플러스로 출발한 것이다.</x:v>
      </x:c>
      <x:c r="E58" s="596" t="str">
        <x:v>보류</x:v>
      </x:c>
      <x:c r="F58" s="596" t="str">
        <x:v>Y</x:v>
      </x:c>
      <x:c r="G58" s="596" t="str"/>
      <x:c r="H58" s="596" t="str">
        <x:v>DT_1R11001_FRM101</x:v>
      </x:c>
      <x:c r="I58" s="596" t="str">
        <x:v>13102112831A.A</x:v>
      </x:c>
      <x:c r="J58" s="596" t="str"/>
      <x:c r="K58" s="596" t="str">
        <x:v>13103112831T1</x:v>
      </x:c>
      <x:c r="L58" s="596" t="str">
        <x:v>202501:202506</x:v>
      </x:c>
      <x:c r="M58" s="596" t="str">
        <x:v>일치</x:v>
      </x:c>
      <x:c r="N58" s="596" t="str">
        <x:v>N</x:v>
      </x:c>
      <x:c r="O58" s="596" t="str">
        <x:v>N</x:v>
      </x:c>
      <x:c r="P58" s="598" t="str">
        <x:v>검증가능여부;통계표;항목;시점;주장수치;비교방식;최종판정</x:v>
      </x:c>
      <x:c r="Q58" s="598" t="str">
        <x:v>검증가능 지표를 코드북이 지원하지 않아 보류</x:v>
      </x:c>
    </x:row>
    <x:row r="59" ht="44" customHeight="1">
      <x:c r="A59" s="596" t="str">
        <x:v>58</x:v>
      </x:c>
      <x:c r="B59" s="596" t="str">
        <x:v>무역</x:v>
      </x:c>
      <x:c r="C59" s="596" t="str">
        <x:v>C19138</x:v>
      </x:c>
      <x:c r="D59" s="598" t="str">
        <x:v>김 연구원은 다만 “브라질 시장 내 외국인 투자자 비율이 10% 안팎으로 과거보다 영향력이 크게 감소했고, 미국 입장에서 (높은 관세율 부과가) 실익이 크지 않은 만큼 협상 중 타협점을 찾을 것”이라고 했다.</x:v>
      </x:c>
      <x:c r="E59" s="596" t="str">
        <x:v>검증불가</x:v>
      </x:c>
      <x:c r="F59" s="596" t="str">
        <x:v>N</x:v>
      </x:c>
      <x:c r="G59" s="596" t="str">
        <x:v>KOSIS 미제공</x:v>
      </x:c>
      <x:c r="H59" s="596" t="str"/>
      <x:c r="I59" s="596" t="str"/>
      <x:c r="J59" s="596" t="str"/>
      <x:c r="K59" s="596" t="str"/>
      <x:c r="L59" s="596" t="str"/>
      <x:c r="M59" s="596" t="str"/>
      <x:c r="N59" s="596" t="str">
        <x:v>Y</x:v>
      </x:c>
      <x:c r="O59" s="596" t="str">
        <x:v>N/A</x:v>
      </x:c>
      <x:c r="P59" s="598" t="str"/>
      <x:c r="Q59" s="598" t="str"/>
    </x:row>
    <x:row r="60" ht="44" customHeight="1">
      <x:c r="A60" s="596" t="str">
        <x:v>59</x:v>
      </x:c>
      <x:c r="B60" s="596" t="str">
        <x:v>무역</x:v>
      </x:c>
      <x:c r="C60" s="596" t="str">
        <x:v>C20463</x:v>
      </x:c>
      <x:c r="D60" s="598" t="str">
        <x:v>중견기업(17.5%)과 중소기업(16.1%) 비중도 거의 변하지 않았다.</x:v>
      </x:c>
      <x:c r="E60" s="596" t="str">
        <x:v>보류</x:v>
      </x:c>
      <x:c r="F60" s="596" t="str">
        <x:v>Y</x:v>
      </x:c>
      <x:c r="G60" s="596" t="str"/>
      <x:c r="H60" s="596" t="str">
        <x:v>DT_1TEC_P116</x:v>
      </x:c>
      <x:c r="I60" s="596" t="str">
        <x:v>01</x:v>
      </x:c>
      <x:c r="J60" s="596" t="str">
        <x:v>30</x:v>
      </x:c>
      <x:c r="K60" s="596" t="str">
        <x:v>T20</x:v>
      </x:c>
      <x:c r="L60" s="596" t="str">
        <x:v>202503</x:v>
      </x:c>
      <x:c r="M60" s="596" t="str">
        <x:v>일치</x:v>
      </x:c>
      <x:c r="N60" s="596" t="str">
        <x:v>N</x:v>
      </x:c>
      <x:c r="O60" s="596" t="str">
        <x:v>N</x:v>
      </x:c>
      <x:c r="P60" s="598" t="str">
        <x:v>검증가능여부;통계표;항목;시점;주장수치;비교방식;최종판정</x:v>
      </x:c>
      <x:c r="Q60" s="598" t="str">
        <x:v>검증가능 지표를 코드북이 지원하지 않아 보류</x:v>
      </x:c>
    </x:row>
    <x:row r="61" ht="44" customHeight="1">
      <x:c r="A61" s="596" t="str">
        <x:v>60</x:v>
      </x:c>
      <x:c r="B61" s="596" t="str">
        <x:v>무역</x:v>
      </x:c>
      <x:c r="C61" s="596" t="str">
        <x:v>C20467</x:v>
      </x:c>
      <x:c r="D61" s="598" t="str">
        <x:v>대기업의 경우 자본재 수출이 773억달러로 12.2% 증가했지만, 원자재(-5.1%)와 소비재(-5.4%)는 감소했다.</x:v>
      </x:c>
      <x:c r="E61" s="596" t="str">
        <x:v>보류</x:v>
      </x:c>
      <x:c r="F61" s="596" t="str">
        <x:v>Y</x:v>
      </x:c>
      <x:c r="G61" s="596" t="str"/>
      <x:c r="H61" s="596" t="str">
        <x:v>DT_1TEC_P229</x:v>
      </x:c>
      <x:c r="I61" s="596" t="str">
        <x:v>01</x:v>
      </x:c>
      <x:c r="J61" s="596" t="str">
        <x:v>20/10</x:v>
      </x:c>
      <x:c r="K61" s="596" t="str">
        <x:v>T20</x:v>
      </x:c>
      <x:c r="L61" s="596" t="str">
        <x:v>202503</x:v>
      </x:c>
      <x:c r="M61" s="596" t="str">
        <x:v>일치</x:v>
      </x:c>
      <x:c r="N61" s="596" t="str">
        <x:v>N</x:v>
      </x:c>
      <x:c r="O61" s="596" t="str">
        <x:v>N</x:v>
      </x:c>
      <x:c r="P61" s="598" t="str">
        <x:v>검증가능여부;통계표;항목;시점;주장수치;비교방식;최종판정</x:v>
      </x:c>
      <x:c r="Q61" s="598" t="str">
        <x:v>검증가능 지표를 코드북이 지원하지 않아 보류</x:v>
      </x:c>
    </x:row>
    <x:row r="62" ht="44" customHeight="1">
      <x:c r="A62" s="596" t="str">
        <x:v>61</x:v>
      </x:c>
      <x:c r="B62" s="596" t="str">
        <x:v>인구</x:v>
      </x:c>
      <x:c r="C62" s="596" t="str">
        <x:v>C02285</x:v>
      </x:c>
      <x:c r="D62" s="598" t="str">
        <x:v>이정희 중앙대 교수는 “작년 한국 인구의 20%가 65세 이상인 초고령사회로 진입하면서 구조적으로 소비 동력이 떨어져 내수가 살아나기 쉽지 않다”고 했다.</x:v>
      </x:c>
      <x:c r="E62" s="596" t="str">
        <x:v>보류</x:v>
      </x:c>
      <x:c r="F62" s="596" t="str">
        <x:v>Y</x:v>
      </x:c>
      <x:c r="G62" s="596" t="str"/>
      <x:c r="H62" s="596" t="str">
        <x:v>DT_1B04006</x:v>
      </x:c>
      <x:c r="I62" s="596" t="str">
        <x:v>00</x:v>
      </x:c>
      <x:c r="J62" s="596" t="str">
        <x:v>65+</x:v>
      </x:c>
      <x:c r="K62" s="596" t="str">
        <x:v>T2</x:v>
      </x:c>
      <x:c r="L62" s="596" t="str">
        <x:v>202412</x:v>
      </x:c>
      <x:c r="M62" s="596" t="str">
        <x:v>일치</x:v>
      </x:c>
      <x:c r="N62" s="596" t="str">
        <x:v>N</x:v>
      </x:c>
      <x:c r="O62" s="596" t="str">
        <x:v>N</x:v>
      </x:c>
      <x:c r="P62" s="598" t="str">
        <x:v>검증가능여부;통계표;항목;시점;주장수치;비교방식;최종판정</x:v>
      </x:c>
      <x:c r="Q62" s="598" t="str">
        <x:v>검증가능 지표를 코드북이 지원하지 않아 보류</x:v>
      </x:c>
    </x:row>
    <x:row r="63" ht="44" customHeight="1">
      <x:c r="A63" s="596" t="str">
        <x:v>62</x:v>
      </x:c>
      <x:c r="B63" s="596" t="str">
        <x:v>인구</x:v>
      </x:c>
      <x:c r="C63" s="596" t="str">
        <x:v>C02705</x:v>
      </x:c>
      <x:c r="D63" s="598" t="str">
        <x:v>4 2025년에 한국은 65세 이상 인구의 비중이 20%를 초과하는 초고령사회(super-aged society)에 진입한다.</x:v>
      </x:c>
      <x:c r="E63" s="596" t="str">
        <x:v>보류</x:v>
      </x:c>
      <x:c r="F63" s="596" t="str">
        <x:v>Y</x:v>
      </x:c>
      <x:c r="G63" s="596" t="str"/>
      <x:c r="H63" s="596" t="str">
        <x:v>DT_1BPA002</x:v>
      </x:c>
      <x:c r="I63" s="596" t="str">
        <x:v>1</x:v>
      </x:c>
      <x:c r="J63" s="596" t="str">
        <x:v>33</x:v>
      </x:c>
      <x:c r="K63" s="596" t="str">
        <x:v>T10</x:v>
      </x:c>
      <x:c r="L63" s="596" t="str">
        <x:v>2025</x:v>
      </x:c>
      <x:c r="M63" s="596" t="str">
        <x:v>일치</x:v>
      </x:c>
      <x:c r="N63" s="596" t="str">
        <x:v>N</x:v>
      </x:c>
      <x:c r="O63" s="596" t="str">
        <x:v>N</x:v>
      </x:c>
      <x:c r="P63" s="598" t="str">
        <x:v>검증가능여부;통계표;항목;시점;주장수치;비교방식;최종판정</x:v>
      </x:c>
      <x:c r="Q63" s="598" t="str">
        <x:v>검증가능 지표를 코드북이 지원하지 않아 보류</x:v>
      </x:c>
    </x:row>
    <x:row r="64" ht="44" customHeight="1">
      <x:c r="A64" s="596" t="str">
        <x:v>63</x:v>
      </x:c>
      <x:c r="B64" s="596" t="str">
        <x:v>인구</x:v>
      </x:c>
      <x:c r="C64" s="596" t="str">
        <x:v>C03047</x:v>
      </x:c>
      <x:c r="D64" s="598" t="str">
        <x:v>대한민국 주민등록 인구 중 65세 이상 비율이 20%를 넘어섰다.</x:v>
      </x:c>
      <x:c r="E64" s="596" t="str">
        <x:v>보류</x:v>
      </x:c>
      <x:c r="F64" s="596" t="str">
        <x:v>Y</x:v>
      </x:c>
      <x:c r="G64" s="596" t="str"/>
      <x:c r="H64" s="596" t="str">
        <x:v>DT_1B04006</x:v>
      </x:c>
      <x:c r="I64" s="596" t="str">
        <x:v>00</x:v>
      </x:c>
      <x:c r="J64" s="596" t="str">
        <x:v>65+</x:v>
      </x:c>
      <x:c r="K64" s="596" t="str">
        <x:v>T2</x:v>
      </x:c>
      <x:c r="L64" s="596" t="str">
        <x:v>202412</x:v>
      </x:c>
      <x:c r="M64" s="596" t="str">
        <x:v>일치</x:v>
      </x:c>
      <x:c r="N64" s="596" t="str">
        <x:v>N</x:v>
      </x:c>
      <x:c r="O64" s="596" t="str">
        <x:v>N</x:v>
      </x:c>
      <x:c r="P64" s="598" t="str">
        <x:v>검증가능여부;통계표;항목;시점;주장수치;비교방식;최종판정</x:v>
      </x:c>
      <x:c r="Q64" s="598" t="str">
        <x:v>검증가능 지표를 코드북이 지원하지 않아 보류</x:v>
      </x:c>
    </x:row>
    <x:row r="65" ht="44" customHeight="1">
      <x:c r="A65" s="596" t="str">
        <x:v>64</x:v>
      </x:c>
      <x:c r="B65" s="596" t="str">
        <x:v>인구</x:v>
      </x:c>
      <x:c r="C65" s="596" t="str">
        <x:v>C04124</x:v>
      </x:c>
      <x:c r="D65" s="598" t="str">
        <x:v>이런 흐름 속에 청년도약계좌 총 가입자는 166만명까지 불어났는데, 가입 가능한 청년 추산 인구(600만명)의 28%에 달한다.</x:v>
      </x:c>
      <x:c r="E65" s="596" t="str">
        <x:v>보류</x:v>
      </x:c>
      <x:c r="F65" s="596" t="str">
        <x:v>N</x:v>
      </x:c>
      <x:c r="G65" s="596" t="str">
        <x:v>KOSIS 미제공</x:v>
      </x:c>
      <x:c r="H65" s="596" t="str"/>
      <x:c r="I65" s="596" t="str"/>
      <x:c r="J65" s="596" t="str"/>
      <x:c r="K65" s="596" t="str"/>
      <x:c r="L65" s="596" t="str"/>
      <x:c r="M65" s="596" t="str"/>
      <x:c r="N65" s="596" t="str">
        <x:v>N</x:v>
      </x:c>
      <x:c r="O65" s="596" t="str">
        <x:v>N/A</x:v>
      </x:c>
      <x:c r="P65" s="598" t="str">
        <x:v>검증가능여부</x:v>
      </x:c>
      <x:c r="Q65" s="598" t="str">
        <x:v>검증불가 사유를 자동 분류하지 못해 보류</x:v>
      </x:c>
    </x:row>
    <x:row r="66" ht="44" customHeight="1">
      <x:c r="A66" s="596" t="str">
        <x:v>65</x:v>
      </x:c>
      <x:c r="B66" s="596" t="str">
        <x:v>인구</x:v>
      </x:c>
      <x:c r="C66" s="596" t="str">
        <x:v>C05231</x:v>
      </x:c>
      <x:c r="D66" s="598" t="str">
        <x:v>OECD가 집계한 18국 중 한국에서만 인구 150만명 이상인 대도시의 평균 집값이 10만명 미만 소도시의 3배 이상으로 나왔다.</x:v>
      </x:c>
      <x:c r="E66" s="596" t="str">
        <x:v>보류</x:v>
      </x:c>
      <x:c r="F66" s="596" t="str">
        <x:v>N</x:v>
      </x:c>
      <x:c r="G66" s="596" t="str">
        <x:v>KOSIS 미제공</x:v>
      </x:c>
      <x:c r="H66" s="596" t="str"/>
      <x:c r="I66" s="596" t="str"/>
      <x:c r="J66" s="596" t="str"/>
      <x:c r="K66" s="596" t="str"/>
      <x:c r="L66" s="596" t="str"/>
      <x:c r="M66" s="596" t="str"/>
      <x:c r="N66" s="596" t="str">
        <x:v>N</x:v>
      </x:c>
      <x:c r="O66" s="596" t="str">
        <x:v>N/A</x:v>
      </x:c>
      <x:c r="P66" s="598" t="str">
        <x:v>검증가능여부</x:v>
      </x:c>
      <x:c r="Q66" s="598" t="str">
        <x:v>검증불가 사유를 자동 분류하지 못해 보류</x:v>
      </x:c>
    </x:row>
    <x:row r="67" ht="44" customHeight="1">
      <x:c r="A67" s="596" t="str">
        <x:v>66</x:v>
      </x:c>
      <x:c r="B67" s="596" t="str">
        <x:v>인구</x:v>
      </x:c>
      <x:c r="C67" s="596" t="str">
        <x:v>C09032</x:v>
      </x:c>
      <x:c r="D67" s="598" t="str">
        <x:v>65세 이상이 인구의 20% 이상을 차지하는 ‘초고령 사회’에 진입한 한국에서 ‘골다공증 치료제’ 출시 경쟁이 본격화했다는 평가가 나온다.</x:v>
      </x:c>
      <x:c r="E67" s="596" t="str">
        <x:v>보류</x:v>
      </x:c>
      <x:c r="F67" s="596" t="str">
        <x:v>Y</x:v>
      </x:c>
      <x:c r="G67" s="596" t="str"/>
      <x:c r="H67" s="596" t="str">
        <x:v>DT_1B04006</x:v>
      </x:c>
      <x:c r="I67" s="596" t="str">
        <x:v>00</x:v>
      </x:c>
      <x:c r="J67" s="596" t="str">
        <x:v>65+</x:v>
      </x:c>
      <x:c r="K67" s="596" t="str">
        <x:v>T2</x:v>
      </x:c>
      <x:c r="L67" s="596" t="str">
        <x:v>202412</x:v>
      </x:c>
      <x:c r="M67" s="596" t="str">
        <x:v>일치</x:v>
      </x:c>
      <x:c r="N67" s="596" t="str">
        <x:v>N</x:v>
      </x:c>
      <x:c r="O67" s="596" t="str">
        <x:v>N</x:v>
      </x:c>
      <x:c r="P67" s="598" t="str">
        <x:v>검증가능여부;통계표;항목;시점;주장수치;비교방식;최종판정</x:v>
      </x:c>
      <x:c r="Q67" s="598" t="str">
        <x:v>검증가능 지표를 코드북이 지원하지 않아 보류</x:v>
      </x:c>
    </x:row>
    <x:row r="68" ht="44" customHeight="1">
      <x:c r="A68" s="596" t="str">
        <x:v>67</x:v>
      </x:c>
      <x:c r="B68" s="596" t="str">
        <x:v>인구</x:v>
      </x:c>
      <x:c r="C68" s="596" t="str">
        <x:v>C10602</x:v>
      </x:c>
      <x:c r="D68" s="598" t="str">
        <x:v>‘유령의 도시’라고까지 불리던 웨스트포인트시의 인구는 기아차 공장 가동 후 80% 증가했다.</x:v>
      </x:c>
      <x:c r="E68" s="596" t="str">
        <x:v>보류</x:v>
      </x:c>
      <x:c r="F68" s="596" t="str">
        <x:v>N</x:v>
      </x:c>
      <x:c r="G68" s="596" t="str">
        <x:v>KOSIS 미제공</x:v>
      </x:c>
      <x:c r="H68" s="596" t="str"/>
      <x:c r="I68" s="596" t="str"/>
      <x:c r="J68" s="596" t="str"/>
      <x:c r="K68" s="596" t="str"/>
      <x:c r="L68" s="596" t="str"/>
      <x:c r="M68" s="596" t="str"/>
      <x:c r="N68" s="596" t="str">
        <x:v>N</x:v>
      </x:c>
      <x:c r="O68" s="596" t="str">
        <x:v>N/A</x:v>
      </x:c>
      <x:c r="P68" s="598" t="str">
        <x:v>검증가능여부</x:v>
      </x:c>
      <x:c r="Q68" s="598" t="str">
        <x:v>검증불가 사유를 자동 분류하지 못해 보류</x:v>
      </x:c>
    </x:row>
    <x:row r="69" ht="44" customHeight="1">
      <x:c r="A69" s="596" t="str">
        <x:v>68</x:v>
      </x:c>
      <x:c r="B69" s="596" t="str">
        <x:v>인구</x:v>
      </x:c>
      <x:c r="C69" s="596" t="str">
        <x:v>C10718</x:v>
      </x:c>
      <x:c r="D69" s="598" t="str">
        <x:v>농가 인구도 지난해 200만4000명으로 전년(208만9000명) 대비 4.1%가 줄었다.</x:v>
      </x:c>
      <x:c r="E69" s="596" t="str">
        <x:v>보류</x:v>
      </x:c>
      <x:c r="F69" s="596" t="str">
        <x:v>Y</x:v>
      </x:c>
      <x:c r="G69" s="596" t="str"/>
      <x:c r="H69" s="596" t="str">
        <x:v>DT_1EA1011</x:v>
      </x:c>
      <x:c r="I69" s="596" t="str">
        <x:v>00</x:v>
      </x:c>
      <x:c r="J69" s="596" t="str"/>
      <x:c r="K69" s="596" t="str">
        <x:v>T02</x:v>
      </x:c>
      <x:c r="L69" s="596" t="str">
        <x:v>2024</x:v>
      </x:c>
      <x:c r="M69" s="596" t="str">
        <x:v>일치</x:v>
      </x:c>
      <x:c r="N69" s="596" t="str">
        <x:v>N</x:v>
      </x:c>
      <x:c r="O69" s="596" t="str">
        <x:v>N</x:v>
      </x:c>
      <x:c r="P69" s="598" t="str">
        <x:v>검증가능여부;통계표;항목;시점;주장수치;비교방식;최종판정</x:v>
      </x:c>
      <x:c r="Q69" s="598" t="str">
        <x:v>검증가능 지표를 코드북이 지원하지 않아 보류</x:v>
      </x:c>
    </x:row>
    <x:row r="70" ht="44" customHeight="1">
      <x:c r="A70" s="596" t="str">
        <x:v>69</x:v>
      </x:c>
      <x:c r="B70" s="596" t="str">
        <x:v>인구</x:v>
      </x:c>
      <x:c r="C70" s="596" t="str">
        <x:v>C10721</x:v>
      </x:c>
      <x:c r="D70" s="598" t="str">
        <x:v>이는 통계청 기준 지난해 국내 전체 인구에서 고령 인구가 차지하는 비율(19.2%)보다 약 세 배 높은 수치다.</x:v>
      </x:c>
      <x:c r="E70" s="596" t="str">
        <x:v>보류</x:v>
      </x:c>
      <x:c r="F70" s="596" t="str">
        <x:v>Y</x:v>
      </x:c>
      <x:c r="G70" s="596" t="str"/>
      <x:c r="H70" s="596" t="str">
        <x:v>DT_1BPA002</x:v>
      </x:c>
      <x:c r="I70" s="596" t="str">
        <x:v>1</x:v>
      </x:c>
      <x:c r="J70" s="596" t="str">
        <x:v>33</x:v>
      </x:c>
      <x:c r="K70" s="596" t="str">
        <x:v>T10</x:v>
      </x:c>
      <x:c r="L70" s="596" t="str">
        <x:v>2024</x:v>
      </x:c>
      <x:c r="M70" s="596" t="str">
        <x:v>일치</x:v>
      </x:c>
      <x:c r="N70" s="596" t="str">
        <x:v>N</x:v>
      </x:c>
      <x:c r="O70" s="596" t="str">
        <x:v>N</x:v>
      </x:c>
      <x:c r="P70" s="598" t="str">
        <x:v>검증가능여부;통계표;항목;시점;주장수치;비교방식;최종판정</x:v>
      </x:c>
      <x:c r="Q70" s="598" t="str">
        <x:v>검증가능 지표를 코드북이 지원하지 않아 보류</x:v>
      </x:c>
    </x:row>
    <x:row r="71" ht="44" customHeight="1">
      <x:c r="A71" s="596" t="str">
        <x:v>70</x:v>
      </x:c>
      <x:c r="B71" s="596" t="str">
        <x:v>인구</x:v>
      </x:c>
      <x:c r="C71" s="596" t="str">
        <x:v>C14029</x:v>
      </x:c>
      <x:c r="D71" s="598" t="str">
        <x:v>한국은 지난해 65세 이상 인구 비율이 전체 주민등록 인구의 20%를 넘어 ‘초고령 사회’에 들어섰다.</x:v>
      </x:c>
      <x:c r="E71" s="596" t="str">
        <x:v>보류</x:v>
      </x:c>
      <x:c r="F71" s="596" t="str">
        <x:v>Y</x:v>
      </x:c>
      <x:c r="G71" s="596" t="str"/>
      <x:c r="H71" s="596" t="str">
        <x:v>DT_1B04006</x:v>
      </x:c>
      <x:c r="I71" s="596" t="str">
        <x:v>00</x:v>
      </x:c>
      <x:c r="J71" s="596" t="str">
        <x:v>65+</x:v>
      </x:c>
      <x:c r="K71" s="596" t="str">
        <x:v>T2</x:v>
      </x:c>
      <x:c r="L71" s="596" t="str">
        <x:v>202412</x:v>
      </x:c>
      <x:c r="M71" s="596" t="str">
        <x:v>일치</x:v>
      </x:c>
      <x:c r="N71" s="596" t="str">
        <x:v>N</x:v>
      </x:c>
      <x:c r="O71" s="596" t="str">
        <x:v>N</x:v>
      </x:c>
      <x:c r="P71" s="598" t="str">
        <x:v>검증가능여부;통계표;항목;시점;주장수치;비교방식;최종판정</x:v>
      </x:c>
      <x:c r="Q71" s="598" t="str">
        <x:v>검증가능 지표를 코드북이 지원하지 않아 보류</x:v>
      </x:c>
    </x:row>
    <x:row r="72" ht="44" customHeight="1">
      <x:c r="A72" s="596" t="str">
        <x:v>71</x:v>
      </x:c>
      <x:c r="B72" s="596" t="str">
        <x:v>인구</x:v>
      </x:c>
      <x:c r="C72" s="596" t="str">
        <x:v>C14030</x:v>
      </x:c>
      <x:c r="D72" s="598" t="str">
        <x:v>2008년 10% 수준이었던 고령 인구 비율이 16년 만에 2배로 늘어난 셈이다.</x:v>
      </x:c>
      <x:c r="E72" s="596" t="str">
        <x:v>보류</x:v>
      </x:c>
      <x:c r="F72" s="596" t="str">
        <x:v>Y</x:v>
      </x:c>
      <x:c r="G72" s="596" t="str"/>
      <x:c r="H72" s="596" t="str">
        <x:v>DT_1B04006</x:v>
      </x:c>
      <x:c r="I72" s="596" t="str">
        <x:v>00</x:v>
      </x:c>
      <x:c r="J72" s="596" t="str">
        <x:v>65+</x:v>
      </x:c>
      <x:c r="K72" s="596" t="str">
        <x:v>T2</x:v>
      </x:c>
      <x:c r="L72" s="596" t="str">
        <x:v>202412</x:v>
      </x:c>
      <x:c r="M72" s="596" t="str">
        <x:v>일치</x:v>
      </x:c>
      <x:c r="N72" s="596" t="str">
        <x:v>N</x:v>
      </x:c>
      <x:c r="O72" s="596" t="str">
        <x:v>N</x:v>
      </x:c>
      <x:c r="P72" s="598" t="str">
        <x:v>검증가능여부;통계표;항목;시점;주장수치;비교방식;최종판정</x:v>
      </x:c>
      <x:c r="Q72" s="598" t="str">
        <x:v>검증가능 지표를 코드북이 지원하지 않아 보류</x:v>
      </x:c>
    </x:row>
    <x:row r="73" ht="44" customHeight="1">
      <x:c r="A73" s="596" t="str">
        <x:v>72</x:v>
      </x:c>
      <x:c r="B73" s="596" t="str">
        <x:v>인구</x:v>
      </x:c>
      <x:c r="C73" s="596" t="str">
        <x:v>C14688</x:v>
      </x:c>
      <x:c r="D73" s="598" t="str">
        <x:v>하지만 주식 계좌 보유율은 인구 대비 10% 수준으로, 금융시장 확대 여지는 크다.</x:v>
      </x:c>
      <x:c r="E73" s="596" t="str">
        <x:v>보류</x:v>
      </x:c>
      <x:c r="F73" s="596" t="str">
        <x:v>N</x:v>
      </x:c>
      <x:c r="G73" s="596" t="str">
        <x:v>KOSIS 미제공</x:v>
      </x:c>
      <x:c r="H73" s="596" t="str"/>
      <x:c r="I73" s="596" t="str"/>
      <x:c r="J73" s="596" t="str"/>
      <x:c r="K73" s="596" t="str"/>
      <x:c r="L73" s="596" t="str"/>
      <x:c r="M73" s="596" t="str"/>
      <x:c r="N73" s="596" t="str">
        <x:v>N</x:v>
      </x:c>
      <x:c r="O73" s="596" t="str">
        <x:v>N/A</x:v>
      </x:c>
      <x:c r="P73" s="598" t="str">
        <x:v>검증가능여부</x:v>
      </x:c>
      <x:c r="Q73" s="598" t="str">
        <x:v>검증불가 사유를 자동 분류하지 못해 보류</x:v>
      </x:c>
    </x:row>
    <x:row r="74" ht="44" customHeight="1">
      <x:c r="A74" s="596" t="str">
        <x:v>73</x:v>
      </x:c>
      <x:c r="B74" s="596" t="str">
        <x:v>인구</x:v>
      </x:c>
      <x:c r="C74" s="596" t="str">
        <x:v>C15064</x:v>
      </x:c>
      <x:c r="D74" s="598" t="str">
        <x:v>보고서는 인구 감소, 고령화가 더 심해지는 2025~2030년에는 인구구조 변화에 따른 소비 증가율 둔화 폭이 연평균 1%포인트까지 확대될 것으로 봤다.</x:v>
      </x:c>
      <x:c r="E74" s="596" t="str">
        <x:v>검증불가</x:v>
      </x:c>
      <x:c r="F74" s="596" t="str">
        <x:v>N</x:v>
      </x:c>
      <x:c r="G74" s="596" t="str">
        <x:v>KOSIS 미제공</x:v>
      </x:c>
      <x:c r="H74" s="596" t="str"/>
      <x:c r="I74" s="596" t="str"/>
      <x:c r="J74" s="596" t="str"/>
      <x:c r="K74" s="596" t="str"/>
      <x:c r="L74" s="596" t="str"/>
      <x:c r="M74" s="596" t="str"/>
      <x:c r="N74" s="596" t="str">
        <x:v>Y</x:v>
      </x:c>
      <x:c r="O74" s="596" t="str">
        <x:v>N/A</x:v>
      </x:c>
      <x:c r="P74" s="598" t="str"/>
      <x:c r="Q74" s="598" t="str"/>
    </x:row>
    <x:row r="75" ht="44" customHeight="1">
      <x:c r="A75" s="596" t="str">
        <x:v>74</x:v>
      </x:c>
      <x:c r="B75" s="596" t="str">
        <x:v>인구</x:v>
      </x:c>
      <x:c r="C75" s="596" t="str">
        <x:v>C17350</x:v>
      </x:c>
      <x:c r="D75" s="598" t="str">
        <x:v>작년 수도권 인구 증가율이 0.43%인 데 반해 비수도권은 오히려 0.29% 감소하면서 수요가 위축되고 있는 것이다.</x:v>
      </x:c>
      <x:c r="E75" s="596" t="str">
        <x:v>보류</x:v>
      </x:c>
      <x:c r="F75" s="596" t="str">
        <x:v>Y</x:v>
      </x:c>
      <x:c r="G75" s="596" t="str"/>
      <x:c r="H75" s="596" t="str">
        <x:v>DT_1BPB002</x:v>
      </x:c>
      <x:c r="I75" s="596" t="str">
        <x:v>1</x:v>
      </x:c>
      <x:c r="J75" s="596" t="str">
        <x:v>11+23+31|D10</x:v>
      </x:c>
      <x:c r="K75" s="596" t="str">
        <x:v>T10</x:v>
      </x:c>
      <x:c r="L75" s="596" t="str">
        <x:v>2024</x:v>
      </x:c>
      <x:c r="M75" s="596" t="str">
        <x:v>일치</x:v>
      </x:c>
      <x:c r="N75" s="596" t="str">
        <x:v>N</x:v>
      </x:c>
      <x:c r="O75" s="596" t="str">
        <x:v>N</x:v>
      </x:c>
      <x:c r="P75" s="598" t="str">
        <x:v>검증가능여부;통계표;항목;시점;주장수치;비교방식;최종판정</x:v>
      </x:c>
      <x:c r="Q75" s="598" t="str">
        <x:v>검증가능 지표를 코드북이 지원하지 않아 보류</x:v>
      </x:c>
    </x:row>
    <x:row r="76" ht="44" customHeight="1">
      <x:c r="A76" s="596" t="str">
        <x:v>75</x:v>
      </x:c>
      <x:c r="B76" s="596" t="str">
        <x:v>인구</x:v>
      </x:c>
      <x:c r="C76" s="596" t="str">
        <x:v>C17862</x:v>
      </x:c>
      <x:c r="D76" s="598" t="str">
        <x:v>0 농림축산식품부가 1일부터 인구 소멸 지역으로 여행을 떠나는 관광객들의 대중교통비를 최대 50%까지 할인해주는 ‘농촌투어패스’ 사업을 진행한다고 30일 밝혔다.</x:v>
      </x:c>
      <x:c r="E76" s="596" t="str">
        <x:v>보류</x:v>
      </x:c>
      <x:c r="F76" s="596" t="str">
        <x:v>N</x:v>
      </x:c>
      <x:c r="G76" s="596" t="str">
        <x:v>KOSIS 미제공</x:v>
      </x:c>
      <x:c r="H76" s="596" t="str"/>
      <x:c r="I76" s="596" t="str"/>
      <x:c r="J76" s="596" t="str"/>
      <x:c r="K76" s="596" t="str"/>
      <x:c r="L76" s="596" t="str"/>
      <x:c r="M76" s="596" t="str"/>
      <x:c r="N76" s="596" t="str">
        <x:v>N</x:v>
      </x:c>
      <x:c r="O76" s="596" t="str">
        <x:v>N/A</x:v>
      </x:c>
      <x:c r="P76" s="598" t="str">
        <x:v>검증가능여부</x:v>
      </x:c>
      <x:c r="Q76" s="598" t="str">
        <x:v>검증불가 사유를 자동 분류하지 못해 보류</x:v>
      </x:c>
    </x:row>
    <x:row r="77" ht="44" customHeight="1">
      <x:c r="A77" s="596" t="str">
        <x:v>76</x:v>
      </x:c>
      <x:c r="B77" s="596" t="str">
        <x:v>인구</x:v>
      </x:c>
      <x:c r="C77" s="596" t="str">
        <x:v>C19545</x:v>
      </x:c>
      <x:c r="D77" s="598" t="str">
        <x:v>이를 가구 수(2218만 가구)로 나눈 가구당 가계순자산은 전년보다 2.4% 증가한 5억8916만원, 인구(5175만명)로 나눈 1인당 가계순자산은 3.3% 늘어난 2억5251만원으로 집계됐다.</x:v>
      </x:c>
      <x:c r="E77" s="596" t="str">
        <x:v>보류</x:v>
      </x:c>
      <x:c r="F77" s="596" t="str">
        <x:v>Y</x:v>
      </x:c>
      <x:c r="G77" s="596" t="str"/>
      <x:c r="H77" s="596" t="str">
        <x:v>DT_104Y263</x:v>
      </x:c>
      <x:c r="I77" s="596" t="str">
        <x:v>B103</x:v>
      </x:c>
      <x:c r="J77" s="596" t="str">
        <x:v>A4</x:v>
      </x:c>
      <x:c r="K77" s="596" t="str">
        <x:v>T30</x:v>
      </x:c>
      <x:c r="L77" s="596" t="str">
        <x:v>2024</x:v>
      </x:c>
      <x:c r="M77" s="596" t="str">
        <x:v>일치</x:v>
      </x:c>
      <x:c r="N77" s="596" t="str">
        <x:v>N</x:v>
      </x:c>
      <x:c r="O77" s="596" t="str">
        <x:v>N</x:v>
      </x:c>
      <x:c r="P77" s="598" t="str">
        <x:v>검증가능여부;통계표;항목;시점;주장수치;비교방식;최종판정</x:v>
      </x:c>
      <x:c r="Q77" s="598" t="str">
        <x:v>검증가능 지표를 코드북이 지원하지 않아 보류</x:v>
      </x:c>
    </x:row>
    <x:row r="78" ht="44" customHeight="1">
      <x:c r="A78" s="596" t="str">
        <x:v>77</x:v>
      </x:c>
      <x:c r="B78" s="596" t="str">
        <x:v>인구</x:v>
      </x:c>
      <x:c r="C78" s="596" t="str">
        <x:v>C19835</x:v>
      </x:c>
      <x:c r="D78" s="598" t="str">
        <x:v>특히 정신과 의사가 한 명도 없는 전국 28곳 중 24곳(86%)이 인구 감소 지역이었다.</x:v>
      </x:c>
      <x:c r="E78" s="596" t="str">
        <x:v>보류</x:v>
      </x:c>
      <x:c r="F78" s="596" t="str">
        <x:v>N</x:v>
      </x:c>
      <x:c r="G78" s="596" t="str">
        <x:v>KOSIS 미제공</x:v>
      </x:c>
      <x:c r="H78" s="596" t="str"/>
      <x:c r="I78" s="596" t="str"/>
      <x:c r="J78" s="596" t="str"/>
      <x:c r="K78" s="596" t="str"/>
      <x:c r="L78" s="596" t="str"/>
      <x:c r="M78" s="596" t="str"/>
      <x:c r="N78" s="596" t="str">
        <x:v>N</x:v>
      </x:c>
      <x:c r="O78" s="596" t="str">
        <x:v>N/A</x:v>
      </x:c>
      <x:c r="P78" s="598" t="str">
        <x:v>검증가능여부</x:v>
      </x:c>
      <x:c r="Q78" s="598" t="str">
        <x:v>검증불가 사유를 자동 분류하지 못해 보류</x:v>
      </x:c>
    </x:row>
    <x:row r="79" ht="44" customHeight="1">
      <x:c r="A79" s="596" t="str">
        <x:v>78</x:v>
      </x:c>
      <x:c r="B79" s="596" t="str">
        <x:v>인구</x:v>
      </x:c>
      <x:c r="C79" s="596" t="str">
        <x:v>C20161</x:v>
      </x:c>
      <x:c r="D79" s="598" t="str">
        <x:v>반(反)동성애 단체가 국가데이터처(옛 통계청)의 ‘인구주택 총조사(센서스)’ 담당 과장급 공무원을 지난 28일 검찰에 고발했다.</x:v>
      </x:c>
      <x:c r="E79" s="596" t="str">
        <x:v>보류</x:v>
      </x:c>
      <x:c r="F79" s="596" t="str">
        <x:v>N</x:v>
      </x:c>
      <x:c r="G79" s="596" t="str">
        <x:v>정보 부족</x:v>
      </x:c>
      <x:c r="H79" s="596" t="str"/>
      <x:c r="I79" s="596" t="str"/>
      <x:c r="J79" s="596" t="str"/>
      <x:c r="K79" s="596" t="str"/>
      <x:c r="L79" s="596" t="str"/>
      <x:c r="M79" s="596" t="str"/>
      <x:c r="N79" s="596" t="str">
        <x:v>N</x:v>
      </x:c>
      <x:c r="O79" s="596" t="str">
        <x:v>N/A</x:v>
      </x:c>
      <x:c r="P79" s="598" t="str">
        <x:v>검증가능여부</x:v>
      </x:c>
      <x:c r="Q79" s="598" t="str">
        <x:v>검증불가 사유를 자동 분류하지 못해 보류</x:v>
      </x:c>
    </x:row>
    <x:row r="80" ht="44" customHeight="1">
      <x:c r="A80" s="596" t="str">
        <x:v>79</x:v>
      </x:c>
      <x:c r="B80" s="596" t="str">
        <x:v>인구</x:v>
      </x:c>
      <x:c r="C80" s="596" t="str">
        <x:v>C20179</x:v>
      </x:c>
      <x:c r="D80" s="598" t="str">
        <x:v>전체 인구의 5%를 차지한다.</x:v>
      </x:c>
      <x:c r="E80" s="596" t="str">
        <x:v>보류</x:v>
      </x:c>
      <x:c r="F80" s="596" t="str">
        <x:v>N</x:v>
      </x:c>
      <x:c r="G80" s="596" t="str">
        <x:v>KOSIS 미제공</x:v>
      </x:c>
      <x:c r="H80" s="596" t="str"/>
      <x:c r="I80" s="596" t="str"/>
      <x:c r="J80" s="596" t="str"/>
      <x:c r="K80" s="596" t="str"/>
      <x:c r="L80" s="596" t="str"/>
      <x:c r="M80" s="596" t="str"/>
      <x:c r="N80" s="596" t="str">
        <x:v>N</x:v>
      </x:c>
      <x:c r="O80" s="596" t="str">
        <x:v>N/A</x:v>
      </x:c>
      <x:c r="P80" s="598" t="str">
        <x:v>검증가능여부</x:v>
      </x:c>
      <x:c r="Q80" s="598" t="str">
        <x:v>검증불가 사유를 자동 분류하지 못해 보류</x:v>
      </x:c>
    </x:row>
    <x:row r="81" ht="44" customHeight="1">
      <x:c r="A81" s="596" t="str">
        <x:v>80</x:v>
      </x:c>
      <x:c r="B81" s="596" t="str">
        <x:v>인구</x:v>
      </x:c>
      <x:c r="C81" s="596" t="str">
        <x:v>C20405</x:v>
      </x:c>
      <x:c r="D81" s="598" t="str">
        <x:v>코로나 시기였던 2020년 인구주택총조사의 최종 응답률은 96.3%였다.</x:v>
      </x:c>
      <x:c r="E81" s="596" t="str">
        <x:v>보류</x:v>
      </x:c>
      <x:c r="F81" s="596" t="str">
        <x:v>N</x:v>
      </x:c>
      <x:c r="G81" s="596" t="str">
        <x:v>KOSIS 미제공</x:v>
      </x:c>
      <x:c r="H81" s="596" t="str"/>
      <x:c r="I81" s="596" t="str"/>
      <x:c r="J81" s="596" t="str"/>
      <x:c r="K81" s="596" t="str"/>
      <x:c r="L81" s="596" t="str"/>
      <x:c r="M81" s="596" t="str"/>
      <x:c r="N81" s="596" t="str">
        <x:v>N</x:v>
      </x:c>
      <x:c r="O81" s="596" t="str">
        <x:v>N/A</x:v>
      </x:c>
      <x:c r="P81" s="598" t="str">
        <x:v>검증가능여부</x:v>
      </x:c>
      <x:c r="Q81" s="598" t="str">
        <x:v>검증불가 사유를 자동 분류하지 못해 보류</x:v>
      </x:c>
    </x:row>
    <x:row r="82" ht="44" customHeight="1">
      <x:c r="A82" s="596" t="str">
        <x:v>81</x:v>
      </x:c>
      <x:c r="B82" s="596" t="str">
        <x:v>소매</x:v>
      </x:c>
      <x:c r="C82" s="596" t="str">
        <x:v>C00069</x:v>
      </x:c>
      <x:c r="D82" s="598" t="str">
        <x:v>이곳 관계자는 “로봇 자동화를 통해 생산량은 로봇을 들이기 이전보다 38% 올라갔고 원가도 45%가량 줄일 수 있었다”고 했다.</x:v>
      </x:c>
      <x:c r="E82" s="596" t="str">
        <x:v>보류</x:v>
      </x:c>
      <x:c r="F82" s="596" t="str">
        <x:v>N</x:v>
      </x:c>
      <x:c r="G82" s="596" t="str">
        <x:v>KOSIS 미제공</x:v>
      </x:c>
      <x:c r="H82" s="596" t="str"/>
      <x:c r="I82" s="596" t="str"/>
      <x:c r="J82" s="596" t="str"/>
      <x:c r="K82" s="596" t="str"/>
      <x:c r="L82" s="596" t="str"/>
      <x:c r="M82" s="596" t="str"/>
      <x:c r="N82" s="596" t="str">
        <x:v>N</x:v>
      </x:c>
      <x:c r="O82" s="596" t="str">
        <x:v>N/A</x:v>
      </x:c>
      <x:c r="P82" s="598" t="str">
        <x:v>검증가능여부</x:v>
      </x:c>
      <x:c r="Q82" s="598" t="str">
        <x:v>검증불가 사유를 자동 분류하지 못해 보류</x:v>
      </x:c>
    </x:row>
    <x:row r="83" ht="44" customHeight="1">
      <x:c r="A83" s="596" t="str">
        <x:v>82</x:v>
      </x:c>
      <x:c r="B83" s="596" t="str">
        <x:v>소매</x:v>
      </x:c>
      <x:c r="C83" s="596" t="str">
        <x:v>C01239</x:v>
      </x:c>
      <x:c r="D83" s="598" t="str">
        <x:v>실제로 내수 부진이 한창이었던 작년 10월은 임시 공휴일(10월 2일) 지정에도 소매 판매액 지수가 전월 대비 0.8% 감소했다.</x:v>
      </x:c>
      <x:c r="E83" s="596" t="str">
        <x:v>검증가능</x:v>
      </x:c>
      <x:c r="F83" s="596" t="str">
        <x:v>Y</x:v>
      </x:c>
      <x:c r="G83" s="596" t="str"/>
      <x:c r="H83" s="596" t="str">
        <x:v>DT_1K41012</x:v>
      </x:c>
      <x:c r="I83" s="596" t="str">
        <x:v>G0</x:v>
      </x:c>
      <x:c r="J83" s="596" t="str"/>
      <x:c r="K83" s="596" t="str">
        <x:v>T3</x:v>
      </x:c>
      <x:c r="L83" s="596" t="str">
        <x:v>202410</x:v>
      </x:c>
      <x:c r="M83" s="596" t="str">
        <x:v>불일치</x:v>
      </x:c>
      <x:c r="N83" s="596" t="str">
        <x:v>Y</x:v>
      </x:c>
      <x:c r="O83" s="596" t="str">
        <x:v>Y</x:v>
      </x:c>
      <x:c r="P83" s="598" t="str"/>
      <x:c r="Q83" s="598" t="str"/>
    </x:row>
    <x:row r="84" ht="44" customHeight="1">
      <x:c r="A84" s="596" t="str">
        <x:v>83</x:v>
      </x:c>
      <x:c r="B84" s="596" t="str">
        <x:v>소매</x:v>
      </x:c>
      <x:c r="C84" s="596" t="str">
        <x:v>C01328</x:v>
      </x:c>
      <x:c r="D84" s="598" t="str">
        <x:v>BMW는 작년 중국 판매량이 2023년 대비 13.4% 급감했고, 벤츠는 7% 줄었다.</x:v>
      </x:c>
      <x:c r="E84" s="596" t="str">
        <x:v>검증불가</x:v>
      </x:c>
      <x:c r="F84" s="596" t="str">
        <x:v>N</x:v>
      </x:c>
      <x:c r="G84" s="596" t="str">
        <x:v>KOSIS 미제공</x:v>
      </x:c>
      <x:c r="H84" s="596" t="str"/>
      <x:c r="I84" s="596" t="str"/>
      <x:c r="J84" s="596" t="str"/>
      <x:c r="K84" s="596" t="str"/>
      <x:c r="L84" s="596" t="str"/>
      <x:c r="M84" s="596" t="str"/>
      <x:c r="N84" s="596" t="str">
        <x:v>Y</x:v>
      </x:c>
      <x:c r="O84" s="596" t="str">
        <x:v>N/A</x:v>
      </x:c>
      <x:c r="P84" s="598" t="str"/>
      <x:c r="Q84" s="598" t="str"/>
    </x:row>
    <x:row r="85" ht="44" customHeight="1">
      <x:c r="A85" s="596" t="str">
        <x:v>84</x:v>
      </x:c>
      <x:c r="B85" s="596" t="str">
        <x:v>소매</x:v>
      </x:c>
      <x:c r="C85" s="596" t="str">
        <x:v>C01572</x:v>
      </x:c>
      <x:c r="D85" s="598" t="str">
        <x:v>작년 1~11월 소매판매액도 전년 동기 대비 2.1% 감소했다.</x:v>
      </x:c>
      <x:c r="E85" s="596" t="str">
        <x:v>보류</x:v>
      </x:c>
      <x:c r="F85" s="596" t="str">
        <x:v>Y</x:v>
      </x:c>
      <x:c r="G85" s="596" t="str"/>
      <x:c r="H85" s="596" t="str">
        <x:v>DT_1K41012</x:v>
      </x:c>
      <x:c r="I85" s="596" t="str">
        <x:v>G0</x:v>
      </x:c>
      <x:c r="J85" s="596" t="str"/>
      <x:c r="K85" s="596" t="str">
        <x:v>T2</x:v>
      </x:c>
      <x:c r="L85" s="596" t="str">
        <x:v>202401:202411</x:v>
      </x:c>
      <x:c r="M85" s="596" t="str">
        <x:v>일치</x:v>
      </x:c>
      <x:c r="N85" s="596" t="str">
        <x:v>N</x:v>
      </x:c>
      <x:c r="O85" s="596" t="str">
        <x:v>N</x:v>
      </x:c>
      <x:c r="P85" s="598" t="str">
        <x:v>검증가능여부;통계표;항목;시점;주장수치;비교방식;최종판정</x:v>
      </x:c>
      <x:c r="Q85" s="598" t="str">
        <x:v>검증가능 지표를 코드북이 지원하지 않아 보류</x:v>
      </x:c>
    </x:row>
    <x:row r="86" ht="44" customHeight="1">
      <x:c r="A86" s="596" t="str">
        <x:v>85</x:v>
      </x:c>
      <x:c r="B86" s="596" t="str">
        <x:v>소매</x:v>
      </x:c>
      <x:c r="C86" s="596" t="str">
        <x:v>C02074</x:v>
      </x:c>
      <x:c r="D86" s="598" t="str">
        <x:v>현대차의 영업 이익과 글로벌 판매량이 전년 대비 줄어든 건 코로나 사태가 발생한 2020년 이후 4년 만이다.</x:v>
      </x:c>
      <x:c r="E86" s="596" t="str">
        <x:v>보류</x:v>
      </x:c>
      <x:c r="F86" s="596" t="str">
        <x:v>N</x:v>
      </x:c>
      <x:c r="G86" s="596" t="str">
        <x:v>KOSIS 미제공</x:v>
      </x:c>
      <x:c r="H86" s="596" t="str"/>
      <x:c r="I86" s="596" t="str"/>
      <x:c r="J86" s="596" t="str"/>
      <x:c r="K86" s="596" t="str"/>
      <x:c r="L86" s="596" t="str"/>
      <x:c r="M86" s="596" t="str"/>
      <x:c r="N86" s="596" t="str">
        <x:v>N</x:v>
      </x:c>
      <x:c r="O86" s="596" t="str">
        <x:v>N/A</x:v>
      </x:c>
      <x:c r="P86" s="598" t="str">
        <x:v>검증가능여부</x:v>
      </x:c>
      <x:c r="Q86" s="598" t="str">
        <x:v>검증불가 사유를 자동 분류하지 못해 보류</x:v>
      </x:c>
    </x:row>
    <x:row r="87" ht="44" customHeight="1">
      <x:c r="A87" s="596" t="str">
        <x:v>86</x:v>
      </x:c>
      <x:c r="B87" s="596" t="str">
        <x:v>소매</x:v>
      </x:c>
      <x:c r="C87" s="596" t="str">
        <x:v>C03125</x:v>
      </x:c>
      <x:c r="D87" s="598" t="str">
        <x:v>볼보 관계자는 “SUV 라인업인 XC 레인지가 지난해 전체 판매량의 68%를 차지했다”고 말했다.</x:v>
      </x:c>
      <x:c r="E87" s="596" t="str">
        <x:v>보류</x:v>
      </x:c>
      <x:c r="F87" s="596" t="str">
        <x:v>N</x:v>
      </x:c>
      <x:c r="G87" s="596" t="str">
        <x:v>KOSIS 미제공</x:v>
      </x:c>
      <x:c r="H87" s="596" t="str"/>
      <x:c r="I87" s="596" t="str"/>
      <x:c r="J87" s="596" t="str"/>
      <x:c r="K87" s="596" t="str"/>
      <x:c r="L87" s="596" t="str"/>
      <x:c r="M87" s="596" t="str"/>
      <x:c r="N87" s="596" t="str">
        <x:v>N</x:v>
      </x:c>
      <x:c r="O87" s="596" t="str">
        <x:v>N/A</x:v>
      </x:c>
      <x:c r="P87" s="598" t="str">
        <x:v>검증가능여부</x:v>
      </x:c>
      <x:c r="Q87" s="598" t="str">
        <x:v>검증불가 사유를 자동 분류하지 못해 보류</x:v>
      </x:c>
    </x:row>
    <x:row r="88" ht="44" customHeight="1">
      <x:c r="A88" s="596" t="str">
        <x:v>87</x:v>
      </x:c>
      <x:c r="B88" s="596" t="str">
        <x:v>소매</x:v>
      </x:c>
      <x:c r="C88" s="596" t="str">
        <x:v>C04139</x:v>
      </x:c>
      <x:c r="D88" s="598" t="str">
        <x:v>중국 의존도가 높을수록 타격이 컸고, 중국 사업 비중을 줄인 포드와 중국에서 철수한 르노만 판매량이 전년 대비 1% 안팎 늘었다.</x:v>
      </x:c>
      <x:c r="E88" s="596" t="str">
        <x:v>검증불가</x:v>
      </x:c>
      <x:c r="F88" s="596" t="str">
        <x:v>N</x:v>
      </x:c>
      <x:c r="G88" s="596" t="str">
        <x:v>KOSIS 미제공</x:v>
      </x:c>
      <x:c r="H88" s="596" t="str"/>
      <x:c r="I88" s="596" t="str"/>
      <x:c r="J88" s="596" t="str"/>
      <x:c r="K88" s="596" t="str"/>
      <x:c r="L88" s="596" t="str"/>
      <x:c r="M88" s="596" t="str"/>
      <x:c r="N88" s="596" t="str">
        <x:v>Y</x:v>
      </x:c>
      <x:c r="O88" s="596" t="str">
        <x:v>N/A</x:v>
      </x:c>
      <x:c r="P88" s="598" t="str"/>
      <x:c r="Q88" s="598" t="str"/>
    </x:row>
    <x:row r="89" ht="44" customHeight="1">
      <x:c r="A89" s="596" t="str">
        <x:v>88</x:v>
      </x:c>
      <x:c r="B89" s="596" t="str">
        <x:v>소매</x:v>
      </x:c>
      <x:c r="C89" s="596" t="str">
        <x:v>C04148</x:v>
      </x:c>
      <x:c r="D89" s="598" t="str">
        <x:v>최근 몇 년 새 중국 공장 직원 수천 명을 감축한 포드 역시 1년 새 판매량이 1.3% 늘었다.</x:v>
      </x:c>
      <x:c r="E89" s="596" t="str">
        <x:v>검증불가</x:v>
      </x:c>
      <x:c r="F89" s="596" t="str">
        <x:v>N</x:v>
      </x:c>
      <x:c r="G89" s="596" t="str">
        <x:v>KOSIS 미제공</x:v>
      </x:c>
      <x:c r="H89" s="596" t="str"/>
      <x:c r="I89" s="596" t="str"/>
      <x:c r="J89" s="596" t="str"/>
      <x:c r="K89" s="596" t="str"/>
      <x:c r="L89" s="596" t="str"/>
      <x:c r="M89" s="596" t="str"/>
      <x:c r="N89" s="596" t="str">
        <x:v>Y</x:v>
      </x:c>
      <x:c r="O89" s="596" t="str">
        <x:v>N/A</x:v>
      </x:c>
      <x:c r="P89" s="598" t="str"/>
      <x:c r="Q89" s="598" t="str"/>
    </x:row>
    <x:row r="90" ht="44" customHeight="1">
      <x:c r="A90" s="596" t="str">
        <x:v>89</x:v>
      </x:c>
      <x:c r="B90" s="596" t="str">
        <x:v>소매</x:v>
      </x:c>
      <x:c r="C90" s="596" t="str">
        <x:v>C06502</x:v>
      </x:c>
      <x:c r="D90" s="598" t="str">
        <x:v>서비스업 생산도 0.8% 줄었다.</x:v>
      </x:c>
      <x:c r="E90" s="596" t="str">
        <x:v>보류</x:v>
      </x:c>
      <x:c r="F90" s="596" t="str">
        <x:v>Y</x:v>
      </x:c>
      <x:c r="G90" s="596" t="str"/>
      <x:c r="H90" s="596" t="str">
        <x:v>DT_1KC2020</x:v>
      </x:c>
      <x:c r="I90" s="596" t="str">
        <x:v>T</x:v>
      </x:c>
      <x:c r="J90" s="596" t="str"/>
      <x:c r="K90" s="596" t="str">
        <x:v>T3</x:v>
      </x:c>
      <x:c r="L90" s="596" t="str">
        <x:v>202501</x:v>
      </x:c>
      <x:c r="M90" s="596" t="str">
        <x:v>일치</x:v>
      </x:c>
      <x:c r="N90" s="596" t="str">
        <x:v>N</x:v>
      </x:c>
      <x:c r="O90" s="596" t="str">
        <x:v>N</x:v>
      </x:c>
      <x:c r="P90" s="598" t="str">
        <x:v>검증가능여부;통계표;항목;시점;주장수치;비교방식;최종판정</x:v>
      </x:c>
      <x:c r="Q90" s="598" t="str">
        <x:v>검증가능 지표를 코드북이 지원하지 않아 보류</x:v>
      </x:c>
    </x:row>
    <x:row r="91" ht="44" customHeight="1">
      <x:c r="A91" s="596" t="str">
        <x:v>90</x:v>
      </x:c>
      <x:c r="B91" s="596" t="str">
        <x:v>소매</x:v>
      </x:c>
      <x:c r="C91" s="596" t="str">
        <x:v>C06503</x:v>
      </x:c>
      <x:c r="D91" s="598" t="str">
        <x:v>소비 추이를 보여주는 지표인 소매판매도 전월보다 0.6% 감소했다.</x:v>
      </x:c>
      <x:c r="E91" s="596" t="str">
        <x:v>검증가능</x:v>
      </x:c>
      <x:c r="F91" s="596" t="str">
        <x:v>Y</x:v>
      </x:c>
      <x:c r="G91" s="596" t="str"/>
      <x:c r="H91" s="596" t="str">
        <x:v>DT_1K41012</x:v>
      </x:c>
      <x:c r="I91" s="596" t="str">
        <x:v>G0</x:v>
      </x:c>
      <x:c r="J91" s="596" t="str"/>
      <x:c r="K91" s="596" t="str">
        <x:v>T3</x:v>
      </x:c>
      <x:c r="L91" s="596" t="str">
        <x:v>202501</x:v>
      </x:c>
      <x:c r="M91" s="596" t="str">
        <x:v>불일치</x:v>
      </x:c>
      <x:c r="N91" s="596" t="str">
        <x:v>Y</x:v>
      </x:c>
      <x:c r="O91" s="596" t="str">
        <x:v>Y</x:v>
      </x:c>
      <x:c r="P91" s="598" t="str"/>
      <x:c r="Q91" s="598" t="str"/>
    </x:row>
    <x:row r="92" ht="44" customHeight="1">
      <x:c r="A92" s="596" t="str">
        <x:v>91</x:v>
      </x:c>
      <x:c r="B92" s="596" t="str">
        <x:v>소매</x:v>
      </x:c>
      <x:c r="C92" s="596" t="str">
        <x:v>C06928</x:v>
      </x:c>
      <x:c r="D92" s="598" t="str">
        <x:v>전체 픽업트럭 판매의 90%를 웃도는 렉스턴 스포츠가 2018년 첫 출시 이후 노후화되면서 국내 픽업 시장도 덩달아 쪼그라드는 추세였다.</x:v>
      </x:c>
      <x:c r="E92" s="596" t="str">
        <x:v>보류</x:v>
      </x:c>
      <x:c r="F92" s="596" t="str">
        <x:v>N</x:v>
      </x:c>
      <x:c r="G92" s="596" t="str">
        <x:v>KOSIS 미제공</x:v>
      </x:c>
      <x:c r="H92" s="596" t="str"/>
      <x:c r="I92" s="596" t="str"/>
      <x:c r="J92" s="596" t="str"/>
      <x:c r="K92" s="596" t="str"/>
      <x:c r="L92" s="596" t="str"/>
      <x:c r="M92" s="596" t="str"/>
      <x:c r="N92" s="596" t="str">
        <x:v>N</x:v>
      </x:c>
      <x:c r="O92" s="596" t="str">
        <x:v>N/A</x:v>
      </x:c>
      <x:c r="P92" s="598" t="str">
        <x:v>검증가능여부</x:v>
      </x:c>
      <x:c r="Q92" s="598" t="str">
        <x:v>검증불가 사유를 자동 분류하지 못해 보류</x:v>
      </x:c>
    </x:row>
    <x:row r="93" ht="44" customHeight="1">
      <x:c r="A93" s="596" t="str">
        <x:v>92</x:v>
      </x:c>
      <x:c r="B93" s="596" t="str">
        <x:v>소매</x:v>
      </x:c>
      <x:c r="C93" s="596" t="str">
        <x:v>C09984</x:v>
      </x:c>
      <x:c r="D93" s="598" t="str">
        <x:v>연 50만대 규모로 증설을 앞둔 ‘현대차그룹 메타플랜트 아메리카’의 생산량 40%를 기아 브랜드 제품으로 채우기로 한 만큼, 해외를 중심으로 생산 확대가 빠르게 이뤄질 전망이다.</x:v>
      </x:c>
      <x:c r="E93" s="596" t="str">
        <x:v>검증불가</x:v>
      </x:c>
      <x:c r="F93" s="596" t="str">
        <x:v>N</x:v>
      </x:c>
      <x:c r="G93" s="596" t="str">
        <x:v>KOSIS 미제공</x:v>
      </x:c>
      <x:c r="H93" s="596" t="str"/>
      <x:c r="I93" s="596" t="str"/>
      <x:c r="J93" s="596" t="str"/>
      <x:c r="K93" s="596" t="str"/>
      <x:c r="L93" s="596" t="str"/>
      <x:c r="M93" s="596" t="str"/>
      <x:c r="N93" s="596" t="str">
        <x:v>Y</x:v>
      </x:c>
      <x:c r="O93" s="596" t="str">
        <x:v>N/A</x:v>
      </x:c>
      <x:c r="P93" s="598" t="str"/>
      <x:c r="Q93" s="598" t="str"/>
    </x:row>
    <x:row r="94" ht="44" customHeight="1">
      <x:c r="A94" s="596" t="str">
        <x:v>93</x:v>
      </x:c>
      <x:c r="B94" s="596" t="str">
        <x:v>소매</x:v>
      </x:c>
      <x:c r="C94" s="596" t="str">
        <x:v>C11377</x:v>
      </x:c>
      <x:c r="D94" s="598" t="str">
        <x:v>유럽(-3.8%), 인도(-4.2%), 중국(-38.1%) 등 대부분 해외 지역에서 판매가 줄었지만, 미국 실적 덕분에 글로벌 판매량(100만 1120대)이 작년 동기 대비 0.6% 감소에 그쳤다.</x:v>
      </x:c>
      <x:c r="E94" s="596" t="str">
        <x:v>검증불가</x:v>
      </x:c>
      <x:c r="F94" s="596" t="str">
        <x:v>N</x:v>
      </x:c>
      <x:c r="G94" s="596" t="str">
        <x:v>KOSIS 미제공</x:v>
      </x:c>
      <x:c r="H94" s="596" t="str"/>
      <x:c r="I94" s="596" t="str"/>
      <x:c r="J94" s="596" t="str"/>
      <x:c r="K94" s="596" t="str"/>
      <x:c r="L94" s="596" t="str"/>
      <x:c r="M94" s="596" t="str"/>
      <x:c r="N94" s="596" t="str">
        <x:v>Y</x:v>
      </x:c>
      <x:c r="O94" s="596" t="str">
        <x:v>N/A</x:v>
      </x:c>
      <x:c r="P94" s="598" t="str"/>
      <x:c r="Q94" s="598" t="str"/>
    </x:row>
    <x:row r="95" ht="44" customHeight="1">
      <x:c r="A95" s="596" t="str">
        <x:v>94</x:v>
      </x:c>
      <x:c r="B95" s="596" t="str">
        <x:v>소매</x:v>
      </x:c>
      <x:c r="C95" s="596" t="str">
        <x:v>C11936</x:v>
      </x:c>
      <x:c r="D95" s="598" t="str">
        <x:v>반면 물품 소비에 해당하는 소매판매는 전월 대비 0.3% 줄었다.</x:v>
      </x:c>
      <x:c r="E95" s="596" t="str">
        <x:v>검증가능</x:v>
      </x:c>
      <x:c r="F95" s="596" t="str">
        <x:v>Y</x:v>
      </x:c>
      <x:c r="G95" s="596" t="str"/>
      <x:c r="H95" s="596" t="str">
        <x:v>DT_1K41012</x:v>
      </x:c>
      <x:c r="I95" s="596" t="str">
        <x:v>G0</x:v>
      </x:c>
      <x:c r="J95" s="596" t="str"/>
      <x:c r="K95" s="596" t="str">
        <x:v>T3</x:v>
      </x:c>
      <x:c r="L95" s="596" t="str">
        <x:v>202503</x:v>
      </x:c>
      <x:c r="M95" s="596" t="str">
        <x:v>불일치</x:v>
      </x:c>
      <x:c r="N95" s="596" t="str">
        <x:v>Y</x:v>
      </x:c>
      <x:c r="O95" s="596" t="str">
        <x:v>Y</x:v>
      </x:c>
      <x:c r="P95" s="598" t="str"/>
      <x:c r="Q95" s="598" t="str"/>
    </x:row>
    <x:row r="96" ht="44" customHeight="1">
      <x:c r="A96" s="596" t="str">
        <x:v>95</x:v>
      </x:c>
      <x:c r="B96" s="596" t="str">
        <x:v>소매</x:v>
      </x:c>
      <x:c r="C96" s="596" t="str">
        <x:v>C11937</x:v>
      </x:c>
      <x:c r="D96" s="598" t="str">
        <x:v>소매판매는 지난 1월 0.6% 감소했다가 2월 1.9% 반등했는데, 지난달 다시 감소세로 전환한 것이다.</x:v>
      </x:c>
      <x:c r="E96" s="596" t="str">
        <x:v>보류</x:v>
      </x:c>
      <x:c r="F96" s="596" t="str">
        <x:v>Y</x:v>
      </x:c>
      <x:c r="G96" s="596" t="str"/>
      <x:c r="H96" s="596" t="str">
        <x:v>DT_1K41012</x:v>
      </x:c>
      <x:c r="I96" s="596" t="str">
        <x:v>G0</x:v>
      </x:c>
      <x:c r="J96" s="596" t="str"/>
      <x:c r="K96" s="596" t="str">
        <x:v>T3</x:v>
      </x:c>
      <x:c r="L96" s="596" t="str">
        <x:v>202502</x:v>
      </x:c>
      <x:c r="M96" s="596" t="str">
        <x:v>불일치</x:v>
      </x:c>
      <x:c r="N96" s="596" t="str">
        <x:v>N</x:v>
      </x:c>
      <x:c r="O96" s="596" t="str">
        <x:v>N</x:v>
      </x:c>
      <x:c r="P96" s="598" t="str">
        <x:v>검증가능여부;통계표;항목;시점;주장수치;비교방식;최종판정</x:v>
      </x:c>
      <x:c r="Q96" s="598" t="str">
        <x:v>검증가능 지표를 코드북이 지원하지 않아 보류</x:v>
      </x:c>
    </x:row>
    <x:row r="97" ht="44" customHeight="1">
      <x:c r="A97" s="596" t="str">
        <x:v>96</x:v>
      </x:c>
      <x:c r="B97" s="596" t="str">
        <x:v>소매</x:v>
      </x:c>
      <x:c r="C97" s="596" t="str">
        <x:v>C14971</x:v>
      </x:c>
      <x:c r="D97" s="598" t="str">
        <x:v>케이카의 올해 1분기 실적에 따르면 중고차의 소매 평균거래가격(ASP)은 전년 대비 3% 상승했지만, 소매판매 대수는 5% 감소했다.</x:v>
      </x:c>
      <x:c r="E97" s="596" t="str">
        <x:v>검증가능</x:v>
      </x:c>
      <x:c r="F97" s="596" t="str">
        <x:v>N</x:v>
      </x:c>
      <x:c r="G97" s="596" t="str">
        <x:v>KOSIS 미제공</x:v>
      </x:c>
      <x:c r="H97" s="596" t="str"/>
      <x:c r="I97" s="596" t="str"/>
      <x:c r="J97" s="596" t="str"/>
      <x:c r="K97" s="596" t="str"/>
      <x:c r="L97" s="596" t="str"/>
      <x:c r="M97" s="596" t="str"/>
      <x:c r="N97" s="596" t="str">
        <x:v>N</x:v>
      </x:c>
      <x:c r="O97" s="596" t="str">
        <x:v>N/A</x:v>
      </x:c>
      <x:c r="P97" s="598" t="str">
        <x:v>검증가능여부</x:v>
      </x:c>
      <x:c r="Q97" s="598" t="str">
        <x:v>검증불가 주장을 KOSIS 표에 과매핑</x:v>
      </x:c>
    </x:row>
    <x:row r="98" ht="44" customHeight="1">
      <x:c r="A98" s="596" t="str">
        <x:v>97</x:v>
      </x:c>
      <x:c r="B98" s="596" t="str">
        <x:v>소매</x:v>
      </x:c>
      <x:c r="C98" s="596" t="str">
        <x:v>C16528</x:v>
      </x:c>
      <x:c r="D98" s="598" t="str">
        <x:v>이에 따르면 지난 5월 국내 자동차 판매량은 14만1865대로 작년 같은 달보다 0.4% 늘었다.</x:v>
      </x:c>
      <x:c r="E98" s="596" t="str">
        <x:v>보류</x:v>
      </x:c>
      <x:c r="F98" s="596" t="str">
        <x:v>N</x:v>
      </x:c>
      <x:c r="G98" s="596" t="str">
        <x:v>KOSIS 미제공</x:v>
      </x:c>
      <x:c r="H98" s="596" t="str"/>
      <x:c r="I98" s="596" t="str"/>
      <x:c r="J98" s="596" t="str"/>
      <x:c r="K98" s="596" t="str"/>
      <x:c r="L98" s="596" t="str"/>
      <x:c r="M98" s="596" t="str"/>
      <x:c r="N98" s="596" t="str">
        <x:v>N</x:v>
      </x:c>
      <x:c r="O98" s="596" t="str">
        <x:v>N/A</x:v>
      </x:c>
      <x:c r="P98" s="598" t="str">
        <x:v>검증가능여부</x:v>
      </x:c>
      <x:c r="Q98" s="598" t="str">
        <x:v>검증불가 사유를 자동 분류하지 못해 보류</x:v>
      </x:c>
    </x:row>
    <x:row r="99" ht="44" customHeight="1">
      <x:c r="A99" s="596" t="str">
        <x:v>98</x:v>
      </x:c>
      <x:c r="B99" s="596" t="str">
        <x:v>소매</x:v>
      </x:c>
      <x:c r="C99" s="596" t="str">
        <x:v>C17314</x:v>
      </x:c>
      <x:c r="D99" s="598" t="str">
        <x:v>알코올이 전혀 포함돼 있지 않거나 미량 들어간 이른바 ‘무알코올 맥주’ 판매량이 지난해 9% 늘어나며, 이제는 글로벌 맥주 소비 1위인 라거 맥주에 이어 2위 자리를 꿰차는 상황까지 온 것이다.</x:v>
      </x:c>
      <x:c r="E99" s="596" t="str">
        <x:v>보류</x:v>
      </x:c>
      <x:c r="F99" s="596" t="str">
        <x:v>N</x:v>
      </x:c>
      <x:c r="G99" s="596" t="str">
        <x:v>KOSIS 미제공</x:v>
      </x:c>
      <x:c r="H99" s="596" t="str"/>
      <x:c r="I99" s="596" t="str"/>
      <x:c r="J99" s="596" t="str"/>
      <x:c r="K99" s="596" t="str"/>
      <x:c r="L99" s="596" t="str"/>
      <x:c r="M99" s="596" t="str"/>
      <x:c r="N99" s="596" t="str">
        <x:v>N</x:v>
      </x:c>
      <x:c r="O99" s="596" t="str">
        <x:v>N/A</x:v>
      </x:c>
      <x:c r="P99" s="598" t="str">
        <x:v>검증가능여부</x:v>
      </x:c>
      <x:c r="Q99" s="598" t="str">
        <x:v>검증불가 사유를 자동 분류하지 못해 보류</x:v>
      </x:c>
    </x:row>
    <x:row r="100" ht="44" customHeight="1">
      <x:c r="A100" s="596" t="str">
        <x:v>99</x:v>
      </x:c>
      <x:c r="B100" s="596" t="str">
        <x:v>소매</x:v>
      </x:c>
      <x:c r="C100" s="596" t="str">
        <x:v>C19263</x:v>
      </x:c>
      <x:c r="D100" s="598" t="str">
        <x:v>지난 1~5월 홍합 생산량은 전년 대비 68% 급감했고, 멍게도 1~6월 생산량이 전년 대비 30.6% 감소했다.</x:v>
      </x:c>
      <x:c r="E100" s="596" t="str">
        <x:v>보류</x:v>
      </x:c>
      <x:c r="F100" s="596" t="str">
        <x:v>Y</x:v>
      </x:c>
      <x:c r="G100" s="596" t="str"/>
      <x:c r="H100" s="596" t="str">
        <x:v>DT_1EW0004</x:v>
      </x:c>
      <x:c r="I100" s="596" t="str">
        <x:v>2</x:v>
      </x:c>
      <x:c r="J100" s="596" t="str">
        <x:v>230354|00|0</x:v>
      </x:c>
      <x:c r="K100" s="596" t="str">
        <x:v>T01</x:v>
      </x:c>
      <x:c r="L100" s="596" t="str">
        <x:v>202501:202505</x:v>
      </x:c>
      <x:c r="M100" s="596" t="str">
        <x:v>일치</x:v>
      </x:c>
      <x:c r="N100" s="596" t="str">
        <x:v>N</x:v>
      </x:c>
      <x:c r="O100" s="596" t="str">
        <x:v>N</x:v>
      </x:c>
      <x:c r="P100" s="598" t="str">
        <x:v>검증가능여부;통계표;항목;시점;주장수치;비교방식;최종판정</x:v>
      </x:c>
      <x:c r="Q100" s="598" t="str">
        <x:v>검증가능 지표를 코드북이 지원하지 않아 보류</x:v>
      </x:c>
    </x:row>
    <x:row r="101" ht="44" customHeight="1">
      <x:c r="A101" s="596" t="str">
        <x:v>100</x:v>
      </x:c>
      <x:c r="B101" s="596" t="str">
        <x:v>소매</x:v>
      </x:c>
      <x:c r="C101" s="596" t="str">
        <x:v>C19470</x:v>
      </x:c>
      <x:c r="D101" s="598" t="str">
        <x:v>또한 미 상무부는 6월 소매판매가 전월 대비 0.6% 증가했다고 밝혔다.</x:v>
      </x:c>
      <x:c r="E101" s="596" t="str">
        <x:v>검증불가</x:v>
      </x:c>
      <x:c r="F101" s="596" t="str">
        <x:v>N</x:v>
      </x:c>
      <x:c r="G101" s="596" t="str">
        <x:v>KOSIS 미제공</x:v>
      </x:c>
      <x:c r="H101" s="596" t="str"/>
      <x:c r="I101" s="596" t="str"/>
      <x:c r="J101" s="596" t="str"/>
      <x:c r="K101" s="596" t="str"/>
      <x:c r="L101" s="596" t="str"/>
      <x:c r="M101" s="596" t="str"/>
      <x:c r="N101" s="596" t="str">
        <x:v>Y</x:v>
      </x:c>
      <x:c r="O101" s="596" t="str">
        <x:v>N/A</x:v>
      </x:c>
      <x:c r="P101" s="598" t="str"/>
      <x:c r="Q101" s="598" t="str"/>
    </x:row>
  </x:sheetData>
  <x:conditionalFormatting sqref="N2:O101">
    <x:cfRule type="containsText" dxfId="0" priority="1" operator="containsText" text="Y"/>
    <x:cfRule type="containsText" dxfId="1" priority="2" operator="containsText" text="N"/>
  </x:conditionalFormatting>
  <x:pageMargins left="0.7" right="0.7" top="0.75" bottom="0.75" header="0.3" footer="0.3"/>
  <x:tableParts count="1">
    <x:tablePart xmlns:r="http://schemas.openxmlformats.org/officeDocument/2006/relationships" r:id="R0b24f83d029a426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9" hidden="0" customWidth="1"/>
    <x:col min="3" max="3" width="12" hidden="0" customWidth="1"/>
    <x:col min="4" max="4" width="58" hidden="0" customWidth="1"/>
    <x:col min="5" max="5" width="13" hidden="0" customWidth="1"/>
    <x:col min="6" max="6" width="14" hidden="0" customWidth="1"/>
    <x:col min="7" max="7" width="18" hidden="0" customWidth="1"/>
    <x:col min="8" max="8" width="20" hidden="0" customWidth="1"/>
    <x:col min="9" max="9" width="11" hidden="0" customWidth="1"/>
    <x:col min="10" max="10" width="11" hidden="0" customWidth="1"/>
    <x:col min="11" max="11" width="24" hidden="0" customWidth="1"/>
    <x:col min="12" max="12" width="14" hidden="0" customWidth="1"/>
    <x:col min="13" max="13" width="12" hidden="0" customWidth="1"/>
    <x:col min="14" max="14" width="13" hidden="0" customWidth="1"/>
    <x:col min="15" max="15" width="14" hidden="0" customWidth="1"/>
    <x:col min="16" max="16" width="26" hidden="0" customWidth="1"/>
    <x:col min="17" max="17" width="36" hidden="0" customWidth="1"/>
  </x:cols>
  <x:sheetData>
    <x:row r="1">
      <x:c r="A1" s="378" t="str">
        <x:v>번호</x:v>
      </x:c>
      <x:c r="B1" s="379" t="str">
        <x:v>분야</x:v>
      </x:c>
      <x:c r="C1" s="379" t="str">
        <x:v>claim_id</x:v>
      </x:c>
      <x:c r="D1" s="379" t="str">
        <x:v>주장 문장</x:v>
      </x:c>
      <x:c r="E1" s="379" t="str">
        <x:v>자동결정</x:v>
      </x:c>
      <x:c r="F1" s="379" t="str">
        <x:v>골드 검증가능</x:v>
      </x:c>
      <x:c r="G1" s="379" t="str">
        <x:v>검증불가 사유</x:v>
      </x:c>
      <x:c r="H1" s="379" t="str">
        <x:v>골드 통계표</x:v>
      </x:c>
      <x:c r="I1" s="379" t="str">
        <x:v>obj_l1</x:v>
      </x:c>
      <x:c r="J1" s="379" t="str">
        <x:v>obj_l2</x:v>
      </x:c>
      <x:c r="K1" s="379" t="str">
        <x:v>골드 항목</x:v>
      </x:c>
      <x:c r="L1" s="379" t="str">
        <x:v>골드 시점</x:v>
      </x:c>
      <x:c r="M1" s="379" t="str">
        <x:v>골드 판정</x:v>
      </x:c>
      <x:c r="N1" s="379" t="str">
        <x:v>가능여부 정답</x:v>
      </x:c>
      <x:c r="O1" s="379" t="str">
        <x:v>전체매핑 정답</x:v>
      </x:c>
      <x:c r="P1" s="379" t="str">
        <x:v>오류 유형</x:v>
      </x:c>
      <x:c r="Q1" s="380" t="str">
        <x:v>오류 원인</x:v>
      </x:c>
    </x:row>
    <x:row r="2" ht="44" customHeight="1">
      <x:c r="A2" s="606" t="str">
        <x:v>1</x:v>
      </x:c>
      <x:c r="B2" s="606" t="str">
        <x:v>물가</x:v>
      </x:c>
      <x:c r="C2" s="606" t="str">
        <x:v>C06536</x:v>
      </x:c>
      <x:c r="D2" s="610" t="str">
        <x:v>특히 30대 이하 가구에서 체감 물가가 1%포인트 오를 때, 자가 주택 소유 확률이 7.4%포인트쯤 올라 주택 수요가 더 커지는 것으로 나타났다.</x:v>
      </x:c>
      <x:c r="E2" s="606" t="str">
        <x:v>보류</x:v>
      </x:c>
      <x:c r="F2" s="606" t="str">
        <x:v>N</x:v>
      </x:c>
      <x:c r="G2" s="606" t="str">
        <x:v>KOSIS 미제공</x:v>
      </x:c>
      <x:c r="H2" s="606" t="str"/>
      <x:c r="I2" s="606" t="str"/>
      <x:c r="J2" s="606" t="str"/>
      <x:c r="K2" s="606" t="str"/>
      <x:c r="L2" s="606" t="str"/>
      <x:c r="M2" s="606" t="str"/>
      <x:c r="N2" s="606" t="str">
        <x:v>N</x:v>
      </x:c>
      <x:c r="O2" s="606" t="str">
        <x:v>N/A</x:v>
      </x:c>
      <x:c r="P2" s="610" t="str">
        <x:v>검증가능여부</x:v>
      </x:c>
      <x:c r="Q2" s="610" t="str">
        <x:v>검증불가 사유를 자동 분류하지 못해 보류</x:v>
      </x:c>
    </x:row>
    <x:row r="3" ht="44" customHeight="1">
      <x:c r="A3" s="607" t="str">
        <x:v>6</x:v>
      </x:c>
      <x:c r="B3" s="607" t="str">
        <x:v>물가</x:v>
      </x:c>
      <x:c r="C3" s="607" t="str">
        <x:v>C12152</x:v>
      </x:c>
      <x:c r="D3" s="611" t="str">
        <x:v>연초 미국의 석유 증산 등으로 국제 유가가 떨어졌던 게 시차를 두고 반영되면서, 지난달 석유류 가격은 1.7% 떨어졌다.</x:v>
      </x:c>
      <x:c r="E3" s="607" t="str">
        <x:v>검증불가</x:v>
      </x:c>
      <x:c r="F3" s="607" t="str">
        <x:v>Y</x:v>
      </x:c>
      <x:c r="G3" s="607" t="str"/>
      <x:c r="H3" s="607" t="str">
        <x:v>DT_1J22112</x:v>
      </x:c>
      <x:c r="I3" s="607" t="str">
        <x:v>T10</x:v>
      </x:c>
      <x:c r="J3" s="607" t="str">
        <x:v>B05</x:v>
      </x:c>
      <x:c r="K3" s="607" t="str">
        <x:v>T</x:v>
      </x:c>
      <x:c r="L3" s="607" t="str">
        <x:v>202504</x:v>
      </x:c>
      <x:c r="M3" s="607" t="str">
        <x:v>일치</x:v>
      </x:c>
      <x:c r="N3" s="607" t="str">
        <x:v>N</x:v>
      </x:c>
      <x:c r="O3" s="607" t="str">
        <x:v>N</x:v>
      </x:c>
      <x:c r="P3" s="611" t="str">
        <x:v>검증가능여부;통계표;항목;시점;주장수치;비교방식;최종판정</x:v>
      </x:c>
      <x:c r="Q3" s="611" t="str">
        <x:v>검증가능 지표를 비검증 대상으로 과배제</x:v>
      </x:c>
    </x:row>
    <x:row r="4" ht="44" customHeight="1">
      <x:c r="A4" s="606" t="str">
        <x:v>7</x:v>
      </x:c>
      <x:c r="B4" s="606" t="str">
        <x:v>물가</x:v>
      </x:c>
      <x:c r="C4" s="606" t="str">
        <x:v>C12193</x:v>
      </x:c>
      <x:c r="D4" s="610" t="str">
        <x:v>지난달 석유류 가격은 1.7% 하락했다.</x:v>
      </x:c>
      <x:c r="E4" s="606" t="str">
        <x:v>보류</x:v>
      </x:c>
      <x:c r="F4" s="606" t="str">
        <x:v>Y</x:v>
      </x:c>
      <x:c r="G4" s="606" t="str"/>
      <x:c r="H4" s="606" t="str">
        <x:v>DT_1J22112</x:v>
      </x:c>
      <x:c r="I4" s="606" t="str">
        <x:v>T10</x:v>
      </x:c>
      <x:c r="J4" s="606" t="str">
        <x:v>B05</x:v>
      </x:c>
      <x:c r="K4" s="606" t="str">
        <x:v>T</x:v>
      </x:c>
      <x:c r="L4" s="606" t="str">
        <x:v>202504</x:v>
      </x:c>
      <x:c r="M4" s="606" t="str">
        <x:v>일치</x:v>
      </x:c>
      <x:c r="N4" s="606" t="str">
        <x:v>N</x:v>
      </x:c>
      <x:c r="O4" s="606" t="str">
        <x:v>N</x:v>
      </x:c>
      <x:c r="P4" s="610" t="str">
        <x:v>검증가능여부;통계표;항목;시점;주장수치;비교방식;최종판정</x:v>
      </x:c>
      <x:c r="Q4" s="610" t="str">
        <x:v>검증가능 지표를 코드북이 지원하지 않아 보류</x:v>
      </x:c>
    </x:row>
    <x:row r="5" ht="44" customHeight="1">
      <x:c r="A5" s="607" t="str">
        <x:v>9</x:v>
      </x:c>
      <x:c r="B5" s="607" t="str">
        <x:v>물가</x:v>
      </x:c>
      <x:c r="C5" s="607" t="str">
        <x:v>C12854</x:v>
      </x:c>
      <x:c r="D5" s="611" t="str">
        <x:v>2월에는 -0.7%, 3월에는 -0.1%를 기록했다.</x:v>
      </x:c>
      <x:c r="E5" s="607" t="str">
        <x:v>보류</x:v>
      </x:c>
      <x:c r="F5" s="607" t="str">
        <x:v>N</x:v>
      </x:c>
      <x:c r="G5" s="607" t="str">
        <x:v>KOSIS 미제공</x:v>
      </x:c>
      <x:c r="H5" s="607" t="str"/>
      <x:c r="I5" s="607" t="str"/>
      <x:c r="J5" s="607" t="str"/>
      <x:c r="K5" s="607" t="str"/>
      <x:c r="L5" s="607" t="str"/>
      <x:c r="M5" s="607" t="str"/>
      <x:c r="N5" s="607" t="str">
        <x:v>N</x:v>
      </x:c>
      <x:c r="O5" s="607" t="str">
        <x:v>N/A</x:v>
      </x:c>
      <x:c r="P5" s="611" t="str">
        <x:v>검증가능여부</x:v>
      </x:c>
      <x:c r="Q5" s="611" t="str">
        <x:v>검증불가 사유를 자동 분류하지 못해 보류</x:v>
      </x:c>
    </x:row>
    <x:row r="6" ht="44" customHeight="1">
      <x:c r="A6" s="606" t="str">
        <x:v>14</x:v>
      </x:c>
      <x:c r="B6" s="606" t="str">
        <x:v>물가</x:v>
      </x:c>
      <x:c r="C6" s="606" t="str">
        <x:v>C16487</x:v>
      </x:c>
      <x:c r="D6" s="610" t="str">
        <x:v>◇5년 새 20% 이상 오른 외식 품목 30가지 음식료품 물가 중 외식 물가는 최근 특히 비상이다.</x:v>
      </x:c>
      <x:c r="E6" s="606" t="str">
        <x:v>보류</x:v>
      </x:c>
      <x:c r="F6" s="606" t="str">
        <x:v>N</x:v>
      </x:c>
      <x:c r="G6" s="606" t="str">
        <x:v>정보 부족</x:v>
      </x:c>
      <x:c r="H6" s="606" t="str"/>
      <x:c r="I6" s="606" t="str"/>
      <x:c r="J6" s="606" t="str"/>
      <x:c r="K6" s="606" t="str"/>
      <x:c r="L6" s="606" t="str"/>
      <x:c r="M6" s="606" t="str"/>
      <x:c r="N6" s="606" t="str">
        <x:v>N</x:v>
      </x:c>
      <x:c r="O6" s="606" t="str">
        <x:v>N/A</x:v>
      </x:c>
      <x:c r="P6" s="610" t="str">
        <x:v>검증가능여부</x:v>
      </x:c>
      <x:c r="Q6" s="610" t="str">
        <x:v>검증불가 사유를 자동 분류하지 못해 보류</x:v>
      </x:c>
    </x:row>
    <x:row r="7" ht="44" customHeight="1">
      <x:c r="A7" s="607" t="str">
        <x:v>15</x:v>
      </x:c>
      <x:c r="B7" s="607" t="str">
        <x:v>물가</x:v>
      </x:c>
      <x:c r="C7" s="607" t="str">
        <x:v>C19826</x:v>
      </x:c>
      <x:c r="D7" s="611" t="str">
        <x:v>빵(38.5%)과 과일(35.2%), 우유·치즈·계란(30.7%) 가격의 상승 폭이 컸고 과자·빙과류(27.8%), 라면(25.3%), 생수·청량음료·과채주스(22.7%), 육류(21.1%), 어류·수산(20%) 등도 상승률이 20% 이상이었다.</x:v>
      </x:c>
      <x:c r="E7" s="607" t="str">
        <x:v>보류</x:v>
      </x:c>
      <x:c r="F7" s="607" t="str">
        <x:v>N</x:v>
      </x:c>
      <x:c r="G7" s="607" t="str">
        <x:v>정보 부족</x:v>
      </x:c>
      <x:c r="H7" s="607" t="str"/>
      <x:c r="I7" s="607" t="str"/>
      <x:c r="J7" s="607" t="str"/>
      <x:c r="K7" s="607" t="str"/>
      <x:c r="L7" s="607" t="str"/>
      <x:c r="M7" s="607" t="str"/>
      <x:c r="N7" s="607" t="str">
        <x:v>N</x:v>
      </x:c>
      <x:c r="O7" s="607" t="str">
        <x:v>N/A</x:v>
      </x:c>
      <x:c r="P7" s="611" t="str">
        <x:v>검증가능여부</x:v>
      </x:c>
      <x:c r="Q7" s="611" t="str">
        <x:v>검증불가 사유를 자동 분류하지 못해 보류</x:v>
      </x:c>
    </x:row>
    <x:row r="8" ht="44" customHeight="1">
      <x:c r="A8" s="606" t="str">
        <x:v>16</x:v>
      </x:c>
      <x:c r="B8" s="606" t="str">
        <x:v>물가</x:v>
      </x:c>
      <x:c r="C8" s="606" t="str">
        <x:v>C20289</x:v>
      </x:c>
      <x:c r="D8" s="610" t="str">
        <x:v>소비자 물가 상승률은 지난 8월 SK텔레콤 해킹 사태에 따른 요금 인하 효과로 1.7%를 기록했다가, 추석 명절 수요 등으로 가공식품과 축·수산물 등 먹거리 물가가 오르면서 9월 2.1%로 올라선 바 있다.</x:v>
      </x:c>
      <x:c r="E8" s="606" t="str">
        <x:v>검증가능</x:v>
      </x:c>
      <x:c r="F8" s="606" t="str">
        <x:v>N</x:v>
      </x:c>
      <x:c r="G8" s="606" t="str">
        <x:v>정보 부족</x:v>
      </x:c>
      <x:c r="H8" s="606" t="str"/>
      <x:c r="I8" s="606" t="str"/>
      <x:c r="J8" s="606" t="str"/>
      <x:c r="K8" s="606" t="str"/>
      <x:c r="L8" s="606" t="str"/>
      <x:c r="M8" s="606" t="str"/>
      <x:c r="N8" s="606" t="str">
        <x:v>N</x:v>
      </x:c>
      <x:c r="O8" s="606" t="str">
        <x:v>N/A</x:v>
      </x:c>
      <x:c r="P8" s="610" t="str">
        <x:v>검증가능여부</x:v>
      </x:c>
      <x:c r="Q8" s="610" t="str">
        <x:v>검증불가 주장을 KOSIS 표에 과매핑</x:v>
      </x:c>
    </x:row>
    <x:row r="9" ht="44" customHeight="1">
      <x:c r="A9" s="607" t="str">
        <x:v>18</x:v>
      </x:c>
      <x:c r="B9" s="607" t="str">
        <x:v>물가</x:v>
      </x:c>
      <x:c r="C9" s="607" t="str">
        <x:v>C20297</x:v>
      </x:c>
      <x:c r="D9" s="611" t="str">
        <x:v>어류·조개류가 속한 신선어개·채소·과실 등 기상 조건에 따라 가격 변동이 큰 품목으로 구성된 신선식품지수는 0.8% 하락했다.</x:v>
      </x:c>
      <x:c r="E9" s="607" t="str">
        <x:v>보류</x:v>
      </x:c>
      <x:c r="F9" s="607" t="str">
        <x:v>Y</x:v>
      </x:c>
      <x:c r="G9" s="607" t="str"/>
      <x:c r="H9" s="607" t="str">
        <x:v>DT_1J22042</x:v>
      </x:c>
      <x:c r="I9" s="607" t="str">
        <x:v>2</x:v>
      </x:c>
      <x:c r="J9" s="607" t="str"/>
      <x:c r="K9" s="607" t="str">
        <x:v>T03</x:v>
      </x:c>
      <x:c r="L9" s="607" t="str">
        <x:v>202510</x:v>
      </x:c>
      <x:c r="M9" s="607" t="str">
        <x:v>일치</x:v>
      </x:c>
      <x:c r="N9" s="607" t="str">
        <x:v>N</x:v>
      </x:c>
      <x:c r="O9" s="607" t="str">
        <x:v>N</x:v>
      </x:c>
      <x:c r="P9" s="611" t="str">
        <x:v>검증가능여부;통계표;항목;시점;주장수치;비교방식;최종판정</x:v>
      </x:c>
      <x:c r="Q9" s="611" t="str">
        <x:v>검증가능 지표를 코드북이 지원하지 않아 보류</x:v>
      </x:c>
    </x:row>
    <x:row r="10" ht="44" customHeight="1">
      <x:c r="A10" s="606" t="str">
        <x:v>19</x:v>
      </x:c>
      <x:c r="B10" s="606" t="str">
        <x:v>물가</x:v>
      </x:c>
      <x:c r="C10" s="606" t="str">
        <x:v>C20298</x:v>
      </x:c>
      <x:c r="D10" s="610" t="str">
        <x:v>국제유가 상승세로 석유류 물가는 4.8% 상승하면서 지난 2월(6.3%) 이후 가장 높은 상승 폭을 보였다.</x:v>
      </x:c>
      <x:c r="E10" s="606" t="str">
        <x:v>보류</x:v>
      </x:c>
      <x:c r="F10" s="606" t="str">
        <x:v>Y</x:v>
      </x:c>
      <x:c r="G10" s="606" t="str"/>
      <x:c r="H10" s="606" t="str">
        <x:v>DT_1J22112</x:v>
      </x:c>
      <x:c r="I10" s="606" t="str">
        <x:v>T10</x:v>
      </x:c>
      <x:c r="J10" s="606" t="str">
        <x:v>B05</x:v>
      </x:c>
      <x:c r="K10" s="606" t="str">
        <x:v>T</x:v>
      </x:c>
      <x:c r="L10" s="606" t="str">
        <x:v>202510</x:v>
      </x:c>
      <x:c r="M10" s="606" t="str">
        <x:v>일치</x:v>
      </x:c>
      <x:c r="N10" s="606" t="str">
        <x:v>N</x:v>
      </x:c>
      <x:c r="O10" s="606" t="str">
        <x:v>N</x:v>
      </x:c>
      <x:c r="P10" s="610" t="str">
        <x:v>검증가능여부;통계표;항목;시점;주장수치;비교방식;최종판정</x:v>
      </x:c>
      <x:c r="Q10" s="610" t="str">
        <x:v>검증가능 지표를 코드북이 지원하지 않아 보류</x:v>
      </x:c>
    </x:row>
    <x:row r="11" ht="44" customHeight="1">
      <x:c r="A11" s="607" t="str">
        <x:v>20</x:v>
      </x:c>
      <x:c r="B11" s="607" t="str">
        <x:v>물가</x:v>
      </x:c>
      <x:c r="C11" s="607" t="str">
        <x:v>C20299</x:v>
      </x:c>
      <x:c r="D11" s="611" t="str">
        <x:v>관련 기사 2.4% 찍은 소비자물가 상승률에...한은 "2% 내외로 다시 안정될 것" 지난달 소비자물가 상승률이 2.4%를 기록하며 1년 3개월 만에 최고치를 기록했다.</x:v>
      </x:c>
      <x:c r="E11" s="607" t="str">
        <x:v>보류</x:v>
      </x:c>
      <x:c r="F11" s="607" t="str">
        <x:v>Y</x:v>
      </x:c>
      <x:c r="G11" s="607" t="str"/>
      <x:c r="H11" s="607" t="str">
        <x:v>DT_1J22042</x:v>
      </x:c>
      <x:c r="I11" s="607" t="str">
        <x:v>0</x:v>
      </x:c>
      <x:c r="J11" s="607" t="str"/>
      <x:c r="K11" s="607" t="str">
        <x:v>T03</x:v>
      </x:c>
      <x:c r="L11" s="607" t="str">
        <x:v>202510</x:v>
      </x:c>
      <x:c r="M11" s="607" t="str">
        <x:v>일치</x:v>
      </x:c>
      <x:c r="N11" s="607" t="str">
        <x:v>N</x:v>
      </x:c>
      <x:c r="O11" s="607" t="str">
        <x:v>N</x:v>
      </x:c>
      <x:c r="P11" s="611" t="str">
        <x:v>검증가능여부;통계표;항목;시점;주장수치;비교방식;최종판정</x:v>
      </x:c>
      <x:c r="Q11" s="611" t="str">
        <x:v>검증가능 지표를 코드북이 지원하지 않아 보류</x:v>
      </x:c>
    </x:row>
    <x:row r="12" ht="44" customHeight="1">
      <x:c r="A12" s="606" t="str">
        <x:v>21</x:v>
      </x:c>
      <x:c r="B12" s="606" t="str">
        <x:v>고용</x:v>
      </x:c>
      <x:c r="C12" s="606" t="str">
        <x:v>C03732</x:v>
      </x:c>
      <x:c r="D12" s="610" t="str">
        <x:v>1963년 통계 작성 이래 처음으로 20% 아래로 떨어진 것이다.</x:v>
      </x:c>
      <x:c r="E12" s="606" t="str">
        <x:v>보류</x:v>
      </x:c>
      <x:c r="F12" s="606" t="str">
        <x:v>Y</x:v>
      </x:c>
      <x:c r="G12" s="606" t="str"/>
      <x:c r="H12" s="606" t="str">
        <x:v>DT_1DA7010S</x:v>
      </x:c>
      <x:c r="I12" s="606" t="str">
        <x:v>06/00</x:v>
      </x:c>
      <x:c r="J12" s="606" t="str"/>
      <x:c r="K12" s="606" t="str">
        <x:v>T30</x:v>
      </x:c>
      <x:c r="L12" s="606" t="str">
        <x:v>2024</x:v>
      </x:c>
      <x:c r="M12" s="606" t="str">
        <x:v>일치</x:v>
      </x:c>
      <x:c r="N12" s="606" t="str">
        <x:v>N</x:v>
      </x:c>
      <x:c r="O12" s="606" t="str">
        <x:v>N</x:v>
      </x:c>
      <x:c r="P12" s="610" t="str">
        <x:v>검증가능여부;통계표;항목;시점;주장수치;비교방식;최종판정</x:v>
      </x:c>
      <x:c r="Q12" s="610" t="str">
        <x:v>검증가능 지표를 코드북이 지원하지 않아 보류</x:v>
      </x:c>
    </x:row>
    <x:row r="13" ht="44" customHeight="1">
      <x:c r="A13" s="607" t="str">
        <x:v>25</x:v>
      </x:c>
      <x:c r="B13" s="607" t="str">
        <x:v>고용</x:v>
      </x:c>
      <x:c r="C13" s="607" t="str">
        <x:v>C07866</x:v>
      </x:c>
      <x:c r="D13" s="611" t="str">
        <x:v>1 통계청에 따르면 지난해 우리나라 전체 자영업자 수는 565만7000명이다.</x:v>
      </x:c>
      <x:c r="E13" s="607" t="str">
        <x:v>보류</x:v>
      </x:c>
      <x:c r="F13" s="607" t="str">
        <x:v>Y</x:v>
      </x:c>
      <x:c r="G13" s="607" t="str"/>
      <x:c r="H13" s="607" t="str">
        <x:v>DT_1DA7010S</x:v>
      </x:c>
      <x:c r="I13" s="607" t="str">
        <x:v>06</x:v>
      </x:c>
      <x:c r="J13" s="607" t="str"/>
      <x:c r="K13" s="607" t="str">
        <x:v>T30</x:v>
      </x:c>
      <x:c r="L13" s="607" t="str">
        <x:v>2024</x:v>
      </x:c>
      <x:c r="M13" s="607" t="str">
        <x:v>일치</x:v>
      </x:c>
      <x:c r="N13" s="607" t="str">
        <x:v>N</x:v>
      </x:c>
      <x:c r="O13" s="607" t="str">
        <x:v>N</x:v>
      </x:c>
      <x:c r="P13" s="611" t="str">
        <x:v>검증가능여부;통계표;항목;시점;주장수치;비교방식;최종판정</x:v>
      </x:c>
      <x:c r="Q13" s="611" t="str">
        <x:v>검증가능 지표를 코드북이 지원하지 않아 보류</x:v>
      </x:c>
    </x:row>
    <x:row r="14" ht="44" customHeight="1">
      <x:c r="A14" s="606" t="str">
        <x:v>26</x:v>
      </x:c>
      <x:c r="B14" s="606" t="str">
        <x:v>고용</x:v>
      </x:c>
      <x:c r="C14" s="606" t="str">
        <x:v>C07867</x:v>
      </x:c>
      <x:c r="D14" s="610" t="str">
        <x:v>이 중 직원 없는 ‘나 홀로 사장님’이 422만5000명으로 전체의 74.7%를 차지했다.</x:v>
      </x:c>
      <x:c r="E14" s="606" t="str">
        <x:v>보류</x:v>
      </x:c>
      <x:c r="F14" s="606" t="str">
        <x:v>Y</x:v>
      </x:c>
      <x:c r="G14" s="606" t="str"/>
      <x:c r="H14" s="606" t="str">
        <x:v>DT_1DA7010S</x:v>
      </x:c>
      <x:c r="I14" s="606" t="str">
        <x:v>21</x:v>
      </x:c>
      <x:c r="J14" s="606" t="str"/>
      <x:c r="K14" s="606" t="str">
        <x:v>T30</x:v>
      </x:c>
      <x:c r="L14" s="606" t="str">
        <x:v>2024</x:v>
      </x:c>
      <x:c r="M14" s="606" t="str">
        <x:v>일치</x:v>
      </x:c>
      <x:c r="N14" s="606" t="str">
        <x:v>N</x:v>
      </x:c>
      <x:c r="O14" s="606" t="str">
        <x:v>N</x:v>
      </x:c>
      <x:c r="P14" s="610" t="str">
        <x:v>검증가능여부;통계표;항목;시점;주장수치;비교방식;최종판정</x:v>
      </x:c>
      <x:c r="Q14" s="610" t="str">
        <x:v>검증가능 지표를 코드북이 지원하지 않아 보류</x:v>
      </x:c>
    </x:row>
    <x:row r="15" ht="44" customHeight="1">
      <x:c r="A15" s="607" t="str">
        <x:v>27</x:v>
      </x:c>
      <x:c r="B15" s="607" t="str">
        <x:v>고용</x:v>
      </x:c>
      <x:c r="C15" s="607" t="str">
        <x:v>C07973</x:v>
      </x:c>
      <x:c r="D15" s="611" t="str">
        <x:v>실업률은 4.3%에서 4.4%로, 물가상승률은 2.5%에서 2.7%로 올렸다.</x:v>
      </x:c>
      <x:c r="E15" s="607" t="str">
        <x:v>보류</x:v>
      </x:c>
      <x:c r="F15" s="607" t="str">
        <x:v>N</x:v>
      </x:c>
      <x:c r="G15" s="607" t="str">
        <x:v>KOSIS 미제공</x:v>
      </x:c>
      <x:c r="H15" s="607" t="str"/>
      <x:c r="I15" s="607" t="str"/>
      <x:c r="J15" s="607" t="str"/>
      <x:c r="K15" s="607" t="str"/>
      <x:c r="L15" s="607" t="str"/>
      <x:c r="M15" s="607" t="str"/>
      <x:c r="N15" s="607" t="str">
        <x:v>N</x:v>
      </x:c>
      <x:c r="O15" s="607" t="str">
        <x:v>N/A</x:v>
      </x:c>
      <x:c r="P15" s="611" t="str">
        <x:v>검증가능여부</x:v>
      </x:c>
      <x:c r="Q15" s="611" t="str">
        <x:v>검증불가 사유를 자동 분류하지 못해 보류</x:v>
      </x:c>
    </x:row>
    <x:row r="16" ht="44" customHeight="1">
      <x:c r="A16" s="606" t="str">
        <x:v>29</x:v>
      </x:c>
      <x:c r="B16" s="606" t="str">
        <x:v>고용</x:v>
      </x:c>
      <x:c r="C16" s="606" t="str">
        <x:v>C08764</x:v>
      </x:c>
      <x:c r="D16" s="610" t="str">
        <x:v>Z세대 구직자가 관심 있는 기술직 업종으로는 ‘IT‧배터리‧반도체(29%)’와 ‘자동차‧조선‧항공(29%)’이 나란히 1위를 차지했다.</x:v>
      </x:c>
      <x:c r="E16" s="606" t="str">
        <x:v>보류</x:v>
      </x:c>
      <x:c r="F16" s="606" t="str">
        <x:v>N</x:v>
      </x:c>
      <x:c r="G16" s="606" t="str">
        <x:v>KOSIS 미제공</x:v>
      </x:c>
      <x:c r="H16" s="606" t="str"/>
      <x:c r="I16" s="606" t="str"/>
      <x:c r="J16" s="606" t="str"/>
      <x:c r="K16" s="606" t="str"/>
      <x:c r="L16" s="606" t="str"/>
      <x:c r="M16" s="606" t="str"/>
      <x:c r="N16" s="606" t="str">
        <x:v>N</x:v>
      </x:c>
      <x:c r="O16" s="606" t="str">
        <x:v>N/A</x:v>
      </x:c>
      <x:c r="P16" s="610" t="str">
        <x:v>검증가능여부</x:v>
      </x:c>
      <x:c r="Q16" s="610" t="str">
        <x:v>검증불가 사유를 자동 분류하지 못해 보류</x:v>
      </x:c>
    </x:row>
    <x:row r="17" ht="44" customHeight="1">
      <x:c r="A17" s="607" t="str">
        <x:v>30</x:v>
      </x:c>
      <x:c r="B17" s="607" t="str">
        <x:v>고용</x:v>
      </x:c>
      <x:c r="C17" s="607" t="str">
        <x:v>C10535</x:v>
      </x:c>
      <x:c r="D17" s="611" t="str">
        <x:v>14일 통계청은 1분기 25~34세 청년층 취업자 수는 528만8000명으로 전년 동기(532만4000명)보다 3만6000명(0.7%) 줄었다고 밝혔다.</x:v>
      </x:c>
      <x:c r="E17" s="607" t="str">
        <x:v>보류</x:v>
      </x:c>
      <x:c r="F17" s="607" t="str">
        <x:v>Y</x:v>
      </x:c>
      <x:c r="G17" s="607" t="str"/>
      <x:c r="H17" s="607" t="str">
        <x:v>DT_1DA7002S</x:v>
      </x:c>
      <x:c r="I17" s="607" t="str">
        <x:v>202+301</x:v>
      </x:c>
      <x:c r="J17" s="607" t="str"/>
      <x:c r="K17" s="607" t="str">
        <x:v>T30</x:v>
      </x:c>
      <x:c r="L17" s="607" t="str">
        <x:v>202501</x:v>
      </x:c>
      <x:c r="M17" s="607" t="str">
        <x:v>일치</x:v>
      </x:c>
      <x:c r="N17" s="607" t="str">
        <x:v>N</x:v>
      </x:c>
      <x:c r="O17" s="607" t="str">
        <x:v>N</x:v>
      </x:c>
      <x:c r="P17" s="611" t="str">
        <x:v>검증가능여부;통계표;항목;시점;주장수치;비교방식;최종판정</x:v>
      </x:c>
      <x:c r="Q17" s="611" t="str">
        <x:v>검증가능 지표를 코드북이 지원하지 않아 보류</x:v>
      </x:c>
    </x:row>
    <x:row r="18" ht="44" customHeight="1">
      <x:c r="A18" s="606" t="str">
        <x:v>31</x:v>
      </x:c>
      <x:c r="B18" s="606" t="str">
        <x:v>고용</x:v>
      </x:c>
      <x:c r="C18" s="606" t="str">
        <x:v>C10540</x:v>
      </x:c>
      <x:c r="D18" s="610" t="str">
        <x:v>지난달 제조업 취업자는 전년 동월 대비 11만2000명 줄며 4년 4개월 만에 최대 감소 폭을 기록했고, 건설업 취업자는 18만5000명 급감하면서 2013년 관련 통계 집계 이래 최대 감소 폭을 보였다.</x:v>
      </x:c>
      <x:c r="E18" s="606" t="str">
        <x:v>보류</x:v>
      </x:c>
      <x:c r="F18" s="606" t="str">
        <x:v>Y</x:v>
      </x:c>
      <x:c r="G18" s="606" t="str"/>
      <x:c r="H18" s="606" t="str">
        <x:v>DT_1DA7E06S_NEW</x:v>
      </x:c>
      <x:c r="I18" s="606" t="str">
        <x:v>10</x:v>
      </x:c>
      <x:c r="J18" s="606" t="str"/>
      <x:c r="K18" s="606" t="str">
        <x:v>T30</x:v>
      </x:c>
      <x:c r="L18" s="606" t="str">
        <x:v>202503</x:v>
      </x:c>
      <x:c r="M18" s="606" t="str">
        <x:v>일치</x:v>
      </x:c>
      <x:c r="N18" s="606" t="str">
        <x:v>N</x:v>
      </x:c>
      <x:c r="O18" s="606" t="str">
        <x:v>N</x:v>
      </x:c>
      <x:c r="P18" s="610" t="str">
        <x:v>검증가능여부;통계표;항목;시점;주장수치;비교방식;최종판정</x:v>
      </x:c>
      <x:c r="Q18" s="610" t="str">
        <x:v>검증가능 지표를 코드북이 지원하지 않아 보류</x:v>
      </x:c>
    </x:row>
    <x:row r="19" ht="44" customHeight="1">
      <x:c r="A19" s="607" t="str">
        <x:v>32</x:v>
      </x:c>
      <x:c r="B19" s="607" t="str">
        <x:v>고용</x:v>
      </x:c>
      <x:c r="C19" s="607" t="str">
        <x:v>C16079</x:v>
      </x:c>
      <x:c r="D19" s="611" t="str">
        <x:v>국회 예산정책처에 따르면, 작년 8월 기준 65세 임금 근로자 61.2%는 비정규직이었고, 70세는 이 비율이 85.1%에 달했다.</x:v>
      </x:c>
      <x:c r="E19" s="607" t="str">
        <x:v>보류</x:v>
      </x:c>
      <x:c r="F19" s="607" t="str">
        <x:v>N</x:v>
      </x:c>
      <x:c r="G19" s="607" t="str">
        <x:v>KOSIS 미제공</x:v>
      </x:c>
      <x:c r="H19" s="607" t="str"/>
      <x:c r="I19" s="607" t="str"/>
      <x:c r="J19" s="607" t="str"/>
      <x:c r="K19" s="607" t="str"/>
      <x:c r="L19" s="607" t="str"/>
      <x:c r="M19" s="607" t="str"/>
      <x:c r="N19" s="607" t="str">
        <x:v>N</x:v>
      </x:c>
      <x:c r="O19" s="607" t="str">
        <x:v>N/A</x:v>
      </x:c>
      <x:c r="P19" s="611" t="str">
        <x:v>검증가능여부</x:v>
      </x:c>
      <x:c r="Q19" s="611" t="str">
        <x:v>검증불가 사유를 자동 분류하지 못해 보류</x:v>
      </x:c>
    </x:row>
    <x:row r="20" ht="44" customHeight="1">
      <x:c r="A20" s="606" t="str">
        <x:v>34</x:v>
      </x:c>
      <x:c r="B20" s="606" t="str">
        <x:v>고용</x:v>
      </x:c>
      <x:c r="C20" s="606" t="str">
        <x:v>C16576</x:v>
      </x:c>
      <x:c r="D20" s="610" t="str">
        <x:v>하버드 MBA 봄 학기 졸업생 가운데 졸업 이후 3개월 넘게 구직 활동을 하는 이들의 비율이 2022년에는 10%에 불과했지만, 지난해 23%로 늘었다는 것이다.</x:v>
      </x:c>
      <x:c r="E20" s="606" t="str">
        <x:v>보류</x:v>
      </x:c>
      <x:c r="F20" s="606" t="str">
        <x:v>N</x:v>
      </x:c>
      <x:c r="G20" s="606" t="str">
        <x:v>KOSIS 미제공</x:v>
      </x:c>
      <x:c r="H20" s="606" t="str"/>
      <x:c r="I20" s="606" t="str"/>
      <x:c r="J20" s="606" t="str"/>
      <x:c r="K20" s="606" t="str"/>
      <x:c r="L20" s="606" t="str"/>
      <x:c r="M20" s="606" t="str"/>
      <x:c r="N20" s="606" t="str">
        <x:v>N</x:v>
      </x:c>
      <x:c r="O20" s="606" t="str">
        <x:v>N/A</x:v>
      </x:c>
      <x:c r="P20" s="610" t="str">
        <x:v>검증가능여부</x:v>
      </x:c>
      <x:c r="Q20" s="610" t="str">
        <x:v>검증불가 사유를 자동 분류하지 못해 보류</x:v>
      </x:c>
    </x:row>
    <x:row r="21" ht="44" customHeight="1">
      <x:c r="A21" s="607" t="str">
        <x:v>35</x:v>
      </x:c>
      <x:c r="B21" s="607" t="str">
        <x:v>고용</x:v>
      </x:c>
      <x:c r="C21" s="607" t="str">
        <x:v>C16580</x:v>
      </x:c>
      <x:c r="D21" s="611" t="str">
        <x:v>15년 전인 2010년 4월 기준 두 집단 사이의 실업률 차이가 8.7%포인트에 달했지만, 올해 4월에는 그 차이가 1.6%포인트로 크게 줄었다는 것이다.</x:v>
      </x:c>
      <x:c r="E21" s="607" t="str">
        <x:v>보류</x:v>
      </x:c>
      <x:c r="F21" s="607" t="str">
        <x:v>N</x:v>
      </x:c>
      <x:c r="G21" s="607" t="str">
        <x:v>KOSIS 미제공</x:v>
      </x:c>
      <x:c r="H21" s="607" t="str"/>
      <x:c r="I21" s="607" t="str"/>
      <x:c r="J21" s="607" t="str"/>
      <x:c r="K21" s="607" t="str"/>
      <x:c r="L21" s="607" t="str"/>
      <x:c r="M21" s="607" t="str"/>
      <x:c r="N21" s="607" t="str">
        <x:v>N</x:v>
      </x:c>
      <x:c r="O21" s="607" t="str">
        <x:v>N/A</x:v>
      </x:c>
      <x:c r="P21" s="611" t="str">
        <x:v>검증가능여부</x:v>
      </x:c>
      <x:c r="Q21" s="611" t="str">
        <x:v>검증불가 사유를 자동 분류하지 못해 보류</x:v>
      </x:c>
    </x:row>
    <x:row r="22" ht="44" customHeight="1">
      <x:c r="A22" s="606" t="str">
        <x:v>39</x:v>
      </x:c>
      <x:c r="B22" s="606" t="str">
        <x:v>고용</x:v>
      </x:c>
      <x:c r="C22" s="606" t="str">
        <x:v>C20327</x:v>
      </x:c>
      <x:c r="D22" s="610" t="str">
        <x:v>전체 취업자 중 비임금 근로자가 차지하는 비율(22.6%)도 역대 최저였다.</x:v>
      </x:c>
      <x:c r="E22" s="606" t="str">
        <x:v>보류</x:v>
      </x:c>
      <x:c r="F22" s="606" t="str">
        <x:v>Y</x:v>
      </x:c>
      <x:c r="G22" s="606" t="str"/>
      <x:c r="H22" s="606" t="str">
        <x:v>DT_1DE6026S</x:v>
      </x:c>
      <x:c r="I22" s="606" t="str">
        <x:v>0</x:v>
      </x:c>
      <x:c r="J22" s="606" t="str"/>
      <x:c r="K22" s="606" t="str">
        <x:v>T10</x:v>
      </x:c>
      <x:c r="L22" s="606" t="str">
        <x:v>202508</x:v>
      </x:c>
      <x:c r="M22" s="606" t="str">
        <x:v>일치</x:v>
      </x:c>
      <x:c r="N22" s="606" t="str">
        <x:v>N</x:v>
      </x:c>
      <x:c r="O22" s="606" t="str">
        <x:v>N</x:v>
      </x:c>
      <x:c r="P22" s="610" t="str">
        <x:v>검증가능여부;통계표;항목;시점;주장수치;비교방식;최종판정</x:v>
      </x:c>
      <x:c r="Q22" s="610" t="str">
        <x:v>검증가능 지표를 코드북이 지원하지 않아 보류</x:v>
      </x:c>
    </x:row>
    <x:row r="23" ht="44" customHeight="1">
      <x:c r="A23" s="607" t="str">
        <x:v>40</x:v>
      </x:c>
      <x:c r="B23" s="607" t="str">
        <x:v>고용</x:v>
      </x:c>
      <x:c r="C23" s="607" t="str">
        <x:v>C20379</x:v>
      </x:c>
      <x:c r="D23" s="611" t="str">
        <x:v>실업률은 1%로 가장 낮다.</x:v>
      </x:c>
      <x:c r="E23" s="607" t="str">
        <x:v>보류</x:v>
      </x:c>
      <x:c r="F23" s="607" t="str">
        <x:v>Y</x:v>
      </x:c>
      <x:c r="G23" s="607" t="str"/>
      <x:c r="H23" s="607" t="str">
        <x:v>DT_1DA7004S</x:v>
      </x:c>
      <x:c r="I23" s="607" t="str">
        <x:v>33</x:v>
      </x:c>
      <x:c r="J23" s="607" t="str"/>
      <x:c r="K23" s="607" t="str">
        <x:v>T80</x:v>
      </x:c>
      <x:c r="L23" s="607" t="str">
        <x:v>202509</x:v>
      </x:c>
      <x:c r="M23" s="607" t="str">
        <x:v>일치</x:v>
      </x:c>
      <x:c r="N23" s="607" t="str">
        <x:v>N</x:v>
      </x:c>
      <x:c r="O23" s="607" t="str">
        <x:v>N</x:v>
      </x:c>
      <x:c r="P23" s="611" t="str">
        <x:v>검증가능여부;통계표;항목;시점;주장수치;비교방식;최종판정</x:v>
      </x:c>
      <x:c r="Q23" s="611" t="str">
        <x:v>검증가능 지표를 코드북이 지원하지 않아 보류</x:v>
      </x:c>
    </x:row>
    <x:row r="24" ht="44" customHeight="1">
      <x:c r="A24" s="606" t="str">
        <x:v>41</x:v>
      </x:c>
      <x:c r="B24" s="606" t="str">
        <x:v>무역</x:v>
      </x:c>
      <x:c r="C24" s="606" t="str">
        <x:v>C00688</x:v>
      </x:c>
      <x:c r="D24" s="610" t="str">
        <x:v>전체 수입차 판매는 2023년(27만1034대)보다 2.9% 감소한 26만3288대에 그쳤다.</x:v>
      </x:c>
      <x:c r="E24" s="606" t="str">
        <x:v>보류</x:v>
      </x:c>
      <x:c r="F24" s="606" t="str">
        <x:v>N</x:v>
      </x:c>
      <x:c r="G24" s="606" t="str">
        <x:v>KOSIS 미제공</x:v>
      </x:c>
      <x:c r="H24" s="606" t="str"/>
      <x:c r="I24" s="606" t="str"/>
      <x:c r="J24" s="606" t="str"/>
      <x:c r="K24" s="606" t="str"/>
      <x:c r="L24" s="606" t="str"/>
      <x:c r="M24" s="606" t="str"/>
      <x:c r="N24" s="606" t="str">
        <x:v>N</x:v>
      </x:c>
      <x:c r="O24" s="606" t="str">
        <x:v>N/A</x:v>
      </x:c>
      <x:c r="P24" s="610" t="str">
        <x:v>검증가능여부</x:v>
      </x:c>
      <x:c r="Q24" s="610" t="str">
        <x:v>검증불가 사유를 자동 분류하지 못해 보류</x:v>
      </x:c>
    </x:row>
    <x:row r="25" ht="44" customHeight="1">
      <x:c r="A25" s="607" t="str">
        <x:v>42</x:v>
      </x:c>
      <x:c r="B25" s="607" t="str">
        <x:v>무역</x:v>
      </x:c>
      <x:c r="C25" s="607" t="str">
        <x:v>C02277</x:v>
      </x:c>
      <x:c r="D25" s="611" t="str">
        <x:v>그나마 수출이 잘됐던 작년 1분기(1.3%) 덕에 2% 턱걸이를 했다.</x:v>
      </x:c>
      <x:c r="E25" s="607" t="str">
        <x:v>보류</x:v>
      </x:c>
      <x:c r="F25" s="607" t="str">
        <x:v>Y</x:v>
      </x:c>
      <x:c r="G25" s="607" t="str"/>
      <x:c r="H25" s="607" t="str">
        <x:v>DT_200Y104</x:v>
      </x:c>
      <x:c r="I25" s="607" t="str">
        <x:v>13102136259ACC_ITEM.1400</x:v>
      </x:c>
      <x:c r="J25" s="607" t="str"/>
      <x:c r="K25" s="607" t="str">
        <x:v>13103136259999</x:v>
      </x:c>
      <x:c r="L25" s="607" t="str">
        <x:v>202401</x:v>
      </x:c>
      <x:c r="M25" s="607" t="str">
        <x:v>일치</x:v>
      </x:c>
      <x:c r="N25" s="607" t="str">
        <x:v>N</x:v>
      </x:c>
      <x:c r="O25" s="607" t="str">
        <x:v>N</x:v>
      </x:c>
      <x:c r="P25" s="611" t="str">
        <x:v>검증가능여부;통계표;항목;시점;주장수치;비교방식;최종판정</x:v>
      </x:c>
      <x:c r="Q25" s="611" t="str">
        <x:v>검증가능 지표를 코드북이 지원하지 않아 보류</x:v>
      </x:c>
    </x:row>
    <x:row r="26" ht="44" customHeight="1">
      <x:c r="A26" s="606" t="str">
        <x:v>43</x:v>
      </x:c>
      <x:c r="B26" s="606" t="str">
        <x:v>무역</x:v>
      </x:c>
      <x:c r="C26" s="606" t="str">
        <x:v>C04244</x:v>
      </x:c>
      <x:c r="D26" s="610" t="str">
        <x:v>국가별로는 대(對)중국 수출이 29조5200만달러로 4.5% 증가한 반면, 대미 수출은 8.6% 줄었다.</x:v>
      </x:c>
      <x:c r="E26" s="606" t="str">
        <x:v>보류</x:v>
      </x:c>
      <x:c r="F26" s="606" t="str">
        <x:v>N</x:v>
      </x:c>
      <x:c r="G26" s="606" t="str">
        <x:v>KOSIS 미제공</x:v>
      </x:c>
      <x:c r="H26" s="606" t="str"/>
      <x:c r="I26" s="606" t="str"/>
      <x:c r="J26" s="606" t="str"/>
      <x:c r="K26" s="606" t="str"/>
      <x:c r="L26" s="606" t="str"/>
      <x:c r="M26" s="606" t="str"/>
      <x:c r="N26" s="606" t="str">
        <x:v>N</x:v>
      </x:c>
      <x:c r="O26" s="606" t="str">
        <x:v>N/A</x:v>
      </x:c>
      <x:c r="P26" s="610" t="str">
        <x:v>검증가능여부</x:v>
      </x:c>
      <x:c r="Q26" s="610" t="str">
        <x:v>검증불가 사유를 자동 분류하지 못해 보류</x:v>
      </x:c>
    </x:row>
    <x:row r="27" ht="44" customHeight="1">
      <x:c r="A27" s="607" t="str">
        <x:v>44</x:v>
      </x:c>
      <x:c r="B27" s="607" t="str">
        <x:v>무역</x:v>
      </x:c>
      <x:c r="C27" s="607" t="str">
        <x:v>C05931</x:v>
      </x:c>
      <x:c r="D27" s="611" t="str">
        <x:v>전 세계 인구 60%가 이 아래에 있다.</x:v>
      </x:c>
      <x:c r="E27" s="607" t="str">
        <x:v>보류</x:v>
      </x:c>
      <x:c r="F27" s="607" t="str">
        <x:v>N</x:v>
      </x:c>
      <x:c r="G27" s="607" t="str">
        <x:v>정보 부족</x:v>
      </x:c>
      <x:c r="H27" s="607" t="str"/>
      <x:c r="I27" s="607" t="str"/>
      <x:c r="J27" s="607" t="str"/>
      <x:c r="K27" s="607" t="str"/>
      <x:c r="L27" s="607" t="str"/>
      <x:c r="M27" s="607" t="str"/>
      <x:c r="N27" s="607" t="str">
        <x:v>N</x:v>
      </x:c>
      <x:c r="O27" s="607" t="str">
        <x:v>N/A</x:v>
      </x:c>
      <x:c r="P27" s="611" t="str">
        <x:v>검증가능여부</x:v>
      </x:c>
      <x:c r="Q27" s="611" t="str">
        <x:v>검증불가 사유를 자동 분류하지 못해 보류</x:v>
      </x:c>
    </x:row>
    <x:row r="28" ht="44" customHeight="1">
      <x:c r="A28" s="606" t="str">
        <x:v>45</x:v>
      </x:c>
      <x:c r="B28" s="606" t="str">
        <x:v>무역</x:v>
      </x:c>
      <x:c r="C28" s="606" t="str">
        <x:v>C08058</x:v>
      </x:c>
      <x:c r="D28" s="610" t="str">
        <x:v>수입액은 원유·가스·석탄 등 에너지 수입액 감소 여파로 전년 동기 대비 1.4%로 줄어든 344억달러로 집계됐다.</x:v>
      </x:c>
      <x:c r="E28" s="606" t="str">
        <x:v>보류</x:v>
      </x:c>
      <x:c r="F28" s="606" t="str">
        <x:v>N</x:v>
      </x:c>
      <x:c r="G28" s="606" t="str">
        <x:v>KOSIS 미제공</x:v>
      </x:c>
      <x:c r="H28" s="606" t="str"/>
      <x:c r="I28" s="606" t="str"/>
      <x:c r="J28" s="606" t="str"/>
      <x:c r="K28" s="606" t="str"/>
      <x:c r="L28" s="606" t="str"/>
      <x:c r="M28" s="606" t="str"/>
      <x:c r="N28" s="606" t="str">
        <x:v>N</x:v>
      </x:c>
      <x:c r="O28" s="606" t="str">
        <x:v>N/A</x:v>
      </x:c>
      <x:c r="P28" s="610" t="str">
        <x:v>검증가능여부</x:v>
      </x:c>
      <x:c r="Q28" s="610" t="str">
        <x:v>검증불가 사유를 자동 분류하지 못해 보류</x:v>
      </x:c>
    </x:row>
    <x:row r="29" ht="44" customHeight="1">
      <x:c r="A29" s="607" t="str">
        <x:v>46</x:v>
      </x:c>
      <x:c r="B29" s="607" t="str">
        <x:v>무역</x:v>
      </x:c>
      <x:c r="C29" s="607" t="str">
        <x:v>C09115</x:v>
      </x:c>
      <x:c r="D29" s="611" t="str">
        <x:v>이미 25% 관세가 시행 중인 철강 업계는 상호 관세 부과로 관세가 40~50%에 이르면 수출이 어려워질 것이라는 분위기다.</x:v>
      </x:c>
      <x:c r="E29" s="607" t="str">
        <x:v>보류</x:v>
      </x:c>
      <x:c r="F29" s="607" t="str">
        <x:v>N</x:v>
      </x:c>
      <x:c r="G29" s="607" t="str">
        <x:v>정보 부족</x:v>
      </x:c>
      <x:c r="H29" s="607" t="str"/>
      <x:c r="I29" s="607" t="str"/>
      <x:c r="J29" s="607" t="str"/>
      <x:c r="K29" s="607" t="str"/>
      <x:c r="L29" s="607" t="str"/>
      <x:c r="M29" s="607" t="str"/>
      <x:c r="N29" s="607" t="str">
        <x:v>N</x:v>
      </x:c>
      <x:c r="O29" s="607" t="str">
        <x:v>N/A</x:v>
      </x:c>
      <x:c r="P29" s="611" t="str">
        <x:v>검증가능여부</x:v>
      </x:c>
      <x:c r="Q29" s="611" t="str">
        <x:v>검증불가 사유를 자동 분류하지 못해 보류</x:v>
      </x:c>
    </x:row>
    <x:row r="30" ht="44" customHeight="1">
      <x:c r="A30" s="606" t="str">
        <x:v>49</x:v>
      </x:c>
      <x:c r="B30" s="606" t="str">
        <x:v>무역</x:v>
      </x:c>
      <x:c r="C30" s="606" t="str">
        <x:v>C11295</x:v>
      </x:c>
      <x:c r="D30" s="610" t="str">
        <x:v>미국이 이달부터 모든 수입차에 부과하는 25% 관세 역시 글로벌 자동차들의 발걸음을 중국으로 돌리고 있다.</x:v>
      </x:c>
      <x:c r="E30" s="606" t="str">
        <x:v>보류</x:v>
      </x:c>
      <x:c r="F30" s="606" t="str">
        <x:v>N</x:v>
      </x:c>
      <x:c r="G30" s="606" t="str">
        <x:v>KOSIS 미제공</x:v>
      </x:c>
      <x:c r="H30" s="606" t="str"/>
      <x:c r="I30" s="606" t="str"/>
      <x:c r="J30" s="606" t="str"/>
      <x:c r="K30" s="606" t="str"/>
      <x:c r="L30" s="606" t="str"/>
      <x:c r="M30" s="606" t="str"/>
      <x:c r="N30" s="606" t="str">
        <x:v>N</x:v>
      </x:c>
      <x:c r="O30" s="606" t="str">
        <x:v>N/A</x:v>
      </x:c>
      <x:c r="P30" s="610" t="str">
        <x:v>검증가능여부</x:v>
      </x:c>
      <x:c r="Q30" s="610" t="str">
        <x:v>검증불가 사유를 자동 분류하지 못해 보류</x:v>
      </x:c>
    </x:row>
    <x:row r="31" ht="44" customHeight="1">
      <x:c r="A31" s="607" t="str">
        <x:v>51</x:v>
      </x:c>
      <x:c r="B31" s="607" t="str">
        <x:v>무역</x:v>
      </x:c>
      <x:c r="C31" s="607" t="str">
        <x:v>C13058</x:v>
      </x:c>
      <x:c r="D31" s="611" t="str">
        <x:v>국가별로 보면 베트남(14.5%) 등에서는 수입이 늘었지만, 중국(-16.8%), 미국(-20.0%), 유럽연합(-21.1%) 등은 줄었다.</x:v>
      </x:c>
      <x:c r="E31" s="607" t="str">
        <x:v>보류</x:v>
      </x:c>
      <x:c r="F31" s="607" t="str">
        <x:v>N</x:v>
      </x:c>
      <x:c r="G31" s="607" t="str">
        <x:v>KOSIS 미제공</x:v>
      </x:c>
      <x:c r="H31" s="607" t="str"/>
      <x:c r="I31" s="607" t="str"/>
      <x:c r="J31" s="607" t="str"/>
      <x:c r="K31" s="607" t="str"/>
      <x:c r="L31" s="607" t="str"/>
      <x:c r="M31" s="607" t="str"/>
      <x:c r="N31" s="607" t="str">
        <x:v>N</x:v>
      </x:c>
      <x:c r="O31" s="607" t="str">
        <x:v>N/A</x:v>
      </x:c>
      <x:c r="P31" s="611" t="str">
        <x:v>검증가능여부</x:v>
      </x:c>
      <x:c r="Q31" s="611" t="str">
        <x:v>검증불가 사유를 자동 분류하지 못해 보류</x:v>
      </x:c>
    </x:row>
    <x:row r="32" ht="44" customHeight="1">
      <x:c r="A32" s="606" t="str">
        <x:v>52</x:v>
      </x:c>
      <x:c r="B32" s="606" t="str">
        <x:v>무역</x:v>
      </x:c>
      <x:c r="C32" s="606" t="str">
        <x:v>C13856</x:v>
      </x:c>
      <x:c r="D32" s="610" t="str">
        <x:v>0 트럼프 관세 전쟁 우려, 국내 정치 불확실성 등에도 불구하고 올해 1분기(1~3월) 유가증권시장(코스피) 상장사들의 영업 이익이 23% 넘게 급증했다.</x:v>
      </x:c>
      <x:c r="E32" s="606" t="str">
        <x:v>보류</x:v>
      </x:c>
      <x:c r="F32" s="606" t="str">
        <x:v>N</x:v>
      </x:c>
      <x:c r="G32" s="606" t="str">
        <x:v>KOSIS 미제공</x:v>
      </x:c>
      <x:c r="H32" s="606" t="str"/>
      <x:c r="I32" s="606" t="str"/>
      <x:c r="J32" s="606" t="str"/>
      <x:c r="K32" s="606" t="str"/>
      <x:c r="L32" s="606" t="str"/>
      <x:c r="M32" s="606" t="str"/>
      <x:c r="N32" s="606" t="str">
        <x:v>N</x:v>
      </x:c>
      <x:c r="O32" s="606" t="str">
        <x:v>N/A</x:v>
      </x:c>
      <x:c r="P32" s="610" t="str">
        <x:v>검증가능여부</x:v>
      </x:c>
      <x:c r="Q32" s="610" t="str">
        <x:v>검증불가 사유를 자동 분류하지 못해 보류</x:v>
      </x:c>
    </x:row>
    <x:row r="33" ht="44" customHeight="1">
      <x:c r="A33" s="607" t="str">
        <x:v>53</x:v>
      </x:c>
      <x:c r="B33" s="607" t="str">
        <x:v>무역</x:v>
      </x:c>
      <x:c r="C33" s="607" t="str">
        <x:v>C14732</x:v>
      </x:c>
      <x:c r="D33" s="611" t="str">
        <x:v>만일 미국과 중국의 갈등이 다시 불붙고 미국 상호 관세가 유예 기간 후 절반 정도 다시 높아질 경우(비관적 시나리오) 올해와 내년 성장률은 0.7%, 1.2%로 각각 낮아질 수 있다고 봤다.</x:v>
      </x:c>
      <x:c r="E33" s="607" t="str">
        <x:v>보류</x:v>
      </x:c>
      <x:c r="F33" s="607" t="str">
        <x:v>N</x:v>
      </x:c>
      <x:c r="G33" s="607" t="str">
        <x:v>KOSIS 미제공</x:v>
      </x:c>
      <x:c r="H33" s="607" t="str"/>
      <x:c r="I33" s="607" t="str"/>
      <x:c r="J33" s="607" t="str"/>
      <x:c r="K33" s="607" t="str"/>
      <x:c r="L33" s="607" t="str"/>
      <x:c r="M33" s="607" t="str"/>
      <x:c r="N33" s="607" t="str">
        <x:v>N</x:v>
      </x:c>
      <x:c r="O33" s="607" t="str">
        <x:v>N/A</x:v>
      </x:c>
      <x:c r="P33" s="611" t="str">
        <x:v>검증가능여부</x:v>
      </x:c>
      <x:c r="Q33" s="611" t="str">
        <x:v>검증불가 사유를 자동 분류하지 못해 보류</x:v>
      </x:c>
    </x:row>
    <x:row r="34" ht="44" customHeight="1">
      <x:c r="A34" s="606" t="str">
        <x:v>54</x:v>
      </x:c>
      <x:c r="B34" s="606" t="str">
        <x:v>무역</x:v>
      </x:c>
      <x:c r="C34" s="606" t="str">
        <x:v>C14951</x:v>
      </x:c>
      <x:c r="D34" s="610" t="str">
        <x:v>수출액은 전년 대비 1.3% 줄었고, 수입액은 5.3% 감소했다.</x:v>
      </x:c>
      <x:c r="E34" s="606" t="str">
        <x:v>보류</x:v>
      </x:c>
      <x:c r="F34" s="606" t="str">
        <x:v>Y</x:v>
      </x:c>
      <x:c r="G34" s="606" t="str"/>
      <x:c r="H34" s="606" t="str">
        <x:v>DT_1R11001_FRM101</x:v>
      </x:c>
      <x:c r="I34" s="606" t="str">
        <x:v>13102112831A.A</x:v>
      </x:c>
      <x:c r="J34" s="606" t="str"/>
      <x:c r="K34" s="606" t="str">
        <x:v>13103112831T1</x:v>
      </x:c>
      <x:c r="L34" s="606" t="str">
        <x:v>202505</x:v>
      </x:c>
      <x:c r="M34" s="606" t="str">
        <x:v>일치</x:v>
      </x:c>
      <x:c r="N34" s="606" t="str">
        <x:v>N</x:v>
      </x:c>
      <x:c r="O34" s="606" t="str">
        <x:v>N</x:v>
      </x:c>
      <x:c r="P34" s="610" t="str">
        <x:v>검증가능여부;통계표;항목;시점;주장수치;비교방식;최종판정</x:v>
      </x:c>
      <x:c r="Q34" s="610" t="str">
        <x:v>검증가능 지표를 코드북이 지원하지 않아 보류</x:v>
      </x:c>
    </x:row>
    <x:row r="35" ht="44" customHeight="1">
      <x:c r="A35" s="607" t="str">
        <x:v>55</x:v>
      </x:c>
      <x:c r="B35" s="607" t="str">
        <x:v>무역</x:v>
      </x:c>
      <x:c r="C35" s="607" t="str">
        <x:v>C18243</x:v>
      </x:c>
      <x:c r="D35" s="611" t="str">
        <x:v>2000만 달러 이상의 수출 실적을 보인 신선식품 중 전년 대비 증가가 높은 품목은 닭고기(7.9%)와 유자(5.5%)로 집계됐다.</x:v>
      </x:c>
      <x:c r="E35" s="607" t="str">
        <x:v>보류</x:v>
      </x:c>
      <x:c r="F35" s="607" t="str">
        <x:v>N</x:v>
      </x:c>
      <x:c r="G35" s="607" t="str">
        <x:v>KOSIS 미제공</x:v>
      </x:c>
      <x:c r="H35" s="607" t="str"/>
      <x:c r="I35" s="607" t="str"/>
      <x:c r="J35" s="607" t="str"/>
      <x:c r="K35" s="607" t="str"/>
      <x:c r="L35" s="607" t="str"/>
      <x:c r="M35" s="607" t="str"/>
      <x:c r="N35" s="607" t="str">
        <x:v>N</x:v>
      </x:c>
      <x:c r="O35" s="607" t="str">
        <x:v>N/A</x:v>
      </x:c>
      <x:c r="P35" s="611" t="str">
        <x:v>검증가능여부</x:v>
      </x:c>
      <x:c r="Q35" s="611" t="str">
        <x:v>검증불가 사유를 자동 분류하지 못해 보류</x:v>
      </x:c>
    </x:row>
    <x:row r="36" ht="44" customHeight="1">
      <x:c r="A36" s="606" t="str">
        <x:v>56</x:v>
      </x:c>
      <x:c r="B36" s="606" t="str">
        <x:v>무역</x:v>
      </x:c>
      <x:c r="C36" s="606" t="str">
        <x:v>C19025</x:v>
      </x:c>
      <x:c r="D36" s="610" t="str">
        <x:v>절반인 75곳은 10~15%까지 버틸 수 있다고 답했다.</x:v>
      </x:c>
      <x:c r="E36" s="606" t="str">
        <x:v>보류</x:v>
      </x:c>
      <x:c r="F36" s="606" t="str">
        <x:v>N</x:v>
      </x:c>
      <x:c r="G36" s="606" t="str">
        <x:v>KOSIS 미제공</x:v>
      </x:c>
      <x:c r="H36" s="606" t="str"/>
      <x:c r="I36" s="606" t="str"/>
      <x:c r="J36" s="606" t="str"/>
      <x:c r="K36" s="606" t="str"/>
      <x:c r="L36" s="606" t="str"/>
      <x:c r="M36" s="606" t="str"/>
      <x:c r="N36" s="606" t="str">
        <x:v>N</x:v>
      </x:c>
      <x:c r="O36" s="606" t="str">
        <x:v>N/A</x:v>
      </x:c>
      <x:c r="P36" s="610" t="str">
        <x:v>검증가능여부</x:v>
      </x:c>
      <x:c r="Q36" s="610" t="str">
        <x:v>검증불가 사유를 자동 분류하지 못해 보류</x:v>
      </x:c>
    </x:row>
    <x:row r="37" ht="44" customHeight="1">
      <x:c r="A37" s="607" t="str">
        <x:v>57</x:v>
      </x:c>
      <x:c r="B37" s="607" t="str">
        <x:v>무역</x:v>
      </x:c>
      <x:c r="C37" s="607" t="str">
        <x:v>C19032</x:v>
      </x:c>
      <x:c r="D37" s="611" t="str">
        <x:v>상반기 전체 수출이 작년보다 0.03% 줄어들고, 양대 시장인 미국과 중국으로 수출이 올 상반기 나란히 감소한 상황에서 하반기를 플러스로 출발한 것이다.</x:v>
      </x:c>
      <x:c r="E37" s="607" t="str">
        <x:v>보류</x:v>
      </x:c>
      <x:c r="F37" s="607" t="str">
        <x:v>Y</x:v>
      </x:c>
      <x:c r="G37" s="607" t="str"/>
      <x:c r="H37" s="607" t="str">
        <x:v>DT_1R11001_FRM101</x:v>
      </x:c>
      <x:c r="I37" s="607" t="str">
        <x:v>13102112831A.A</x:v>
      </x:c>
      <x:c r="J37" s="607" t="str"/>
      <x:c r="K37" s="607" t="str">
        <x:v>13103112831T1</x:v>
      </x:c>
      <x:c r="L37" s="607" t="str">
        <x:v>202501:202506</x:v>
      </x:c>
      <x:c r="M37" s="607" t="str">
        <x:v>일치</x:v>
      </x:c>
      <x:c r="N37" s="607" t="str">
        <x:v>N</x:v>
      </x:c>
      <x:c r="O37" s="607" t="str">
        <x:v>N</x:v>
      </x:c>
      <x:c r="P37" s="611" t="str">
        <x:v>검증가능여부;통계표;항목;시점;주장수치;비교방식;최종판정</x:v>
      </x:c>
      <x:c r="Q37" s="611" t="str">
        <x:v>검증가능 지표를 코드북이 지원하지 않아 보류</x:v>
      </x:c>
    </x:row>
    <x:row r="38" ht="44" customHeight="1">
      <x:c r="A38" s="606" t="str">
        <x:v>59</x:v>
      </x:c>
      <x:c r="B38" s="606" t="str">
        <x:v>무역</x:v>
      </x:c>
      <x:c r="C38" s="606" t="str">
        <x:v>C20463</x:v>
      </x:c>
      <x:c r="D38" s="610" t="str">
        <x:v>중견기업(17.5%)과 중소기업(16.1%) 비중도 거의 변하지 않았다.</x:v>
      </x:c>
      <x:c r="E38" s="606" t="str">
        <x:v>보류</x:v>
      </x:c>
      <x:c r="F38" s="606" t="str">
        <x:v>Y</x:v>
      </x:c>
      <x:c r="G38" s="606" t="str"/>
      <x:c r="H38" s="606" t="str">
        <x:v>DT_1TEC_P116</x:v>
      </x:c>
      <x:c r="I38" s="606" t="str">
        <x:v>01</x:v>
      </x:c>
      <x:c r="J38" s="606" t="str">
        <x:v>30</x:v>
      </x:c>
      <x:c r="K38" s="606" t="str">
        <x:v>T20</x:v>
      </x:c>
      <x:c r="L38" s="606" t="str">
        <x:v>202503</x:v>
      </x:c>
      <x:c r="M38" s="606" t="str">
        <x:v>일치</x:v>
      </x:c>
      <x:c r="N38" s="606" t="str">
        <x:v>N</x:v>
      </x:c>
      <x:c r="O38" s="606" t="str">
        <x:v>N</x:v>
      </x:c>
      <x:c r="P38" s="610" t="str">
        <x:v>검증가능여부;통계표;항목;시점;주장수치;비교방식;최종판정</x:v>
      </x:c>
      <x:c r="Q38" s="610" t="str">
        <x:v>검증가능 지표를 코드북이 지원하지 않아 보류</x:v>
      </x:c>
    </x:row>
    <x:row r="39" ht="44" customHeight="1">
      <x:c r="A39" s="607" t="str">
        <x:v>60</x:v>
      </x:c>
      <x:c r="B39" s="607" t="str">
        <x:v>무역</x:v>
      </x:c>
      <x:c r="C39" s="607" t="str">
        <x:v>C20467</x:v>
      </x:c>
      <x:c r="D39" s="611" t="str">
        <x:v>대기업의 경우 자본재 수출이 773억달러로 12.2% 증가했지만, 원자재(-5.1%)와 소비재(-5.4%)는 감소했다.</x:v>
      </x:c>
      <x:c r="E39" s="607" t="str">
        <x:v>보류</x:v>
      </x:c>
      <x:c r="F39" s="607" t="str">
        <x:v>Y</x:v>
      </x:c>
      <x:c r="G39" s="607" t="str"/>
      <x:c r="H39" s="607" t="str">
        <x:v>DT_1TEC_P229</x:v>
      </x:c>
      <x:c r="I39" s="607" t="str">
        <x:v>01</x:v>
      </x:c>
      <x:c r="J39" s="607" t="str">
        <x:v>20/10</x:v>
      </x:c>
      <x:c r="K39" s="607" t="str">
        <x:v>T20</x:v>
      </x:c>
      <x:c r="L39" s="607" t="str">
        <x:v>202503</x:v>
      </x:c>
      <x:c r="M39" s="607" t="str">
        <x:v>일치</x:v>
      </x:c>
      <x:c r="N39" s="607" t="str">
        <x:v>N</x:v>
      </x:c>
      <x:c r="O39" s="607" t="str">
        <x:v>N</x:v>
      </x:c>
      <x:c r="P39" s="611" t="str">
        <x:v>검증가능여부;통계표;항목;시점;주장수치;비교방식;최종판정</x:v>
      </x:c>
      <x:c r="Q39" s="611" t="str">
        <x:v>검증가능 지표를 코드북이 지원하지 않아 보류</x:v>
      </x:c>
    </x:row>
    <x:row r="40" ht="44" customHeight="1">
      <x:c r="A40" s="606" t="str">
        <x:v>61</x:v>
      </x:c>
      <x:c r="B40" s="606" t="str">
        <x:v>인구</x:v>
      </x:c>
      <x:c r="C40" s="606" t="str">
        <x:v>C02285</x:v>
      </x:c>
      <x:c r="D40" s="610" t="str">
        <x:v>이정희 중앙대 교수는 “작년 한국 인구의 20%가 65세 이상인 초고령사회로 진입하면서 구조적으로 소비 동력이 떨어져 내수가 살아나기 쉽지 않다”고 했다.</x:v>
      </x:c>
      <x:c r="E40" s="606" t="str">
        <x:v>보류</x:v>
      </x:c>
      <x:c r="F40" s="606" t="str">
        <x:v>Y</x:v>
      </x:c>
      <x:c r="G40" s="606" t="str"/>
      <x:c r="H40" s="606" t="str">
        <x:v>DT_1B04006</x:v>
      </x:c>
      <x:c r="I40" s="606" t="str">
        <x:v>00</x:v>
      </x:c>
      <x:c r="J40" s="606" t="str">
        <x:v>65+</x:v>
      </x:c>
      <x:c r="K40" s="606" t="str">
        <x:v>T2</x:v>
      </x:c>
      <x:c r="L40" s="606" t="str">
        <x:v>202412</x:v>
      </x:c>
      <x:c r="M40" s="606" t="str">
        <x:v>일치</x:v>
      </x:c>
      <x:c r="N40" s="606" t="str">
        <x:v>N</x:v>
      </x:c>
      <x:c r="O40" s="606" t="str">
        <x:v>N</x:v>
      </x:c>
      <x:c r="P40" s="610" t="str">
        <x:v>검증가능여부;통계표;항목;시점;주장수치;비교방식;최종판정</x:v>
      </x:c>
      <x:c r="Q40" s="610" t="str">
        <x:v>검증가능 지표를 코드북이 지원하지 않아 보류</x:v>
      </x:c>
    </x:row>
    <x:row r="41" ht="44" customHeight="1">
      <x:c r="A41" s="607" t="str">
        <x:v>62</x:v>
      </x:c>
      <x:c r="B41" s="607" t="str">
        <x:v>인구</x:v>
      </x:c>
      <x:c r="C41" s="607" t="str">
        <x:v>C02705</x:v>
      </x:c>
      <x:c r="D41" s="611" t="str">
        <x:v>4 2025년에 한국은 65세 이상 인구의 비중이 20%를 초과하는 초고령사회(super-aged society)에 진입한다.</x:v>
      </x:c>
      <x:c r="E41" s="607" t="str">
        <x:v>보류</x:v>
      </x:c>
      <x:c r="F41" s="607" t="str">
        <x:v>Y</x:v>
      </x:c>
      <x:c r="G41" s="607" t="str"/>
      <x:c r="H41" s="607" t="str">
        <x:v>DT_1BPA002</x:v>
      </x:c>
      <x:c r="I41" s="607" t="str">
        <x:v>1</x:v>
      </x:c>
      <x:c r="J41" s="607" t="str">
        <x:v>33</x:v>
      </x:c>
      <x:c r="K41" s="607" t="str">
        <x:v>T10</x:v>
      </x:c>
      <x:c r="L41" s="607" t="str">
        <x:v>2025</x:v>
      </x:c>
      <x:c r="M41" s="607" t="str">
        <x:v>일치</x:v>
      </x:c>
      <x:c r="N41" s="607" t="str">
        <x:v>N</x:v>
      </x:c>
      <x:c r="O41" s="607" t="str">
        <x:v>N</x:v>
      </x:c>
      <x:c r="P41" s="611" t="str">
        <x:v>검증가능여부;통계표;항목;시점;주장수치;비교방식;최종판정</x:v>
      </x:c>
      <x:c r="Q41" s="611" t="str">
        <x:v>검증가능 지표를 코드북이 지원하지 않아 보류</x:v>
      </x:c>
    </x:row>
    <x:row r="42" ht="44" customHeight="1">
      <x:c r="A42" s="606" t="str">
        <x:v>63</x:v>
      </x:c>
      <x:c r="B42" s="606" t="str">
        <x:v>인구</x:v>
      </x:c>
      <x:c r="C42" s="606" t="str">
        <x:v>C03047</x:v>
      </x:c>
      <x:c r="D42" s="610" t="str">
        <x:v>대한민국 주민등록 인구 중 65세 이상 비율이 20%를 넘어섰다.</x:v>
      </x:c>
      <x:c r="E42" s="606" t="str">
        <x:v>보류</x:v>
      </x:c>
      <x:c r="F42" s="606" t="str">
        <x:v>Y</x:v>
      </x:c>
      <x:c r="G42" s="606" t="str"/>
      <x:c r="H42" s="606" t="str">
        <x:v>DT_1B04006</x:v>
      </x:c>
      <x:c r="I42" s="606" t="str">
        <x:v>00</x:v>
      </x:c>
      <x:c r="J42" s="606" t="str">
        <x:v>65+</x:v>
      </x:c>
      <x:c r="K42" s="606" t="str">
        <x:v>T2</x:v>
      </x:c>
      <x:c r="L42" s="606" t="str">
        <x:v>202412</x:v>
      </x:c>
      <x:c r="M42" s="606" t="str">
        <x:v>일치</x:v>
      </x:c>
      <x:c r="N42" s="606" t="str">
        <x:v>N</x:v>
      </x:c>
      <x:c r="O42" s="606" t="str">
        <x:v>N</x:v>
      </x:c>
      <x:c r="P42" s="610" t="str">
        <x:v>검증가능여부;통계표;항목;시점;주장수치;비교방식;최종판정</x:v>
      </x:c>
      <x:c r="Q42" s="610" t="str">
        <x:v>검증가능 지표를 코드북이 지원하지 않아 보류</x:v>
      </x:c>
    </x:row>
    <x:row r="43" ht="44" customHeight="1">
      <x:c r="A43" s="607" t="str">
        <x:v>64</x:v>
      </x:c>
      <x:c r="B43" s="607" t="str">
        <x:v>인구</x:v>
      </x:c>
      <x:c r="C43" s="607" t="str">
        <x:v>C04124</x:v>
      </x:c>
      <x:c r="D43" s="611" t="str">
        <x:v>이런 흐름 속에 청년도약계좌 총 가입자는 166만명까지 불어났는데, 가입 가능한 청년 추산 인구(600만명)의 28%에 달한다.</x:v>
      </x:c>
      <x:c r="E43" s="607" t="str">
        <x:v>보류</x:v>
      </x:c>
      <x:c r="F43" s="607" t="str">
        <x:v>N</x:v>
      </x:c>
      <x:c r="G43" s="607" t="str">
        <x:v>KOSIS 미제공</x:v>
      </x:c>
      <x:c r="H43" s="607" t="str"/>
      <x:c r="I43" s="607" t="str"/>
      <x:c r="J43" s="607" t="str"/>
      <x:c r="K43" s="607" t="str"/>
      <x:c r="L43" s="607" t="str"/>
      <x:c r="M43" s="607" t="str"/>
      <x:c r="N43" s="607" t="str">
        <x:v>N</x:v>
      </x:c>
      <x:c r="O43" s="607" t="str">
        <x:v>N/A</x:v>
      </x:c>
      <x:c r="P43" s="611" t="str">
        <x:v>검증가능여부</x:v>
      </x:c>
      <x:c r="Q43" s="611" t="str">
        <x:v>검증불가 사유를 자동 분류하지 못해 보류</x:v>
      </x:c>
    </x:row>
    <x:row r="44" ht="44" customHeight="1">
      <x:c r="A44" s="606" t="str">
        <x:v>65</x:v>
      </x:c>
      <x:c r="B44" s="606" t="str">
        <x:v>인구</x:v>
      </x:c>
      <x:c r="C44" s="606" t="str">
        <x:v>C05231</x:v>
      </x:c>
      <x:c r="D44" s="610" t="str">
        <x:v>OECD가 집계한 18국 중 한국에서만 인구 150만명 이상인 대도시의 평균 집값이 10만명 미만 소도시의 3배 이상으로 나왔다.</x:v>
      </x:c>
      <x:c r="E44" s="606" t="str">
        <x:v>보류</x:v>
      </x:c>
      <x:c r="F44" s="606" t="str">
        <x:v>N</x:v>
      </x:c>
      <x:c r="G44" s="606" t="str">
        <x:v>KOSIS 미제공</x:v>
      </x:c>
      <x:c r="H44" s="606" t="str"/>
      <x:c r="I44" s="606" t="str"/>
      <x:c r="J44" s="606" t="str"/>
      <x:c r="K44" s="606" t="str"/>
      <x:c r="L44" s="606" t="str"/>
      <x:c r="M44" s="606" t="str"/>
      <x:c r="N44" s="606" t="str">
        <x:v>N</x:v>
      </x:c>
      <x:c r="O44" s="606" t="str">
        <x:v>N/A</x:v>
      </x:c>
      <x:c r="P44" s="610" t="str">
        <x:v>검증가능여부</x:v>
      </x:c>
      <x:c r="Q44" s="610" t="str">
        <x:v>검증불가 사유를 자동 분류하지 못해 보류</x:v>
      </x:c>
    </x:row>
    <x:row r="45" ht="44" customHeight="1">
      <x:c r="A45" s="607" t="str">
        <x:v>66</x:v>
      </x:c>
      <x:c r="B45" s="607" t="str">
        <x:v>인구</x:v>
      </x:c>
      <x:c r="C45" s="607" t="str">
        <x:v>C09032</x:v>
      </x:c>
      <x:c r="D45" s="611" t="str">
        <x:v>65세 이상이 인구의 20% 이상을 차지하는 ‘초고령 사회’에 진입한 한국에서 ‘골다공증 치료제’ 출시 경쟁이 본격화했다는 평가가 나온다.</x:v>
      </x:c>
      <x:c r="E45" s="607" t="str">
        <x:v>보류</x:v>
      </x:c>
      <x:c r="F45" s="607" t="str">
        <x:v>Y</x:v>
      </x:c>
      <x:c r="G45" s="607" t="str"/>
      <x:c r="H45" s="607" t="str">
        <x:v>DT_1B04006</x:v>
      </x:c>
      <x:c r="I45" s="607" t="str">
        <x:v>00</x:v>
      </x:c>
      <x:c r="J45" s="607" t="str">
        <x:v>65+</x:v>
      </x:c>
      <x:c r="K45" s="607" t="str">
        <x:v>T2</x:v>
      </x:c>
      <x:c r="L45" s="607" t="str">
        <x:v>202412</x:v>
      </x:c>
      <x:c r="M45" s="607" t="str">
        <x:v>일치</x:v>
      </x:c>
      <x:c r="N45" s="607" t="str">
        <x:v>N</x:v>
      </x:c>
      <x:c r="O45" s="607" t="str">
        <x:v>N</x:v>
      </x:c>
      <x:c r="P45" s="611" t="str">
        <x:v>검증가능여부;통계표;항목;시점;주장수치;비교방식;최종판정</x:v>
      </x:c>
      <x:c r="Q45" s="611" t="str">
        <x:v>검증가능 지표를 코드북이 지원하지 않아 보류</x:v>
      </x:c>
    </x:row>
    <x:row r="46" ht="44" customHeight="1">
      <x:c r="A46" s="606" t="str">
        <x:v>67</x:v>
      </x:c>
      <x:c r="B46" s="606" t="str">
        <x:v>인구</x:v>
      </x:c>
      <x:c r="C46" s="606" t="str">
        <x:v>C10602</x:v>
      </x:c>
      <x:c r="D46" s="610" t="str">
        <x:v>‘유령의 도시’라고까지 불리던 웨스트포인트시의 인구는 기아차 공장 가동 후 80% 증가했다.</x:v>
      </x:c>
      <x:c r="E46" s="606" t="str">
        <x:v>보류</x:v>
      </x:c>
      <x:c r="F46" s="606" t="str">
        <x:v>N</x:v>
      </x:c>
      <x:c r="G46" s="606" t="str">
        <x:v>KOSIS 미제공</x:v>
      </x:c>
      <x:c r="H46" s="606" t="str"/>
      <x:c r="I46" s="606" t="str"/>
      <x:c r="J46" s="606" t="str"/>
      <x:c r="K46" s="606" t="str"/>
      <x:c r="L46" s="606" t="str"/>
      <x:c r="M46" s="606" t="str"/>
      <x:c r="N46" s="606" t="str">
        <x:v>N</x:v>
      </x:c>
      <x:c r="O46" s="606" t="str">
        <x:v>N/A</x:v>
      </x:c>
      <x:c r="P46" s="610" t="str">
        <x:v>검증가능여부</x:v>
      </x:c>
      <x:c r="Q46" s="610" t="str">
        <x:v>검증불가 사유를 자동 분류하지 못해 보류</x:v>
      </x:c>
    </x:row>
    <x:row r="47" ht="44" customHeight="1">
      <x:c r="A47" s="607" t="str">
        <x:v>68</x:v>
      </x:c>
      <x:c r="B47" s="607" t="str">
        <x:v>인구</x:v>
      </x:c>
      <x:c r="C47" s="607" t="str">
        <x:v>C10718</x:v>
      </x:c>
      <x:c r="D47" s="611" t="str">
        <x:v>농가 인구도 지난해 200만4000명으로 전년(208만9000명) 대비 4.1%가 줄었다.</x:v>
      </x:c>
      <x:c r="E47" s="607" t="str">
        <x:v>보류</x:v>
      </x:c>
      <x:c r="F47" s="607" t="str">
        <x:v>Y</x:v>
      </x:c>
      <x:c r="G47" s="607" t="str"/>
      <x:c r="H47" s="607" t="str">
        <x:v>DT_1EA1011</x:v>
      </x:c>
      <x:c r="I47" s="607" t="str">
        <x:v>00</x:v>
      </x:c>
      <x:c r="J47" s="607" t="str"/>
      <x:c r="K47" s="607" t="str">
        <x:v>T02</x:v>
      </x:c>
      <x:c r="L47" s="607" t="str">
        <x:v>2024</x:v>
      </x:c>
      <x:c r="M47" s="607" t="str">
        <x:v>일치</x:v>
      </x:c>
      <x:c r="N47" s="607" t="str">
        <x:v>N</x:v>
      </x:c>
      <x:c r="O47" s="607" t="str">
        <x:v>N</x:v>
      </x:c>
      <x:c r="P47" s="611" t="str">
        <x:v>검증가능여부;통계표;항목;시점;주장수치;비교방식;최종판정</x:v>
      </x:c>
      <x:c r="Q47" s="611" t="str">
        <x:v>검증가능 지표를 코드북이 지원하지 않아 보류</x:v>
      </x:c>
    </x:row>
    <x:row r="48" ht="44" customHeight="1">
      <x:c r="A48" s="606" t="str">
        <x:v>69</x:v>
      </x:c>
      <x:c r="B48" s="606" t="str">
        <x:v>인구</x:v>
      </x:c>
      <x:c r="C48" s="606" t="str">
        <x:v>C10721</x:v>
      </x:c>
      <x:c r="D48" s="610" t="str">
        <x:v>이는 통계청 기준 지난해 국내 전체 인구에서 고령 인구가 차지하는 비율(19.2%)보다 약 세 배 높은 수치다.</x:v>
      </x:c>
      <x:c r="E48" s="606" t="str">
        <x:v>보류</x:v>
      </x:c>
      <x:c r="F48" s="606" t="str">
        <x:v>Y</x:v>
      </x:c>
      <x:c r="G48" s="606" t="str"/>
      <x:c r="H48" s="606" t="str">
        <x:v>DT_1BPA002</x:v>
      </x:c>
      <x:c r="I48" s="606" t="str">
        <x:v>1</x:v>
      </x:c>
      <x:c r="J48" s="606" t="str">
        <x:v>33</x:v>
      </x:c>
      <x:c r="K48" s="606" t="str">
        <x:v>T10</x:v>
      </x:c>
      <x:c r="L48" s="606" t="str">
        <x:v>2024</x:v>
      </x:c>
      <x:c r="M48" s="606" t="str">
        <x:v>일치</x:v>
      </x:c>
      <x:c r="N48" s="606" t="str">
        <x:v>N</x:v>
      </x:c>
      <x:c r="O48" s="606" t="str">
        <x:v>N</x:v>
      </x:c>
      <x:c r="P48" s="610" t="str">
        <x:v>검증가능여부;통계표;항목;시점;주장수치;비교방식;최종판정</x:v>
      </x:c>
      <x:c r="Q48" s="610" t="str">
        <x:v>검증가능 지표를 코드북이 지원하지 않아 보류</x:v>
      </x:c>
    </x:row>
    <x:row r="49" ht="44" customHeight="1">
      <x:c r="A49" s="607" t="str">
        <x:v>70</x:v>
      </x:c>
      <x:c r="B49" s="607" t="str">
        <x:v>인구</x:v>
      </x:c>
      <x:c r="C49" s="607" t="str">
        <x:v>C14029</x:v>
      </x:c>
      <x:c r="D49" s="611" t="str">
        <x:v>한국은 지난해 65세 이상 인구 비율이 전체 주민등록 인구의 20%를 넘어 ‘초고령 사회’에 들어섰다.</x:v>
      </x:c>
      <x:c r="E49" s="607" t="str">
        <x:v>보류</x:v>
      </x:c>
      <x:c r="F49" s="607" t="str">
        <x:v>Y</x:v>
      </x:c>
      <x:c r="G49" s="607" t="str"/>
      <x:c r="H49" s="607" t="str">
        <x:v>DT_1B04006</x:v>
      </x:c>
      <x:c r="I49" s="607" t="str">
        <x:v>00</x:v>
      </x:c>
      <x:c r="J49" s="607" t="str">
        <x:v>65+</x:v>
      </x:c>
      <x:c r="K49" s="607" t="str">
        <x:v>T2</x:v>
      </x:c>
      <x:c r="L49" s="607" t="str">
        <x:v>202412</x:v>
      </x:c>
      <x:c r="M49" s="607" t="str">
        <x:v>일치</x:v>
      </x:c>
      <x:c r="N49" s="607" t="str">
        <x:v>N</x:v>
      </x:c>
      <x:c r="O49" s="607" t="str">
        <x:v>N</x:v>
      </x:c>
      <x:c r="P49" s="611" t="str">
        <x:v>검증가능여부;통계표;항목;시점;주장수치;비교방식;최종판정</x:v>
      </x:c>
      <x:c r="Q49" s="611" t="str">
        <x:v>검증가능 지표를 코드북이 지원하지 않아 보류</x:v>
      </x:c>
    </x:row>
    <x:row r="50" ht="44" customHeight="1">
      <x:c r="A50" s="606" t="str">
        <x:v>71</x:v>
      </x:c>
      <x:c r="B50" s="606" t="str">
        <x:v>인구</x:v>
      </x:c>
      <x:c r="C50" s="606" t="str">
        <x:v>C14030</x:v>
      </x:c>
      <x:c r="D50" s="610" t="str">
        <x:v>2008년 10% 수준이었던 고령 인구 비율이 16년 만에 2배로 늘어난 셈이다.</x:v>
      </x:c>
      <x:c r="E50" s="606" t="str">
        <x:v>보류</x:v>
      </x:c>
      <x:c r="F50" s="606" t="str">
        <x:v>Y</x:v>
      </x:c>
      <x:c r="G50" s="606" t="str"/>
      <x:c r="H50" s="606" t="str">
        <x:v>DT_1B04006</x:v>
      </x:c>
      <x:c r="I50" s="606" t="str">
        <x:v>00</x:v>
      </x:c>
      <x:c r="J50" s="606" t="str">
        <x:v>65+</x:v>
      </x:c>
      <x:c r="K50" s="606" t="str">
        <x:v>T2</x:v>
      </x:c>
      <x:c r="L50" s="606" t="str">
        <x:v>202412</x:v>
      </x:c>
      <x:c r="M50" s="606" t="str">
        <x:v>일치</x:v>
      </x:c>
      <x:c r="N50" s="606" t="str">
        <x:v>N</x:v>
      </x:c>
      <x:c r="O50" s="606" t="str">
        <x:v>N</x:v>
      </x:c>
      <x:c r="P50" s="610" t="str">
        <x:v>검증가능여부;통계표;항목;시점;주장수치;비교방식;최종판정</x:v>
      </x:c>
      <x:c r="Q50" s="610" t="str">
        <x:v>검증가능 지표를 코드북이 지원하지 않아 보류</x:v>
      </x:c>
    </x:row>
    <x:row r="51" ht="44" customHeight="1">
      <x:c r="A51" s="607" t="str">
        <x:v>72</x:v>
      </x:c>
      <x:c r="B51" s="607" t="str">
        <x:v>인구</x:v>
      </x:c>
      <x:c r="C51" s="607" t="str">
        <x:v>C14688</x:v>
      </x:c>
      <x:c r="D51" s="611" t="str">
        <x:v>하지만 주식 계좌 보유율은 인구 대비 10% 수준으로, 금융시장 확대 여지는 크다.</x:v>
      </x:c>
      <x:c r="E51" s="607" t="str">
        <x:v>보류</x:v>
      </x:c>
      <x:c r="F51" s="607" t="str">
        <x:v>N</x:v>
      </x:c>
      <x:c r="G51" s="607" t="str">
        <x:v>KOSIS 미제공</x:v>
      </x:c>
      <x:c r="H51" s="607" t="str"/>
      <x:c r="I51" s="607" t="str"/>
      <x:c r="J51" s="607" t="str"/>
      <x:c r="K51" s="607" t="str"/>
      <x:c r="L51" s="607" t="str"/>
      <x:c r="M51" s="607" t="str"/>
      <x:c r="N51" s="607" t="str">
        <x:v>N</x:v>
      </x:c>
      <x:c r="O51" s="607" t="str">
        <x:v>N/A</x:v>
      </x:c>
      <x:c r="P51" s="611" t="str">
        <x:v>검증가능여부</x:v>
      </x:c>
      <x:c r="Q51" s="611" t="str">
        <x:v>검증불가 사유를 자동 분류하지 못해 보류</x:v>
      </x:c>
    </x:row>
    <x:row r="52" ht="44" customHeight="1">
      <x:c r="A52" s="606" t="str">
        <x:v>74</x:v>
      </x:c>
      <x:c r="B52" s="606" t="str">
        <x:v>인구</x:v>
      </x:c>
      <x:c r="C52" s="606" t="str">
        <x:v>C17350</x:v>
      </x:c>
      <x:c r="D52" s="610" t="str">
        <x:v>작년 수도권 인구 증가율이 0.43%인 데 반해 비수도권은 오히려 0.29% 감소하면서 수요가 위축되고 있는 것이다.</x:v>
      </x:c>
      <x:c r="E52" s="606" t="str">
        <x:v>보류</x:v>
      </x:c>
      <x:c r="F52" s="606" t="str">
        <x:v>Y</x:v>
      </x:c>
      <x:c r="G52" s="606" t="str"/>
      <x:c r="H52" s="606" t="str">
        <x:v>DT_1BPB002</x:v>
      </x:c>
      <x:c r="I52" s="606" t="str">
        <x:v>1</x:v>
      </x:c>
      <x:c r="J52" s="606" t="str">
        <x:v>11+23+31|D10</x:v>
      </x:c>
      <x:c r="K52" s="606" t="str">
        <x:v>T10</x:v>
      </x:c>
      <x:c r="L52" s="606" t="str">
        <x:v>2024</x:v>
      </x:c>
      <x:c r="M52" s="606" t="str">
        <x:v>일치</x:v>
      </x:c>
      <x:c r="N52" s="606" t="str">
        <x:v>N</x:v>
      </x:c>
      <x:c r="O52" s="606" t="str">
        <x:v>N</x:v>
      </x:c>
      <x:c r="P52" s="610" t="str">
        <x:v>검증가능여부;통계표;항목;시점;주장수치;비교방식;최종판정</x:v>
      </x:c>
      <x:c r="Q52" s="610" t="str">
        <x:v>검증가능 지표를 코드북이 지원하지 않아 보류</x:v>
      </x:c>
    </x:row>
    <x:row r="53" ht="44" customHeight="1">
      <x:c r="A53" s="607" t="str">
        <x:v>75</x:v>
      </x:c>
      <x:c r="B53" s="607" t="str">
        <x:v>인구</x:v>
      </x:c>
      <x:c r="C53" s="607" t="str">
        <x:v>C17862</x:v>
      </x:c>
      <x:c r="D53" s="611" t="str">
        <x:v>0 농림축산식품부가 1일부터 인구 소멸 지역으로 여행을 떠나는 관광객들의 대중교통비를 최대 50%까지 할인해주는 ‘농촌투어패스’ 사업을 진행한다고 30일 밝혔다.</x:v>
      </x:c>
      <x:c r="E53" s="607" t="str">
        <x:v>보류</x:v>
      </x:c>
      <x:c r="F53" s="607" t="str">
        <x:v>N</x:v>
      </x:c>
      <x:c r="G53" s="607" t="str">
        <x:v>KOSIS 미제공</x:v>
      </x:c>
      <x:c r="H53" s="607" t="str"/>
      <x:c r="I53" s="607" t="str"/>
      <x:c r="J53" s="607" t="str"/>
      <x:c r="K53" s="607" t="str"/>
      <x:c r="L53" s="607" t="str"/>
      <x:c r="M53" s="607" t="str"/>
      <x:c r="N53" s="607" t="str">
        <x:v>N</x:v>
      </x:c>
      <x:c r="O53" s="607" t="str">
        <x:v>N/A</x:v>
      </x:c>
      <x:c r="P53" s="611" t="str">
        <x:v>검증가능여부</x:v>
      </x:c>
      <x:c r="Q53" s="611" t="str">
        <x:v>검증불가 사유를 자동 분류하지 못해 보류</x:v>
      </x:c>
    </x:row>
    <x:row r="54" ht="44" customHeight="1">
      <x:c r="A54" s="606" t="str">
        <x:v>76</x:v>
      </x:c>
      <x:c r="B54" s="606" t="str">
        <x:v>인구</x:v>
      </x:c>
      <x:c r="C54" s="606" t="str">
        <x:v>C19545</x:v>
      </x:c>
      <x:c r="D54" s="610" t="str">
        <x:v>이를 가구 수(2218만 가구)로 나눈 가구당 가계순자산은 전년보다 2.4% 증가한 5억8916만원, 인구(5175만명)로 나눈 1인당 가계순자산은 3.3% 늘어난 2억5251만원으로 집계됐다.</x:v>
      </x:c>
      <x:c r="E54" s="606" t="str">
        <x:v>보류</x:v>
      </x:c>
      <x:c r="F54" s="606" t="str">
        <x:v>Y</x:v>
      </x:c>
      <x:c r="G54" s="606" t="str"/>
      <x:c r="H54" s="606" t="str">
        <x:v>DT_104Y263</x:v>
      </x:c>
      <x:c r="I54" s="606" t="str">
        <x:v>B103</x:v>
      </x:c>
      <x:c r="J54" s="606" t="str">
        <x:v>A4</x:v>
      </x:c>
      <x:c r="K54" s="606" t="str">
        <x:v>T30</x:v>
      </x:c>
      <x:c r="L54" s="606" t="str">
        <x:v>2024</x:v>
      </x:c>
      <x:c r="M54" s="606" t="str">
        <x:v>일치</x:v>
      </x:c>
      <x:c r="N54" s="606" t="str">
        <x:v>N</x:v>
      </x:c>
      <x:c r="O54" s="606" t="str">
        <x:v>N</x:v>
      </x:c>
      <x:c r="P54" s="610" t="str">
        <x:v>검증가능여부;통계표;항목;시점;주장수치;비교방식;최종판정</x:v>
      </x:c>
      <x:c r="Q54" s="610" t="str">
        <x:v>검증가능 지표를 코드북이 지원하지 않아 보류</x:v>
      </x:c>
    </x:row>
    <x:row r="55" ht="44" customHeight="1">
      <x:c r="A55" s="607" t="str">
        <x:v>77</x:v>
      </x:c>
      <x:c r="B55" s="607" t="str">
        <x:v>인구</x:v>
      </x:c>
      <x:c r="C55" s="607" t="str">
        <x:v>C19835</x:v>
      </x:c>
      <x:c r="D55" s="611" t="str">
        <x:v>특히 정신과 의사가 한 명도 없는 전국 28곳 중 24곳(86%)이 인구 감소 지역이었다.</x:v>
      </x:c>
      <x:c r="E55" s="607" t="str">
        <x:v>보류</x:v>
      </x:c>
      <x:c r="F55" s="607" t="str">
        <x:v>N</x:v>
      </x:c>
      <x:c r="G55" s="607" t="str">
        <x:v>KOSIS 미제공</x:v>
      </x:c>
      <x:c r="H55" s="607" t="str"/>
      <x:c r="I55" s="607" t="str"/>
      <x:c r="J55" s="607" t="str"/>
      <x:c r="K55" s="607" t="str"/>
      <x:c r="L55" s="607" t="str"/>
      <x:c r="M55" s="607" t="str"/>
      <x:c r="N55" s="607" t="str">
        <x:v>N</x:v>
      </x:c>
      <x:c r="O55" s="607" t="str">
        <x:v>N/A</x:v>
      </x:c>
      <x:c r="P55" s="611" t="str">
        <x:v>검증가능여부</x:v>
      </x:c>
      <x:c r="Q55" s="611" t="str">
        <x:v>검증불가 사유를 자동 분류하지 못해 보류</x:v>
      </x:c>
    </x:row>
    <x:row r="56" ht="44" customHeight="1">
      <x:c r="A56" s="606" t="str">
        <x:v>78</x:v>
      </x:c>
      <x:c r="B56" s="606" t="str">
        <x:v>인구</x:v>
      </x:c>
      <x:c r="C56" s="606" t="str">
        <x:v>C20161</x:v>
      </x:c>
      <x:c r="D56" s="610" t="str">
        <x:v>반(反)동성애 단체가 국가데이터처(옛 통계청)의 ‘인구주택 총조사(센서스)’ 담당 과장급 공무원을 지난 28일 검찰에 고발했다.</x:v>
      </x:c>
      <x:c r="E56" s="606" t="str">
        <x:v>보류</x:v>
      </x:c>
      <x:c r="F56" s="606" t="str">
        <x:v>N</x:v>
      </x:c>
      <x:c r="G56" s="606" t="str">
        <x:v>정보 부족</x:v>
      </x:c>
      <x:c r="H56" s="606" t="str"/>
      <x:c r="I56" s="606" t="str"/>
      <x:c r="J56" s="606" t="str"/>
      <x:c r="K56" s="606" t="str"/>
      <x:c r="L56" s="606" t="str"/>
      <x:c r="M56" s="606" t="str"/>
      <x:c r="N56" s="606" t="str">
        <x:v>N</x:v>
      </x:c>
      <x:c r="O56" s="606" t="str">
        <x:v>N/A</x:v>
      </x:c>
      <x:c r="P56" s="610" t="str">
        <x:v>검증가능여부</x:v>
      </x:c>
      <x:c r="Q56" s="610" t="str">
        <x:v>검증불가 사유를 자동 분류하지 못해 보류</x:v>
      </x:c>
    </x:row>
    <x:row r="57" ht="44" customHeight="1">
      <x:c r="A57" s="607" t="str">
        <x:v>79</x:v>
      </x:c>
      <x:c r="B57" s="607" t="str">
        <x:v>인구</x:v>
      </x:c>
      <x:c r="C57" s="607" t="str">
        <x:v>C20179</x:v>
      </x:c>
      <x:c r="D57" s="611" t="str">
        <x:v>전체 인구의 5%를 차지한다.</x:v>
      </x:c>
      <x:c r="E57" s="607" t="str">
        <x:v>보류</x:v>
      </x:c>
      <x:c r="F57" s="607" t="str">
        <x:v>N</x:v>
      </x:c>
      <x:c r="G57" s="607" t="str">
        <x:v>KOSIS 미제공</x:v>
      </x:c>
      <x:c r="H57" s="607" t="str"/>
      <x:c r="I57" s="607" t="str"/>
      <x:c r="J57" s="607" t="str"/>
      <x:c r="K57" s="607" t="str"/>
      <x:c r="L57" s="607" t="str"/>
      <x:c r="M57" s="607" t="str"/>
      <x:c r="N57" s="607" t="str">
        <x:v>N</x:v>
      </x:c>
      <x:c r="O57" s="607" t="str">
        <x:v>N/A</x:v>
      </x:c>
      <x:c r="P57" s="611" t="str">
        <x:v>검증가능여부</x:v>
      </x:c>
      <x:c r="Q57" s="611" t="str">
        <x:v>검증불가 사유를 자동 분류하지 못해 보류</x:v>
      </x:c>
    </x:row>
    <x:row r="58" ht="44" customHeight="1">
      <x:c r="A58" s="606" t="str">
        <x:v>80</x:v>
      </x:c>
      <x:c r="B58" s="606" t="str">
        <x:v>인구</x:v>
      </x:c>
      <x:c r="C58" s="606" t="str">
        <x:v>C20405</x:v>
      </x:c>
      <x:c r="D58" s="610" t="str">
        <x:v>코로나 시기였던 2020년 인구주택총조사의 최종 응답률은 96.3%였다.</x:v>
      </x:c>
      <x:c r="E58" s="606" t="str">
        <x:v>보류</x:v>
      </x:c>
      <x:c r="F58" s="606" t="str">
        <x:v>N</x:v>
      </x:c>
      <x:c r="G58" s="606" t="str">
        <x:v>KOSIS 미제공</x:v>
      </x:c>
      <x:c r="H58" s="606" t="str"/>
      <x:c r="I58" s="606" t="str"/>
      <x:c r="J58" s="606" t="str"/>
      <x:c r="K58" s="606" t="str"/>
      <x:c r="L58" s="606" t="str"/>
      <x:c r="M58" s="606" t="str"/>
      <x:c r="N58" s="606" t="str">
        <x:v>N</x:v>
      </x:c>
      <x:c r="O58" s="606" t="str">
        <x:v>N/A</x:v>
      </x:c>
      <x:c r="P58" s="610" t="str">
        <x:v>검증가능여부</x:v>
      </x:c>
      <x:c r="Q58" s="610" t="str">
        <x:v>검증불가 사유를 자동 분류하지 못해 보류</x:v>
      </x:c>
    </x:row>
    <x:row r="59" ht="44" customHeight="1">
      <x:c r="A59" s="607" t="str">
        <x:v>81</x:v>
      </x:c>
      <x:c r="B59" s="607" t="str">
        <x:v>소매</x:v>
      </x:c>
      <x:c r="C59" s="607" t="str">
        <x:v>C00069</x:v>
      </x:c>
      <x:c r="D59" s="611" t="str">
        <x:v>이곳 관계자는 “로봇 자동화를 통해 생산량은 로봇을 들이기 이전보다 38% 올라갔고 원가도 45%가량 줄일 수 있었다”고 했다.</x:v>
      </x:c>
      <x:c r="E59" s="607" t="str">
        <x:v>보류</x:v>
      </x:c>
      <x:c r="F59" s="607" t="str">
        <x:v>N</x:v>
      </x:c>
      <x:c r="G59" s="607" t="str">
        <x:v>KOSIS 미제공</x:v>
      </x:c>
      <x:c r="H59" s="607" t="str"/>
      <x:c r="I59" s="607" t="str"/>
      <x:c r="J59" s="607" t="str"/>
      <x:c r="K59" s="607" t="str"/>
      <x:c r="L59" s="607" t="str"/>
      <x:c r="M59" s="607" t="str"/>
      <x:c r="N59" s="607" t="str">
        <x:v>N</x:v>
      </x:c>
      <x:c r="O59" s="607" t="str">
        <x:v>N/A</x:v>
      </x:c>
      <x:c r="P59" s="611" t="str">
        <x:v>검증가능여부</x:v>
      </x:c>
      <x:c r="Q59" s="611" t="str">
        <x:v>검증불가 사유를 자동 분류하지 못해 보류</x:v>
      </x:c>
    </x:row>
    <x:row r="60" ht="44" customHeight="1">
      <x:c r="A60" s="606" t="str">
        <x:v>84</x:v>
      </x:c>
      <x:c r="B60" s="606" t="str">
        <x:v>소매</x:v>
      </x:c>
      <x:c r="C60" s="606" t="str">
        <x:v>C01572</x:v>
      </x:c>
      <x:c r="D60" s="610" t="str">
        <x:v>작년 1~11월 소매판매액도 전년 동기 대비 2.1% 감소했다.</x:v>
      </x:c>
      <x:c r="E60" s="606" t="str">
        <x:v>보류</x:v>
      </x:c>
      <x:c r="F60" s="606" t="str">
        <x:v>Y</x:v>
      </x:c>
      <x:c r="G60" s="606" t="str"/>
      <x:c r="H60" s="606" t="str">
        <x:v>DT_1K41012</x:v>
      </x:c>
      <x:c r="I60" s="606" t="str">
        <x:v>G0</x:v>
      </x:c>
      <x:c r="J60" s="606" t="str"/>
      <x:c r="K60" s="606" t="str">
        <x:v>T2</x:v>
      </x:c>
      <x:c r="L60" s="606" t="str">
        <x:v>202401:202411</x:v>
      </x:c>
      <x:c r="M60" s="606" t="str">
        <x:v>일치</x:v>
      </x:c>
      <x:c r="N60" s="606" t="str">
        <x:v>N</x:v>
      </x:c>
      <x:c r="O60" s="606" t="str">
        <x:v>N</x:v>
      </x:c>
      <x:c r="P60" s="610" t="str">
        <x:v>검증가능여부;통계표;항목;시점;주장수치;비교방식;최종판정</x:v>
      </x:c>
      <x:c r="Q60" s="610" t="str">
        <x:v>검증가능 지표를 코드북이 지원하지 않아 보류</x:v>
      </x:c>
    </x:row>
    <x:row r="61" ht="44" customHeight="1">
      <x:c r="A61" s="607" t="str">
        <x:v>85</x:v>
      </x:c>
      <x:c r="B61" s="607" t="str">
        <x:v>소매</x:v>
      </x:c>
      <x:c r="C61" s="607" t="str">
        <x:v>C02074</x:v>
      </x:c>
      <x:c r="D61" s="611" t="str">
        <x:v>현대차의 영업 이익과 글로벌 판매량이 전년 대비 줄어든 건 코로나 사태가 발생한 2020년 이후 4년 만이다.</x:v>
      </x:c>
      <x:c r="E61" s="607" t="str">
        <x:v>보류</x:v>
      </x:c>
      <x:c r="F61" s="607" t="str">
        <x:v>N</x:v>
      </x:c>
      <x:c r="G61" s="607" t="str">
        <x:v>KOSIS 미제공</x:v>
      </x:c>
      <x:c r="H61" s="607" t="str"/>
      <x:c r="I61" s="607" t="str"/>
      <x:c r="J61" s="607" t="str"/>
      <x:c r="K61" s="607" t="str"/>
      <x:c r="L61" s="607" t="str"/>
      <x:c r="M61" s="607" t="str"/>
      <x:c r="N61" s="607" t="str">
        <x:v>N</x:v>
      </x:c>
      <x:c r="O61" s="607" t="str">
        <x:v>N/A</x:v>
      </x:c>
      <x:c r="P61" s="611" t="str">
        <x:v>검증가능여부</x:v>
      </x:c>
      <x:c r="Q61" s="611" t="str">
        <x:v>검증불가 사유를 자동 분류하지 못해 보류</x:v>
      </x:c>
    </x:row>
    <x:row r="62" ht="44" customHeight="1">
      <x:c r="A62" s="606" t="str">
        <x:v>86</x:v>
      </x:c>
      <x:c r="B62" s="606" t="str">
        <x:v>소매</x:v>
      </x:c>
      <x:c r="C62" s="606" t="str">
        <x:v>C03125</x:v>
      </x:c>
      <x:c r="D62" s="610" t="str">
        <x:v>볼보 관계자는 “SUV 라인업인 XC 레인지가 지난해 전체 판매량의 68%를 차지했다”고 말했다.</x:v>
      </x:c>
      <x:c r="E62" s="606" t="str">
        <x:v>보류</x:v>
      </x:c>
      <x:c r="F62" s="606" t="str">
        <x:v>N</x:v>
      </x:c>
      <x:c r="G62" s="606" t="str">
        <x:v>KOSIS 미제공</x:v>
      </x:c>
      <x:c r="H62" s="606" t="str"/>
      <x:c r="I62" s="606" t="str"/>
      <x:c r="J62" s="606" t="str"/>
      <x:c r="K62" s="606" t="str"/>
      <x:c r="L62" s="606" t="str"/>
      <x:c r="M62" s="606" t="str"/>
      <x:c r="N62" s="606" t="str">
        <x:v>N</x:v>
      </x:c>
      <x:c r="O62" s="606" t="str">
        <x:v>N/A</x:v>
      </x:c>
      <x:c r="P62" s="610" t="str">
        <x:v>검증가능여부</x:v>
      </x:c>
      <x:c r="Q62" s="610" t="str">
        <x:v>검증불가 사유를 자동 분류하지 못해 보류</x:v>
      </x:c>
    </x:row>
    <x:row r="63" ht="44" customHeight="1">
      <x:c r="A63" s="607" t="str">
        <x:v>89</x:v>
      </x:c>
      <x:c r="B63" s="607" t="str">
        <x:v>소매</x:v>
      </x:c>
      <x:c r="C63" s="607" t="str">
        <x:v>C06502</x:v>
      </x:c>
      <x:c r="D63" s="611" t="str">
        <x:v>서비스업 생산도 0.8% 줄었다.</x:v>
      </x:c>
      <x:c r="E63" s="607" t="str">
        <x:v>보류</x:v>
      </x:c>
      <x:c r="F63" s="607" t="str">
        <x:v>Y</x:v>
      </x:c>
      <x:c r="G63" s="607" t="str"/>
      <x:c r="H63" s="607" t="str">
        <x:v>DT_1KC2020</x:v>
      </x:c>
      <x:c r="I63" s="607" t="str">
        <x:v>T</x:v>
      </x:c>
      <x:c r="J63" s="607" t="str"/>
      <x:c r="K63" s="607" t="str">
        <x:v>T3</x:v>
      </x:c>
      <x:c r="L63" s="607" t="str">
        <x:v>202501</x:v>
      </x:c>
      <x:c r="M63" s="607" t="str">
        <x:v>일치</x:v>
      </x:c>
      <x:c r="N63" s="607" t="str">
        <x:v>N</x:v>
      </x:c>
      <x:c r="O63" s="607" t="str">
        <x:v>N</x:v>
      </x:c>
      <x:c r="P63" s="611" t="str">
        <x:v>검증가능여부;통계표;항목;시점;주장수치;비교방식;최종판정</x:v>
      </x:c>
      <x:c r="Q63" s="611" t="str">
        <x:v>검증가능 지표를 코드북이 지원하지 않아 보류</x:v>
      </x:c>
    </x:row>
    <x:row r="64" ht="44" customHeight="1">
      <x:c r="A64" s="606" t="str">
        <x:v>91</x:v>
      </x:c>
      <x:c r="B64" s="606" t="str">
        <x:v>소매</x:v>
      </x:c>
      <x:c r="C64" s="606" t="str">
        <x:v>C06928</x:v>
      </x:c>
      <x:c r="D64" s="610" t="str">
        <x:v>전체 픽업트럭 판매의 90%를 웃도는 렉스턴 스포츠가 2018년 첫 출시 이후 노후화되면서 국내 픽업 시장도 덩달아 쪼그라드는 추세였다.</x:v>
      </x:c>
      <x:c r="E64" s="606" t="str">
        <x:v>보류</x:v>
      </x:c>
      <x:c r="F64" s="606" t="str">
        <x:v>N</x:v>
      </x:c>
      <x:c r="G64" s="606" t="str">
        <x:v>KOSIS 미제공</x:v>
      </x:c>
      <x:c r="H64" s="606" t="str"/>
      <x:c r="I64" s="606" t="str"/>
      <x:c r="J64" s="606" t="str"/>
      <x:c r="K64" s="606" t="str"/>
      <x:c r="L64" s="606" t="str"/>
      <x:c r="M64" s="606" t="str"/>
      <x:c r="N64" s="606" t="str">
        <x:v>N</x:v>
      </x:c>
      <x:c r="O64" s="606" t="str">
        <x:v>N/A</x:v>
      </x:c>
      <x:c r="P64" s="610" t="str">
        <x:v>검증가능여부</x:v>
      </x:c>
      <x:c r="Q64" s="610" t="str">
        <x:v>검증불가 사유를 자동 분류하지 못해 보류</x:v>
      </x:c>
    </x:row>
    <x:row r="65" ht="44" customHeight="1">
      <x:c r="A65" s="607" t="str">
        <x:v>95</x:v>
      </x:c>
      <x:c r="B65" s="607" t="str">
        <x:v>소매</x:v>
      </x:c>
      <x:c r="C65" s="607" t="str">
        <x:v>C11937</x:v>
      </x:c>
      <x:c r="D65" s="611" t="str">
        <x:v>소매판매는 지난 1월 0.6% 감소했다가 2월 1.9% 반등했는데, 지난달 다시 감소세로 전환한 것이다.</x:v>
      </x:c>
      <x:c r="E65" s="607" t="str">
        <x:v>보류</x:v>
      </x:c>
      <x:c r="F65" s="607" t="str">
        <x:v>Y</x:v>
      </x:c>
      <x:c r="G65" s="607" t="str"/>
      <x:c r="H65" s="607" t="str">
        <x:v>DT_1K41012</x:v>
      </x:c>
      <x:c r="I65" s="607" t="str">
        <x:v>G0</x:v>
      </x:c>
      <x:c r="J65" s="607" t="str"/>
      <x:c r="K65" s="607" t="str">
        <x:v>T3</x:v>
      </x:c>
      <x:c r="L65" s="607" t="str">
        <x:v>202502</x:v>
      </x:c>
      <x:c r="M65" s="607" t="str">
        <x:v>불일치</x:v>
      </x:c>
      <x:c r="N65" s="607" t="str">
        <x:v>N</x:v>
      </x:c>
      <x:c r="O65" s="607" t="str">
        <x:v>N</x:v>
      </x:c>
      <x:c r="P65" s="611" t="str">
        <x:v>검증가능여부;통계표;항목;시점;주장수치;비교방식;최종판정</x:v>
      </x:c>
      <x:c r="Q65" s="611" t="str">
        <x:v>검증가능 지표를 코드북이 지원하지 않아 보류</x:v>
      </x:c>
    </x:row>
    <x:row r="66" ht="44" customHeight="1">
      <x:c r="A66" s="606" t="str">
        <x:v>96</x:v>
      </x:c>
      <x:c r="B66" s="606" t="str">
        <x:v>소매</x:v>
      </x:c>
      <x:c r="C66" s="606" t="str">
        <x:v>C14971</x:v>
      </x:c>
      <x:c r="D66" s="610" t="str">
        <x:v>케이카의 올해 1분기 실적에 따르면 중고차의 소매 평균거래가격(ASP)은 전년 대비 3% 상승했지만, 소매판매 대수는 5% 감소했다.</x:v>
      </x:c>
      <x:c r="E66" s="606" t="str">
        <x:v>검증가능</x:v>
      </x:c>
      <x:c r="F66" s="606" t="str">
        <x:v>N</x:v>
      </x:c>
      <x:c r="G66" s="606" t="str">
        <x:v>KOSIS 미제공</x:v>
      </x:c>
      <x:c r="H66" s="606" t="str"/>
      <x:c r="I66" s="606" t="str"/>
      <x:c r="J66" s="606" t="str"/>
      <x:c r="K66" s="606" t="str"/>
      <x:c r="L66" s="606" t="str"/>
      <x:c r="M66" s="606" t="str"/>
      <x:c r="N66" s="606" t="str">
        <x:v>N</x:v>
      </x:c>
      <x:c r="O66" s="606" t="str">
        <x:v>N/A</x:v>
      </x:c>
      <x:c r="P66" s="610" t="str">
        <x:v>검증가능여부</x:v>
      </x:c>
      <x:c r="Q66" s="610" t="str">
        <x:v>검증불가 주장을 KOSIS 표에 과매핑</x:v>
      </x:c>
    </x:row>
    <x:row r="67" ht="44" customHeight="1">
      <x:c r="A67" s="607" t="str">
        <x:v>97</x:v>
      </x:c>
      <x:c r="B67" s="607" t="str">
        <x:v>소매</x:v>
      </x:c>
      <x:c r="C67" s="607" t="str">
        <x:v>C16528</x:v>
      </x:c>
      <x:c r="D67" s="611" t="str">
        <x:v>이에 따르면 지난 5월 국내 자동차 판매량은 14만1865대로 작년 같은 달보다 0.4% 늘었다.</x:v>
      </x:c>
      <x:c r="E67" s="607" t="str">
        <x:v>보류</x:v>
      </x:c>
      <x:c r="F67" s="607" t="str">
        <x:v>N</x:v>
      </x:c>
      <x:c r="G67" s="607" t="str">
        <x:v>KOSIS 미제공</x:v>
      </x:c>
      <x:c r="H67" s="607" t="str"/>
      <x:c r="I67" s="607" t="str"/>
      <x:c r="J67" s="607" t="str"/>
      <x:c r="K67" s="607" t="str"/>
      <x:c r="L67" s="607" t="str"/>
      <x:c r="M67" s="607" t="str"/>
      <x:c r="N67" s="607" t="str">
        <x:v>N</x:v>
      </x:c>
      <x:c r="O67" s="607" t="str">
        <x:v>N/A</x:v>
      </x:c>
      <x:c r="P67" s="611" t="str">
        <x:v>검증가능여부</x:v>
      </x:c>
      <x:c r="Q67" s="611" t="str">
        <x:v>검증불가 사유를 자동 분류하지 못해 보류</x:v>
      </x:c>
    </x:row>
    <x:row r="68" ht="44" customHeight="1">
      <x:c r="A68" s="606" t="str">
        <x:v>98</x:v>
      </x:c>
      <x:c r="B68" s="606" t="str">
        <x:v>소매</x:v>
      </x:c>
      <x:c r="C68" s="606" t="str">
        <x:v>C17314</x:v>
      </x:c>
      <x:c r="D68" s="610" t="str">
        <x:v>알코올이 전혀 포함돼 있지 않거나 미량 들어간 이른바 ‘무알코올 맥주’ 판매량이 지난해 9% 늘어나며, 이제는 글로벌 맥주 소비 1위인 라거 맥주에 이어 2위 자리를 꿰차는 상황까지 온 것이다.</x:v>
      </x:c>
      <x:c r="E68" s="606" t="str">
        <x:v>보류</x:v>
      </x:c>
      <x:c r="F68" s="606" t="str">
        <x:v>N</x:v>
      </x:c>
      <x:c r="G68" s="606" t="str">
        <x:v>KOSIS 미제공</x:v>
      </x:c>
      <x:c r="H68" s="606" t="str"/>
      <x:c r="I68" s="606" t="str"/>
      <x:c r="J68" s="606" t="str"/>
      <x:c r="K68" s="606" t="str"/>
      <x:c r="L68" s="606" t="str"/>
      <x:c r="M68" s="606" t="str"/>
      <x:c r="N68" s="606" t="str">
        <x:v>N</x:v>
      </x:c>
      <x:c r="O68" s="606" t="str">
        <x:v>N/A</x:v>
      </x:c>
      <x:c r="P68" s="610" t="str">
        <x:v>검증가능여부</x:v>
      </x:c>
      <x:c r="Q68" s="610" t="str">
        <x:v>검증불가 사유를 자동 분류하지 못해 보류</x:v>
      </x:c>
    </x:row>
    <x:row r="69" ht="44" customHeight="1">
      <x:c r="A69" s="607" t="str">
        <x:v>99</x:v>
      </x:c>
      <x:c r="B69" s="607" t="str">
        <x:v>소매</x:v>
      </x:c>
      <x:c r="C69" s="607" t="str">
        <x:v>C19263</x:v>
      </x:c>
      <x:c r="D69" s="611" t="str">
        <x:v>지난 1~5월 홍합 생산량은 전년 대비 68% 급감했고, 멍게도 1~6월 생산량이 전년 대비 30.6% 감소했다.</x:v>
      </x:c>
      <x:c r="E69" s="607" t="str">
        <x:v>보류</x:v>
      </x:c>
      <x:c r="F69" s="607" t="str">
        <x:v>Y</x:v>
      </x:c>
      <x:c r="G69" s="607" t="str"/>
      <x:c r="H69" s="607" t="str">
        <x:v>DT_1EW0004</x:v>
      </x:c>
      <x:c r="I69" s="607" t="str">
        <x:v>2</x:v>
      </x:c>
      <x:c r="J69" s="607" t="str">
        <x:v>230354|00|0</x:v>
      </x:c>
      <x:c r="K69" s="607" t="str">
        <x:v>T01</x:v>
      </x:c>
      <x:c r="L69" s="607" t="str">
        <x:v>202501:202505</x:v>
      </x:c>
      <x:c r="M69" s="607" t="str">
        <x:v>일치</x:v>
      </x:c>
      <x:c r="N69" s="607" t="str">
        <x:v>N</x:v>
      </x:c>
      <x:c r="O69" s="607" t="str">
        <x:v>N</x:v>
      </x:c>
      <x:c r="P69" s="611" t="str">
        <x:v>검증가능여부;통계표;항목;시점;주장수치;비교방식;최종판정</x:v>
      </x:c>
      <x:c r="Q69" s="611" t="str">
        <x:v>검증가능 지표를 코드북이 지원하지 않아 보류</x:v>
      </x:c>
    </x:row>
  </x:sheetData>
  <x:pageMargins left="0.7" right="0.7" top="0.75" bottom="0.75" header="0.3" footer="0.3"/>
  <x:tableParts count="1">
    <x:tablePart xmlns:r="http://schemas.openxmlformats.org/officeDocument/2006/relationships" r:id="R6f8ee1a3275b4277"/>
  </x:tableParts>
</x:worksheet>
</file>