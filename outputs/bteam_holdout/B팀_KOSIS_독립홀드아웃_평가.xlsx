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b635792aa247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대시보드" sheetId="1" r:id="Rd94d101de76d4efe"/>
    <x:sheet xmlns:r="http://schemas.openxmlformats.org/officeDocument/2006/relationships" name="홀드아웃100" sheetId="2" r:id="R77b78f2e54394ae2"/>
    <x:sheet xmlns:r="http://schemas.openxmlformats.org/officeDocument/2006/relationships" name="전체지표" sheetId="3" r:id="R14ca505386a24d5d"/>
    <x:sheet xmlns:r="http://schemas.openxmlformats.org/officeDocument/2006/relationships" name="분야별지표" sheetId="4" r:id="R42455b4c928d4758"/>
    <x:sheet xmlns:r="http://schemas.openxmlformats.org/officeDocument/2006/relationships" name="오류분석" sheetId="5" r:id="R013860be419b4fec"/>
    <x:sheet xmlns:r="http://schemas.openxmlformats.org/officeDocument/2006/relationships" name="개선백로그" sheetId="6" r:id="R3d5ade3e6f8a43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0.000"/>
    <x:numFmt numFmtId="202" formatCode="#,##0"/>
    <x:numFmt numFmtId="203" formatCode="0.0%"/>
    <x:numFmt numFmtId="204" formatCode="0%"/>
  </x:numFmts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DDE5EC"/>
      <x:name val="Carlito"/>
    </x:font>
    <x:font>
      <x:b/>
      <x:sz val="10"/>
      <x:color rgb="FFFFFFFF"/>
      <x:name val="Carlito"/>
    </x:font>
    <x:font>
      <x:sz val="9"/>
      <x:color rgb="FF17202A"/>
      <x:name val="Carlito"/>
    </x:font>
    <x:font>
      <x:b/>
      <x:sz val="22"/>
      <x:color rgb="FF17202A"/>
      <x:name val="Carlito"/>
    </x:font>
    <x:font>
      <x:b/>
      <x:sz val="18"/>
      <x:color rgb="FFB42318"/>
      <x:name val="Carlito"/>
    </x:font>
    <x:font>
      <x:b/>
      <x:sz val="11"/>
      <x:color rgb="FFFFFFFF"/>
      <x:name val="Carlito"/>
    </x:font>
    <x:font>
      <x:sz val="10"/>
      <x:color rgb="FF17202A"/>
      <x:name val="Carlito"/>
    </x:font>
    <x:font>
      <x:b/>
      <x:sz val="10"/>
      <x:color rgb="FF17202A"/>
      <x:name val="Carlito"/>
    </x:font>
    <x:font>
      <x:sz val="10"/>
      <x:color rgb="FF17202A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202A"/>
      </x:patternFill>
    </x:fill>
    <x:fill>
      <x:patternFill patternType="solid">
        <x:fgColor rgb="FF2C3E50"/>
      </x:patternFill>
    </x:fill>
    <x:fill>
      <x:patternFill patternType="solid">
        <x:fgColor rgb="FF0F766E"/>
      </x:patternFill>
    </x:fill>
    <x:fill>
      <x:patternFill patternType="solid">
        <x:fgColor rgb="FFB42318"/>
      </x:patternFill>
    </x:fill>
    <x:fill>
      <x:patternFill patternType="solid">
        <x:fgColor rgb="FF2E7D32"/>
      </x:patternFill>
    </x:fill>
    <x:fill>
      <x:patternFill patternType="solid">
        <x:fgColor rgb="FFB7791F"/>
      </x:patternFill>
    </x:fill>
    <x:fill>
      <x:patternFill patternType="solid">
        <x:fgColor rgb="FFFFFFFF"/>
      </x:patternFill>
    </x:fill>
    <x:fill>
      <x:patternFill patternType="solid">
        <x:fgColor rgb="FFF5F7F9"/>
      </x:patternFill>
    </x:fill>
    <x:fill>
      <x:patternFill patternType="solid">
        <x:fgColor rgb="FFFDE8E7"/>
      </x:patternFill>
    </x:fill>
    <x:fill>
      <x:patternFill patternType="solid">
        <x:fgColor rgb="FFFFF1CC"/>
      </x:patternFill>
    </x:fill>
  </x:fills>
  <x:borders count="13">
    <x:border/>
    <x:border>
      <x:left style="thin">
        <x:color rgb="FFD6DEE6"/>
      </x:left>
      <x:top style="thin">
        <x:color rgb="FFD6DEE6"/>
      </x:top>
      <x:bottom style="thin">
        <x:color rgb="FFD6DEE6"/>
      </x:bottom>
    </x:border>
    <x:border>
      <x:top style="thin">
        <x:color rgb="FFD6DEE6"/>
      </x:top>
      <x:bottom style="thin">
        <x:color rgb="FFD6DEE6"/>
      </x:bottom>
    </x:border>
    <x:border>
      <x:right style="thin">
        <x:color rgb="FFD6DEE6"/>
      </x:right>
      <x:top style="thin">
        <x:color rgb="FFD6DEE6"/>
      </x:top>
      <x:bottom style="thin">
        <x:color rgb="FFD6DEE6"/>
      </x:bottom>
    </x:border>
    <x:border>
      <x:left style="thin">
        <x:color rgb="FFD6DEE6"/>
      </x:left>
      <x:top style="thin">
        <x:color rgb="FFD6DEE6"/>
      </x:top>
    </x:border>
    <x:border>
      <x:top style="thin">
        <x:color rgb="FFD6DEE6"/>
      </x:top>
    </x:border>
    <x:border>
      <x:right style="thin">
        <x:color rgb="FFD6DEE6"/>
      </x:right>
      <x:top style="thin">
        <x:color rgb="FFD6DEE6"/>
      </x:top>
    </x:border>
    <x:border>
      <x:left style="thin">
        <x:color rgb="FFD6DEE6"/>
      </x:left>
      <x:bottom style="thin">
        <x:color rgb="FFD6DEE6"/>
      </x:bottom>
    </x:border>
    <x:border>
      <x:bottom style="thin">
        <x:color rgb="FFD6DEE6"/>
      </x:bottom>
    </x:border>
    <x:border>
      <x:right style="thin">
        <x:color rgb="FFD6DEE6"/>
      </x:right>
      <x:bottom style="thin">
        <x:color rgb="FFD6DEE6"/>
      </x:bottom>
    </x:border>
    <x:border>
      <x:right style="thin">
        <x:color rgb="FFD6DEE6"/>
      </x:right>
    </x:border>
    <x:border>
      <x:left style="thin">
        <x:color rgb="FFD6DEE6"/>
      </x:left>
      <x:right style="thin">
        <x:color rgb="FFD6DEE6"/>
      </x:right>
    </x:border>
    <x:border>
      <x:left style="thin">
        <x:color rgb="FFD6DEE6"/>
      </x:left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6" xfId="0" applyNumberFormat="1" applyFont="1" applyFill="1" applyBorder="1"/>
    <x:xf numFmtId="0" fontId="5" fillId="8" borderId="7" xfId="0" applyNumberFormat="1" applyFont="1" applyFill="1" applyBorder="1"/>
    <x:xf numFmtId="0" fontId="5" fillId="8" borderId="8" xfId="0" applyNumberFormat="1" applyFont="1" applyFill="1" applyBorder="1"/>
    <x:xf numFmtId="0" fontId="5" fillId="8" borderId="9" xfId="0" applyNumberFormat="1" applyFont="1" applyFill="1" applyBorder="1"/>
    <x:xf numFmtId="0" fontId="5" fillId="8" borderId="4" xfId="0" applyNumberFormat="1" applyFont="1" applyFill="1" applyBorder="1" applyAlignment="1">
      <x:alignment horizontal="center"/>
    </x:xf>
    <x:xf numFmtId="0" fontId="5" fillId="8" borderId="5" xfId="0" applyNumberFormat="1" applyFont="1" applyFill="1" applyBorder="1" applyAlignment="1">
      <x:alignment horizontal="center"/>
    </x:xf>
    <x:xf numFmtId="0" fontId="5" fillId="8" borderId="6" xfId="0" applyNumberFormat="1" applyFont="1" applyFill="1" applyBorder="1" applyAlignment="1">
      <x:alignment horizontal="center"/>
    </x:xf>
    <x:xf numFmtId="0" fontId="5" fillId="8" borderId="7" xfId="0" applyNumberFormat="1" applyFont="1" applyFill="1" applyBorder="1" applyAlignment="1">
      <x:alignment horizontal="center"/>
    </x:xf>
    <x:xf numFmtId="0" fontId="5" fillId="8" borderId="8" xfId="0" applyNumberFormat="1" applyFont="1" applyFill="1" applyBorder="1" applyAlignment="1">
      <x:alignment horizontal="center"/>
    </x:xf>
    <x:xf numFmtId="0" fontId="5" fillId="8" borderId="9" xfId="0" applyNumberFormat="1" applyFont="1" applyFill="1" applyBorder="1" applyAlignment="1">
      <x:alignment horizontal="center"/>
    </x:xf>
    <x:xf numFmtId="0" fontId="5" fillId="8" borderId="4" xfId="0" applyNumberFormat="1" applyFont="1" applyFill="1" applyBorder="1" applyAlignment="1">
      <x:alignment horizontal="center" vertical="center"/>
    </x:xf>
    <x:xf numFmtId="0" fontId="5" fillId="8" borderId="5" xfId="0" applyNumberFormat="1" applyFont="1" applyFill="1" applyBorder="1" applyAlignment="1">
      <x:alignment horizontal="center" vertical="center"/>
    </x:xf>
    <x:xf numFmtId="0" fontId="5" fillId="8" borderId="6" xfId="0" applyNumberFormat="1" applyFont="1" applyFill="1" applyBorder="1" applyAlignment="1">
      <x:alignment horizontal="center" vertical="center"/>
    </x:xf>
    <x:xf numFmtId="0" fontId="5" fillId="8" borderId="7" xfId="0" applyNumberFormat="1" applyFont="1" applyFill="1" applyBorder="1" applyAlignment="1">
      <x:alignment horizontal="center" vertical="center"/>
    </x:xf>
    <x:xf numFmtId="0" fontId="5" fillId="8" borderId="8" xfId="0" applyNumberFormat="1" applyFont="1" applyFill="1" applyBorder="1" applyAlignment="1">
      <x:alignment horizontal="center" vertical="center"/>
    </x:xf>
    <x:xf numFmtId="0" fontId="5" fillId="8" borderId="9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203" fontId="5" fillId="8" borderId="7" xfId="0" applyNumberFormat="1" applyFont="1" applyFill="1" applyBorder="1" applyAlignment="1">
      <x:alignment horizontal="center" vertical="center"/>
    </x:xf>
    <x:xf numFmtId="203" fontId="5" fillId="8" borderId="4" xfId="0" applyNumberFormat="1" applyFont="1" applyFill="1" applyBorder="1" applyAlignment="1">
      <x:alignment horizontal="center" vertical="center"/>
    </x:xf>
    <x:xf numFmtId="0" fontId="6" fillId="8" borderId="4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10" xfId="0" applyNumberFormat="1" applyFont="1" applyFill="1" applyBorder="1"/>
    <x:xf numFmtId="0" fontId="8" fillId="9" borderId="11" xfId="0" applyNumberFormat="1" applyFont="1" applyFill="1" applyBorder="1"/>
    <x:xf numFmtId="0" fontId="8" fillId="9" borderId="12" xfId="0" applyNumberFormat="1" applyFont="1" applyFill="1" applyBorder="1"/>
    <x:xf numFmtId="0" fontId="8" fillId="9" borderId="10" xfId="0" applyNumberFormat="1" applyFont="1" applyFill="1" applyBorder="1" applyAlignment="1">
      <x:alignment wrapText="1"/>
    </x:xf>
    <x:xf numFmtId="0" fontId="8" fillId="9" borderId="11" xfId="0" applyNumberFormat="1" applyFont="1" applyFill="1" applyBorder="1" applyAlignment="1">
      <x:alignment wrapText="1"/>
    </x:xf>
    <x:xf numFmtId="0" fontId="8" fillId="9" borderId="12" xfId="0" applyNumberFormat="1" applyFont="1" applyFill="1" applyBorder="1" applyAlignment="1">
      <x:alignment wrapText="1"/>
    </x:xf>
    <x:xf numFmtId="0" fontId="8" fillId="9" borderId="10" xfId="0" applyNumberFormat="1" applyFont="1" applyFill="1" applyBorder="1" applyAlignment="1">
      <x:alignment vertical="center" wrapText="1"/>
    </x:xf>
    <x:xf numFmtId="0" fontId="8" fillId="9" borderId="11" xfId="0" applyNumberFormat="1" applyFont="1" applyFill="1" applyBorder="1" applyAlignment="1">
      <x:alignment vertical="center" wrapText="1"/>
    </x:xf>
    <x:xf numFmtId="0" fontId="8" fillId="9" borderId="12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/>
    <x:xf numFmtId="0" fontId="8" fillId="8" borderId="10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0" fontId="8" fillId="8" borderId="10" xfId="0" applyNumberFormat="1" applyFont="1" applyFill="1" applyBorder="1" applyAlignment="1">
      <x:alignment wrapText="1"/>
    </x:xf>
    <x:xf numFmtId="0" fontId="8" fillId="8" borderId="11" xfId="0" applyNumberFormat="1" applyFont="1" applyFill="1" applyBorder="1" applyAlignment="1">
      <x:alignment wrapText="1"/>
    </x:xf>
    <x:xf numFmtId="0" fontId="8" fillId="8" borderId="12" xfId="0" applyNumberFormat="1" applyFont="1" applyFill="1" applyBorder="1" applyAlignment="1">
      <x:alignment wrapText="1"/>
    </x:xf>
    <x:xf numFmtId="0" fontId="8" fillId="8" borderId="10" xfId="0" applyNumberFormat="1" applyFont="1" applyFill="1" applyBorder="1" applyAlignment="1">
      <x:alignment vertical="center" wrapText="1"/>
    </x:xf>
    <x:xf numFmtId="0" fontId="8" fillId="8" borderId="11" xfId="0" applyNumberFormat="1" applyFont="1" applyFill="1" applyBorder="1" applyAlignment="1">
      <x:alignment vertical="center" wrapText="1"/>
    </x:xf>
    <x:xf numFmtId="0" fontId="8" fillId="8" borderId="12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2E7D32"/>
      </x:font>
      <x:fill>
        <x:patternFill patternType="solid">
          <x:bgColor rgb="FFDFF3EA"/>
        </x:patternFill>
      </x:fill>
    </x:dxf>
    <x:dxf>
      <x:font>
        <x:color rgb="FF607080"/>
      </x:font>
      <x:fill>
        <x:patternFill patternType="solid">
          <x:bgColor rgb="FFF5F7F9"/>
        </x:patternFill>
      </x:fill>
    </x:dxf>
    <x:dxf>
      <x:font>
        <x:b/>
        <x:color rgb="FFB7791F"/>
      </x:font>
      <x:fill>
        <x:patternFill patternType="solid">
          <x:bgColor rgb="FFFFF1CC"/>
        </x:patternFill>
      </x:fill>
    </x:dxf>
    <x:dxf>
      <x:font>
        <x:b/>
        <x:color rgb="FF2E7D32"/>
      </x:font>
      <x:fill>
        <x:patternFill patternType="solid">
          <x:bgColor rgb="FFDFF3EA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7791F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8b425297bc461a" /><Relationship Type="http://schemas.openxmlformats.org/officeDocument/2006/relationships/theme" Target="/xl/theme/theme1.xml" Id="R12405f820100468c" /><Relationship Type="http://schemas.openxmlformats.org/officeDocument/2006/relationships/sharedStrings" Target="/xl/sharedStrings.xml" Id="R8a46c45c0e7744e9" /><Relationship Type="http://schemas.openxmlformats.org/officeDocument/2006/relationships/worksheet" Target="/xl/worksheets/sheet1.xml" Id="Rd94d101de76d4efe" /><Relationship Type="http://schemas.openxmlformats.org/officeDocument/2006/relationships/worksheet" Target="/xl/worksheets/sheet2.xml" Id="R77b78f2e54394ae2" /><Relationship Type="http://schemas.openxmlformats.org/officeDocument/2006/relationships/worksheet" Target="/xl/worksheets/sheet3.xml" Id="R14ca505386a24d5d" /><Relationship Type="http://schemas.openxmlformats.org/officeDocument/2006/relationships/worksheet" Target="/xl/worksheets/sheet4.xml" Id="R42455b4c928d4758" /><Relationship Type="http://schemas.openxmlformats.org/officeDocument/2006/relationships/worksheet" Target="/xl/worksheets/sheet5.xml" Id="R013860be419b4fec" /><Relationship Type="http://schemas.openxmlformats.org/officeDocument/2006/relationships/worksheet" Target="/xl/worksheets/sheet6.xml" Id="R3d5ade3e6f8a43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4be38be73a42b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분야별 엄격 항목·시점 정확도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엄격 정확도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'대시보드'!$A$16:$A$20</c:f>
              <c:strCache>
                <c:ptCount val="0"/>
              </c:strCache>
            </c:strRef>
          </c:cat>
          <c:val>
            <c:numRef>
              <c:f>'대시보드'!$D$16:$D$20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80% 게이트</c:v>
          </c:tx>
          <c:spPr>
            <a:solidFill xmlns:a="http://schemas.openxmlformats.org/drawingml/2006/main">
              <a:srgbClr val="B7791F"/>
            </a:solidFill>
          </c:spPr>
          <c:cat>
            <c:strRef>
              <c:f>'대시보드'!$A$16:$A$20</c:f>
              <c:strCache>
                <c:ptCount val="0"/>
              </c:strCache>
            </c:strRef>
          </c:cat>
          <c:val>
            <c:numRef>
              <c:f>'대시보드'!$E$16:$E$20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7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4be38be73a42b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oldoutEvaluationTable" displayName="HoldoutEvaluationTable" ref="A4:AO104" headerRowCount="1" totalsRowCount="0" totalsRowShown="0">
  <x:autoFilter ref="A4:AO104"/>
  <x:tableColumns count="41">
    <x:tableColumn id="1" name="번호"/>
    <x:tableColumn id="2" name="분야"/>
    <x:tableColumn id="3" name="주장 ID"/>
    <x:tableColumn id="4" name="기사 ID"/>
    <x:tableColumn id="5" name="기사 제목"/>
    <x:tableColumn id="6" name="기사일"/>
    <x:tableColumn id="7" name="주장 문장"/>
    <x:tableColumn id="8" name="기사 URL"/>
    <x:tableColumn id="9" name="추출 층"/>
    <x:tableColumn id="10" name="골드 검증가능"/>
    <x:tableColumn id="11" name="골드 제외 사유"/>
    <x:tableColumn id="12" name="골드 통계표"/>
    <x:tableColumn id="13" name="골드 분류1"/>
    <x:tableColumn id="14" name="골드 분류2"/>
    <x:tableColumn id="15" name="골드 항목"/>
    <x:tableColumn id="16" name="골드 주기"/>
    <x:tableColumn id="17" name="주장 수치"/>
    <x:tableColumn id="18" name="골드 대상시점"/>
    <x:tableColumn id="19" name="골드 비교시점"/>
    <x:tableColumn id="20" name="KOSIS 계산값"/>
    <x:tableColumn id="21" name="골드 API"/>
    <x:tableColumn id="22" name="골드 판정"/>
    <x:tableColumn id="23" name="자동 결정"/>
    <x:tableColumn id="24" name="자동 제외 사유"/>
    <x:tableColumn id="25" name="자동 통계표"/>
    <x:tableColumn id="26" name="자동 분류1"/>
    <x:tableColumn id="27" name="자동 분류2"/>
    <x:tableColumn id="28" name="자동 항목"/>
    <x:tableColumn id="29" name="자동 주기"/>
    <x:tableColumn id="30" name="자동 주장수치"/>
    <x:tableColumn id="31" name="자동 대상시점"/>
    <x:tableColumn id="32" name="자동 비교시점"/>
    <x:tableColumn id="33" name="자동 API"/>
    <x:tableColumn id="34" name="자동 판정"/>
    <x:tableColumn id="35" name="검증가능 정확"/>
    <x:tableColumn id="36" name="통계표 정확"/>
    <x:tableColumn id="37" name="항목 정확"/>
    <x:tableColumn id="38" name="시점 정확"/>
    <x:tableColumn id="39" name="항목·시점 정확"/>
    <x:tableColumn id="40" name="판정 정확"/>
    <x:tableColumn id="41" name="오류 원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verallMetricsTable" displayName="OverallMetricsTable" ref="A4:E18" headerRowCount="1" totalsRowCount="0" totalsRowShown="0">
  <x:autoFilter ref="A4:E18"/>
  <x:tableColumns count="5">
    <x:tableColumn id="1" name="지표"/>
    <x:tableColumn id="2" name="성공·정답"/>
    <x:tableColumn id="3" name="분모"/>
    <x:tableColumn id="4" name="비율"/>
    <x:tableColumn id="5" name="정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omainMetricsTable" displayName="DomainMetricsTable" ref="A4:H9" headerRowCount="1" totalsRowCount="0" totalsRowShown="0">
  <x:autoFilter ref="A4:H9"/>
  <x:tableColumns count="8">
    <x:tableColumn id="1" name="분야"/>
    <x:tableColumn id="2" name="표본"/>
    <x:tableColumn id="3" name="골드 검증가능"/>
    <x:tableColumn id="4" name="자동결정 커버리지"/>
    <x:tableColumn id="5" name="검증가능 엄격 정확도"/>
    <x:tableColumn id="6" name="통계표 엄격 정확도"/>
    <x:tableColumn id="7" name="항목·시점 엄격 정확도"/>
    <x:tableColumn id="8" name="자동매핑 정밀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oldoutErrorTable" displayName="HoldoutErrorTable" ref="A4:P79" headerRowCount="1" totalsRowCount="0" totalsRowShown="0">
  <x:autoFilter ref="A4:P79"/>
  <x:tableColumns count="16">
    <x:tableColumn id="1" name="번호"/>
    <x:tableColumn id="2" name="분야"/>
    <x:tableColumn id="3" name="주장 ID"/>
    <x:tableColumn id="4" name="주장 문장"/>
    <x:tableColumn id="5" name="골드 검증가능"/>
    <x:tableColumn id="6" name="골드 제외 사유"/>
    <x:tableColumn id="7" name="자동 결정"/>
    <x:tableColumn id="8" name="자동 제외 사유"/>
    <x:tableColumn id="9" name="오류 유형"/>
    <x:tableColumn id="10" name="오류 원인"/>
    <x:tableColumn id="11" name="골드 통계표"/>
    <x:tableColumn id="12" name="자동 통계표"/>
    <x:tableColumn id="13" name="골드 대상시점"/>
    <x:tableColumn id="14" name="자동 대상시점"/>
    <x:tableColumn id="15" name="골드 판정"/>
    <x:tableColumn id="16" name="자동 판정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mprovementBacklogTable" displayName="ImprovementBacklogTable" ref="A4:F14" headerRowCount="1" totalsRowCount="0" totalsRowShown="0">
  <x:autoFilter ref="A4:F14"/>
  <x:tableColumns count="6">
    <x:tableColumn id="1" name="우선순위"/>
    <x:tableColumn id="2" name="개선 범위"/>
    <x:tableColumn id="3" name="건수"/>
    <x:tableColumn id="4" name="근거 ID"/>
    <x:tableColumn id="5" name="권장 조치"/>
    <x:tableColumn id="6" name="평가 정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6822cf3d5954b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c526cd075a41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6f9b09ddbe48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067605b1b142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c4cc5302204b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ff329437ce49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3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0" customHeight="1">
      <x:c r="A1" s="3" t="str">
        <x:v>B팀 KOSIS 독립 홀드아웃 평가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6" customHeight="1">
      <x:c r="A2" s="7" t="str">
        <x:v>기존 개발용 골드와 주장·기사 중복 0건 · 분야별 20건 · 동결 코드북 최초 평가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N2" t="str">
        <x:v>품질 게이트</x:v>
      </x:c>
      <x:c r="O2" s="61" t="n">
        <x:v>0.8</x:v>
      </x:c>
    </x:row>
    <x:row r="4">
      <x:c r="A4" s="30" t="str">
        <x:v>80% 품질 게이트</x:v>
      </x:c>
      <x:c r="B4" s="30"/>
      <x:c r="C4" s="30"/>
      <x:c r="D4" s="34" t="str">
        <x:v>자동결정 정확도</x:v>
      </x:c>
      <x:c r="E4" s="34"/>
      <x:c r="F4" s="34"/>
      <x:c r="G4" s="38" t="str">
        <x:v>자동결정 커버리지</x:v>
      </x:c>
      <x:c r="H4" s="38"/>
      <x:c r="I4" s="38"/>
      <x:c r="J4" s="40" t="str">
        <x:v>골드 API 성공률</x:v>
      </x:c>
      <x:c r="K4" s="40"/>
      <x:c r="L4" s="40"/>
    </x:row>
    <x:row r="5">
      <x:c r="A5" s="64" t="str">
        <x:f>IF('전체지표'!D12&gt;=$O$2,"통과","실패")</x:f>
        <x:v>실패</x:v>
      </x:c>
      <x:c r="B5" s="56"/>
      <x:c r="C5" s="57"/>
      <x:c r="D5" s="63" t="n">
        <x:f>'전체지표'!D17</x:f>
        <x:v>0.9615384615384616</x:v>
      </x:c>
      <x:c r="E5" s="56"/>
      <x:c r="F5" s="57"/>
      <x:c r="G5" s="63" t="n">
        <x:f>'전체지표'!D6</x:f>
        <x:v>0.26</x:v>
      </x:c>
      <x:c r="H5" s="56"/>
      <x:c r="I5" s="57"/>
      <x:c r="J5" s="63" t="n">
        <x:f>'전체지표'!D18</x:f>
        <x:v>0.8787878787878788</x:v>
      </x:c>
      <x:c r="K5" s="56"/>
      <x:c r="L5" s="57"/>
    </x:row>
    <x:row r="6">
      <x:c r="A6" s="62" t="n">
        <x:f>'전체지표'!D12</x:f>
        <x:v>0.18181818181818182</x:v>
      </x:c>
      <x:c r="B6" s="59"/>
      <x:c r="C6" s="60"/>
      <x:c r="D6" s="58"/>
      <x:c r="E6" s="59"/>
      <x:c r="F6" s="60"/>
      <x:c r="G6" s="58"/>
      <x:c r="H6" s="59"/>
      <x:c r="I6" s="60"/>
      <x:c r="J6" s="58"/>
      <x:c r="K6" s="59"/>
      <x:c r="L6" s="60"/>
    </x:row>
    <x:row r="8">
      <x:c r="A8" s="66" t="str">
        <x:v>핵심 해석</x:v>
      </x:c>
      <x:c r="B8" s="66"/>
      <x:c r="C8" s="66"/>
      <x:c r="D8" s="66"/>
      <x:c r="E8" s="66"/>
      <x:c r="F8" s="66"/>
    </x:row>
    <x:row r="9" ht="25" customHeight="1">
      <x:c r="A9" s="75" t="str">
        <x:v>자동으로 결정한 26건은 25건 정답으로 정밀도 96.2%다.</x:v>
      </x:c>
      <x:c r="B9" s="76"/>
      <x:c r="C9" s="76"/>
      <x:c r="D9" s="76"/>
      <x:c r="E9" s="76"/>
      <x:c r="F9" s="77"/>
    </x:row>
    <x:row r="10" ht="25" customHeight="1">
      <x:c r="A10" s="85" t="str">
        <x:v>하지만 74건을 보류해 전체 엄격 항목·시점 정확도는 18.2%다.</x:v>
      </x:c>
      <x:c r="B10" s="86"/>
      <x:c r="C10" s="86"/>
      <x:c r="D10" s="86"/>
      <x:c r="E10" s="86"/>
      <x:c r="F10" s="87"/>
    </x:row>
    <x:row r="11" ht="25" customHeight="1">
      <x:c r="A11" s="75" t="str">
        <x:v>현재 병목은 대량 오판보다 코드북 커버리지 부족이다.</x:v>
      </x:c>
      <x:c r="B11" s="76"/>
      <x:c r="C11" s="76"/>
      <x:c r="D11" s="76"/>
      <x:c r="E11" s="76"/>
      <x:c r="F11" s="77"/>
    </x:row>
    <x:row r="12" ht="25" customHeight="1">
      <x:c r="A12" s="85" t="str">
        <x:v>새 독립 평가에서 80%를 넘기 전까지 1,281건 자동 확정 확대는 보류한다.</x:v>
      </x:c>
      <x:c r="B12" s="86"/>
      <x:c r="C12" s="86"/>
      <x:c r="D12" s="86"/>
      <x:c r="E12" s="86"/>
      <x:c r="F12" s="87"/>
    </x:row>
    <x:row r="14">
      <x:c r="A14" s="65" t="str">
        <x:v>분야별 엄격 매핑 성능</x:v>
      </x:c>
      <x:c r="B14" s="65"/>
      <x:c r="C14" s="65"/>
      <x:c r="D14" s="65"/>
      <x:c r="E14" s="65"/>
    </x:row>
    <x:row r="15" ht="32" customHeight="1">
      <x:c r="A15" s="16" t="str">
        <x:v>분야</x:v>
      </x:c>
      <x:c r="B15" s="17" t="str">
        <x:v>검증가능</x:v>
      </x:c>
      <x:c r="C15" s="17" t="str">
        <x:v>자동결정 커버리지</x:v>
      </x:c>
      <x:c r="D15" s="17" t="str">
        <x:v>항목·시점 엄격 정확도</x:v>
      </x:c>
      <x:c r="E15" s="18" t="str">
        <x:v>게이트</x:v>
      </x:c>
    </x:row>
    <x:row r="16">
      <x:c r="A16" t="str">
        <x:f>'분야별지표'!A5</x:f>
        <x:v>물가</x:v>
      </x:c>
      <x:c r="B16" s="24" t="n">
        <x:f>'분야별지표'!C5</x:f>
        <x:v>9</x:v>
      </x:c>
      <x:c r="C16" s="25" t="n">
        <x:f>'분야별지표'!D5</x:f>
        <x:v>0.3</x:v>
      </x:c>
      <x:c r="D16" s="25" t="n">
        <x:f>'분야별지표'!G5</x:f>
        <x:v>0</x:v>
      </x:c>
      <x:c r="E16" s="25" t="n">
        <x:f>$O$2</x:f>
        <x:v>0.8</x:v>
      </x:c>
    </x:row>
    <x:row r="17">
      <x:c r="A17" t="str">
        <x:f>'분야별지표'!A6</x:f>
        <x:v>고용</x:v>
      </x:c>
      <x:c r="B17" s="24" t="n">
        <x:f>'분야별지표'!C6</x:f>
        <x:v>4</x:v>
      </x:c>
      <x:c r="C17" s="25" t="n">
        <x:f>'분야별지표'!D6</x:f>
        <x:v>0.2</x:v>
      </x:c>
      <x:c r="D17" s="25" t="n">
        <x:f>'분야별지표'!G6</x:f>
        <x:v>0</x:v>
      </x:c>
      <x:c r="E17" s="25" t="n">
        <x:f>$O$2</x:f>
        <x:v>0.8</x:v>
      </x:c>
    </x:row>
    <x:row r="18">
      <x:c r="A18" t="str">
        <x:f>'분야별지표'!A7</x:f>
        <x:v>무역</x:v>
      </x:c>
      <x:c r="B18" s="24" t="n">
        <x:f>'분야별지표'!C7</x:f>
        <x:v>1</x:v>
      </x:c>
      <x:c r="C18" s="25" t="n">
        <x:f>'분야별지표'!D7</x:f>
        <x:v>0.1</x:v>
      </x:c>
      <x:c r="D18" s="25" t="n">
        <x:f>'분야별지표'!G7</x:f>
        <x:v>0</x:v>
      </x:c>
      <x:c r="E18" s="25" t="n">
        <x:f>$O$2</x:f>
        <x:v>0.8</x:v>
      </x:c>
    </x:row>
    <x:row r="19">
      <x:c r="A19" t="str">
        <x:f>'분야별지표'!A8</x:f>
        <x:v>인구</x:v>
      </x:c>
      <x:c r="B19" s="24" t="n">
        <x:f>'분야별지표'!C8</x:f>
        <x:v>12</x:v>
      </x:c>
      <x:c r="C19" s="25" t="n">
        <x:f>'분야별지표'!D8</x:f>
        <x:v>0.35</x:v>
      </x:c>
      <x:c r="D19" s="25" t="n">
        <x:f>'분야별지표'!G8</x:f>
        <x:v>0.5</x:v>
      </x:c>
      <x:c r="E19" s="25" t="n">
        <x:f>$O$2</x:f>
        <x:v>0.8</x:v>
      </x:c>
    </x:row>
    <x:row r="20">
      <x:c r="A20" t="str">
        <x:f>'분야별지표'!A9</x:f>
        <x:v>소매</x:v>
      </x:c>
      <x:c r="B20" s="24" t="n">
        <x:f>'분야별지표'!C9</x:f>
        <x:v>7</x:v>
      </x:c>
      <x:c r="C20" s="25" t="n">
        <x:f>'분야별지표'!D9</x:f>
        <x:v>0.35</x:v>
      </x:c>
      <x:c r="D20" s="25" t="n">
        <x:f>'분야별지표'!G9</x:f>
        <x:v>0</x:v>
      </x:c>
      <x:c r="E20" s="25" t="n">
        <x:f>$O$2</x:f>
        <x:v>0.8</x:v>
      </x:c>
    </x:row>
    <x:row r="22">
      <x:c r="A22" s="65" t="str">
        <x:v>다음 조치</x:v>
      </x:c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</x:row>
    <x:row r="23" ht="25" customHeight="1">
      <x:c r="A23" s="91" t="str">
        <x:v>P0 · C20191 과배제 수정: 정책 배경 단어보다 명시적 KOSIS 지표 매핑을 우선한다.</x:v>
      </x:c>
      <x:c r="B23" s="91"/>
      <x:c r="C23" s="91"/>
      <x:c r="D23" s="91"/>
      <x:c r="E23" s="91"/>
      <x:c r="F23" s="91"/>
      <x:c r="G23" s="91"/>
      <x:c r="H23" s="91"/>
      <x:c r="I23" s="91"/>
      <x:c r="J23" s="91"/>
      <x:c r="K23" s="91"/>
      <x:c r="L23" s="91"/>
    </x:row>
    <x:row r="24" ht="25" customHeight="1">
      <x:c r="A24" s="94" t="str">
        <x:v>P1 · 검증가능 보류 26건과 검증불가 보류 48건으로 코드북 v2를 개발한다.</x:v>
      </x:c>
      <x:c r="B24" s="94"/>
      <x:c r="C24" s="94"/>
      <x:c r="D24" s="94"/>
      <x:c r="E24" s="94"/>
      <x:c r="F24" s="94"/>
      <x:c r="G24" s="94"/>
      <x:c r="H24" s="94"/>
      <x:c r="I24" s="94"/>
      <x:c r="J24" s="94"/>
      <x:c r="K24" s="94"/>
      <x:c r="L24" s="94"/>
    </x:row>
    <x:row r="25" ht="25" customHeight="1">
      <x:c r="A25" s="98" t="str">
        <x:v>P2 · 최신 출생 잠정치 표 탐색과 API 갱신 지연 재시도 큐를 분리한다.</x:v>
      </x:c>
      <x:c r="B25" s="98"/>
      <x:c r="C25" s="98"/>
      <x:c r="D25" s="98"/>
      <x:c r="E25" s="98"/>
      <x:c r="F25" s="98"/>
      <x:c r="G25" s="98"/>
      <x:c r="H25" s="98"/>
      <x:c r="I25" s="98"/>
      <x:c r="J25" s="98"/>
      <x:c r="K25" s="98"/>
      <x:c r="L25" s="98"/>
    </x:row>
    <x:row r="26" ht="25" customHeight="1">
      <x:c r="A26" s="94" t="str">
        <x:v>평가 · 코드북 v2 고정 후 현재 자료와 겹치지 않는 새 홀드아웃 100건으로 다시 측정한다.</x:v>
      </x:c>
      <x:c r="B26" s="94"/>
      <x:c r="C26" s="94"/>
      <x:c r="D26" s="94"/>
      <x:c r="E26" s="94"/>
      <x:c r="F26" s="94"/>
      <x:c r="G26" s="94"/>
      <x:c r="H26" s="94"/>
      <x:c r="I26" s="94"/>
      <x:c r="J26" s="94"/>
      <x:c r="K26" s="94"/>
      <x:c r="L26" s="94"/>
    </x:row>
  </x:sheetData>
  <x:mergeCells>
    <x:mergeCell ref="A1:L1"/>
    <x:mergeCell ref="A2:L2"/>
    <x:mergeCell ref="A4:C4"/>
    <x:mergeCell ref="D4:F4"/>
    <x:mergeCell ref="G4:I4"/>
    <x:mergeCell ref="J4:L4"/>
    <x:mergeCell ref="A5:C6"/>
    <x:mergeCell ref="D5:F6"/>
    <x:mergeCell ref="G5:I6"/>
    <x:mergeCell ref="J5:L6"/>
    <x:mergeCell ref="A8:F8"/>
    <x:mergeCell ref="A9:F9"/>
    <x:mergeCell ref="A10:F10"/>
    <x:mergeCell ref="A11:F11"/>
    <x:mergeCell ref="A12:F12"/>
    <x:mergeCell ref="A14:E14"/>
    <x:mergeCell ref="A22:L22"/>
    <x:mergeCell ref="A23:L23"/>
    <x:mergeCell ref="A24:L24"/>
    <x:mergeCell ref="A25:L25"/>
    <x:mergeCell ref="A26:L26"/>
  </x:mergeCells>
  <x:pageMargins left="0.7" right="0.7" top="0.75" bottom="0.75" header="0.3" footer="0.3"/>
  <x:drawing xmlns:r="http://schemas.openxmlformats.org/officeDocument/2006/relationships" r:id="Rc6822cf3d5954be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9" hidden="0" customWidth="1"/>
    <x:col min="3" max="3" width="11" hidden="0" customWidth="1"/>
    <x:col min="4" max="4" width="11" hidden="0" customWidth="1"/>
    <x:col min="5" max="5" width="28" hidden="0" customWidth="1"/>
    <x:col min="6" max="6" width="12" hidden="0" customWidth="1"/>
    <x:col min="7" max="7" width="58" hidden="0" customWidth="1"/>
    <x:col min="8" max="8" width="28" hidden="0" customWidth="1"/>
    <x:col min="9" max="9" width="15" hidden="0" customWidth="1"/>
    <x:col min="10" max="10" width="15" hidden="0" customWidth="1"/>
    <x:col min="11" max="11" width="15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35" hidden="0" customWidth="1"/>
  </x:cols>
  <x:sheetData>
    <x:row r="1" ht="30" customHeight="1">
      <x:c r="A1" s="3" t="str">
        <x:v>KOSIS 독립 홀드아웃 100건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</x:row>
    <x:row r="2" ht="26" customHeight="1">
      <x:c r="A2" s="7" t="str">
        <x:v>개발용 골드 100건과 주장·기사 중복 0건. 골드 수동 라벨과 동결 코드북 예측을 나란히 표시합니다.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</x:row>
    <x:row r="4" ht="32" customHeight="1">
      <x:c r="A4" s="16" t="str">
        <x:v>번호</x:v>
      </x:c>
      <x:c r="B4" s="17" t="str">
        <x:v>분야</x:v>
      </x:c>
      <x:c r="C4" s="17" t="str">
        <x:v>주장 ID</x:v>
      </x:c>
      <x:c r="D4" s="17" t="str">
        <x:v>기사 ID</x:v>
      </x:c>
      <x:c r="E4" s="17" t="str">
        <x:v>기사 제목</x:v>
      </x:c>
      <x:c r="F4" s="17" t="str">
        <x:v>기사일</x:v>
      </x:c>
      <x:c r="G4" s="17" t="str">
        <x:v>주장 문장</x:v>
      </x:c>
      <x:c r="H4" s="17" t="str">
        <x:v>기사 URL</x:v>
      </x:c>
      <x:c r="I4" s="17" t="str">
        <x:v>추출 층</x:v>
      </x:c>
      <x:c r="J4" s="17" t="str">
        <x:v>골드 검증가능</x:v>
      </x:c>
      <x:c r="K4" s="17" t="str">
        <x:v>골드 제외 사유</x:v>
      </x:c>
      <x:c r="L4" s="17" t="str">
        <x:v>골드 통계표</x:v>
      </x:c>
      <x:c r="M4" s="17" t="str">
        <x:v>골드 분류1</x:v>
      </x:c>
      <x:c r="N4" s="17" t="str">
        <x:v>골드 분류2</x:v>
      </x:c>
      <x:c r="O4" s="17" t="str">
        <x:v>골드 항목</x:v>
      </x:c>
      <x:c r="P4" s="17" t="str">
        <x:v>골드 주기</x:v>
      </x:c>
      <x:c r="Q4" s="17" t="str">
        <x:v>주장 수치</x:v>
      </x:c>
      <x:c r="R4" s="17" t="str">
        <x:v>골드 대상시점</x:v>
      </x:c>
      <x:c r="S4" s="17" t="str">
        <x:v>골드 비교시점</x:v>
      </x:c>
      <x:c r="T4" s="17" t="str">
        <x:v>KOSIS 계산값</x:v>
      </x:c>
      <x:c r="U4" s="17" t="str">
        <x:v>골드 API</x:v>
      </x:c>
      <x:c r="V4" s="17" t="str">
        <x:v>골드 판정</x:v>
      </x:c>
      <x:c r="W4" s="17" t="str">
        <x:v>자동 결정</x:v>
      </x:c>
      <x:c r="X4" s="17" t="str">
        <x:v>자동 제외 사유</x:v>
      </x:c>
      <x:c r="Y4" s="17" t="str">
        <x:v>자동 통계표</x:v>
      </x:c>
      <x:c r="Z4" s="17" t="str">
        <x:v>자동 분류1</x:v>
      </x:c>
      <x:c r="AA4" s="17" t="str">
        <x:v>자동 분류2</x:v>
      </x:c>
      <x:c r="AB4" s="17" t="str">
        <x:v>자동 항목</x:v>
      </x:c>
      <x:c r="AC4" s="17" t="str">
        <x:v>자동 주기</x:v>
      </x:c>
      <x:c r="AD4" s="17" t="str">
        <x:v>자동 주장수치</x:v>
      </x:c>
      <x:c r="AE4" s="17" t="str">
        <x:v>자동 대상시점</x:v>
      </x:c>
      <x:c r="AF4" s="17" t="str">
        <x:v>자동 비교시점</x:v>
      </x:c>
      <x:c r="AG4" s="17" t="str">
        <x:v>자동 API</x:v>
      </x:c>
      <x:c r="AH4" s="17" t="str">
        <x:v>자동 판정</x:v>
      </x:c>
      <x:c r="AI4" s="17" t="str">
        <x:v>검증가능 정확</x:v>
      </x:c>
      <x:c r="AJ4" s="17" t="str">
        <x:v>통계표 정확</x:v>
      </x:c>
      <x:c r="AK4" s="17" t="str">
        <x:v>항목 정확</x:v>
      </x:c>
      <x:c r="AL4" s="17" t="str">
        <x:v>시점 정확</x:v>
      </x:c>
      <x:c r="AM4" s="17" t="str">
        <x:v>항목·시점 정확</x:v>
      </x:c>
      <x:c r="AN4" s="17" t="str">
        <x:v>판정 정확</x:v>
      </x:c>
      <x:c r="AO4" s="18" t="str">
        <x:v>오류 원인</x:v>
      </x:c>
    </x:row>
    <x:row r="5">
      <x:c r="A5" s="20" t="n">
        <x:v>1</x:v>
      </x:c>
      <x:c r="B5" s="20" t="str">
        <x:v>물가</x:v>
      </x:c>
      <x:c r="C5" s="20" t="str">
        <x:v>C01367</x:v>
      </x:c>
      <x:c r="D5" s="20" t="n">
        <x:v>189</x:v>
      </x:c>
      <x:c r="E5" s="21" t="str">
        <x:v>고환율 쓰나미...수입물가 전년대비 7% 올라</x:v>
      </x:c>
      <x:c r="F5" s="21" t="str">
        <x:v>2025-01-15</x:v>
      </x:c>
      <x:c r="G5" s="21" t="str">
        <x:v>수출물가지수는 133.75로 전월대비 2.4%, 전년 대비 10.7% 올랐다.</x:v>
      </x:c>
      <x:c r="H5" s="21" t="str">
        <x:v>https://www.chosun.com/economy/economy_general/2025/01/15/A7RGQGDZHBAYLEWBZEBFOJULHM</x:v>
      </x:c>
      <x:c r="I5" s="20" t="str">
        <x:v>판단불가</x:v>
      </x:c>
      <x:c r="J5" s="20" t="str">
        <x:v>Y</x:v>
      </x:c>
      <x:c r="K5" s="20" t="str"/>
      <x:c r="L5" s="20" t="str">
        <x:v>DT_402Y014</x:v>
      </x:c>
      <x:c r="M5" s="20" t="str">
        <x:v>13102134642ACC_CD.*AA</x:v>
      </x:c>
      <x:c r="N5" s="20" t="str">
        <x:v>13102134642CRR_CTRT_CD.W</x:v>
      </x:c>
      <x:c r="O5" s="20" t="str">
        <x:v>13103134642999</x:v>
      </x:c>
      <x:c r="P5" s="20" t="str">
        <x:v>M</x:v>
      </x:c>
      <x:c r="Q5" s="22" t="n">
        <x:v>10.7</x:v>
      </x:c>
      <x:c r="R5" s="20" t="str">
        <x:v>202412</x:v>
      </x:c>
      <x:c r="S5" s="20" t="str">
        <x:v>202312</x:v>
      </x:c>
      <x:c r="T5" s="23" t="n">
        <x:v>10.526315789473683</x:v>
      </x:c>
      <x:c r="U5" s="20" t="str">
        <x:v>Y</x:v>
      </x:c>
      <x:c r="V5" s="20" t="str">
        <x:v>일치</x:v>
      </x:c>
      <x:c r="W5" s="20" t="str">
        <x:v>보류</x:v>
      </x:c>
      <x:c r="X5" s="20" t="str"/>
      <x:c r="Y5" s="20" t="str"/>
      <x:c r="Z5" s="20" t="str"/>
      <x:c r="AA5" s="20" t="str"/>
      <x:c r="AB5" s="20" t="str"/>
      <x:c r="AC5" s="20" t="str"/>
      <x:c r="AD5" s="22" t="str"/>
      <x:c r="AE5" s="20" t="str"/>
      <x:c r="AF5" s="20" t="str"/>
      <x:c r="AG5" s="20" t="str">
        <x:v>N/A</x:v>
      </x:c>
      <x:c r="AH5" s="20" t="str"/>
      <x:c r="AI5" s="20" t="str">
        <x:v>N</x:v>
      </x:c>
      <x:c r="AJ5" s="20" t="str">
        <x:v>N</x:v>
      </x:c>
      <x:c r="AK5" s="20" t="str">
        <x:v>N</x:v>
      </x:c>
      <x:c r="AL5" s="20" t="str">
        <x:v>N</x:v>
      </x:c>
      <x:c r="AM5" s="20" t="str">
        <x:v>N</x:v>
      </x:c>
      <x:c r="AN5" s="20" t="str">
        <x:v>N</x:v>
      </x:c>
      <x:c r="AO5" s="21" t="str"/>
    </x:row>
    <x:row r="6">
      <x:c r="A6" s="20" t="n">
        <x:v>2</x:v>
      </x:c>
      <x:c r="B6" s="20" t="str">
        <x:v>물가</x:v>
      </x:c>
      <x:c r="C6" s="20" t="str">
        <x:v>C01659</x:v>
      </x:c>
      <x:c r="D6" s="20" t="n">
        <x:v>224</x:v>
      </x:c>
      <x:c r="E6" s="21" t="str">
        <x:v>간신히 5% 찍은 中 성장률, 올해는 ‘트럼프 관세’ 먹구름</x:v>
      </x:c>
      <x:c r="F6" s="21" t="str">
        <x:v>2025-01-18</x:v>
      </x:c>
      <x:c r="G6" s="21" t="str">
        <x:v>공장 출고가를 의미하는 생산자 물가는 27개월째 전년 대비 마이너스를 기록하고 있다.</x:v>
      </x:c>
      <x:c r="H6" s="21" t="str">
        <x:v>https://www.chosun.com/economy/economy_general/2025/01/18/47BFYPJXONF7RIF22SP3KAKCFU</x:v>
      </x:c>
      <x:c r="I6" s="20" t="str">
        <x:v>판단불가</x:v>
      </x:c>
      <x:c r="J6" s="20" t="str">
        <x:v>N</x:v>
      </x:c>
      <x:c r="K6" s="20" t="str">
        <x:v>KOSIS 미제공</x:v>
      </x:c>
      <x:c r="L6" s="20" t="str"/>
      <x:c r="M6" s="20" t="str"/>
      <x:c r="N6" s="20" t="str"/>
      <x:c r="O6" s="20" t="str"/>
      <x:c r="P6" s="20" t="str"/>
      <x:c r="Q6" s="22" t="str"/>
      <x:c r="R6" s="20" t="str"/>
      <x:c r="S6" s="20" t="str"/>
      <x:c r="T6" s="23" t="str"/>
      <x:c r="U6" s="20" t="str">
        <x:v>N/A</x:v>
      </x:c>
      <x:c r="V6" s="20" t="str">
        <x:v>판단불가</x:v>
      </x:c>
      <x:c r="W6" s="20" t="str">
        <x:v>보류</x:v>
      </x:c>
      <x:c r="X6" s="20" t="str"/>
      <x:c r="Y6" s="20" t="str"/>
      <x:c r="Z6" s="20" t="str"/>
      <x:c r="AA6" s="20" t="str"/>
      <x:c r="AB6" s="20" t="str"/>
      <x:c r="AC6" s="20" t="str"/>
      <x:c r="AD6" s="22" t="str"/>
      <x:c r="AE6" s="20" t="str"/>
      <x:c r="AF6" s="20" t="str"/>
      <x:c r="AG6" s="20" t="str">
        <x:v>N/A</x:v>
      </x:c>
      <x:c r="AH6" s="20" t="str"/>
      <x:c r="AI6" s="20" t="str">
        <x:v>N</x:v>
      </x:c>
      <x:c r="AJ6" s="20" t="str">
        <x:v>N/A</x:v>
      </x:c>
      <x:c r="AK6" s="20" t="str">
        <x:v>N/A</x:v>
      </x:c>
      <x:c r="AL6" s="20" t="str">
        <x:v>N/A</x:v>
      </x:c>
      <x:c r="AM6" s="20" t="str">
        <x:v>N/A</x:v>
      </x:c>
      <x:c r="AN6" s="20" t="str">
        <x:v>N</x:v>
      </x:c>
      <x:c r="AO6" s="21" t="str"/>
    </x:row>
    <x:row r="7">
      <x:c r="A7" s="20" t="n">
        <x:v>3</x:v>
      </x:c>
      <x:c r="B7" s="20" t="str">
        <x:v>물가</x:v>
      </x:c>
      <x:c r="C7" s="20" t="str">
        <x:v>C03672</x:v>
      </x:c>
      <x:c r="D7" s="20" t="n">
        <x:v>463</x:v>
      </x:c>
      <x:c r="E7" s="21" t="str">
        <x:v>석유·채소값 뛰니...1월 물가 2.2% 상승, 5개월 만에 2%대 복귀</x:v>
      </x:c>
      <x:c r="F7" s="21" t="str">
        <x:v>2025-02-05</x:v>
      </x:c>
      <x:c r="G7" s="21" t="str">
        <x:v>기조적인 물가 흐름을 나타내는 근원물가지수(식료품 및 에너지 제외 지수)는 전년 동월 대비 1.9% 오르며, 4개월째 1%대를 유지했다.</x:v>
      </x:c>
      <x:c r="H7" s="21" t="str">
        <x:v>https://www.chosun.com/economy/economy_general/2025/02/05/V2MN7UBTEZBJPG7WGGILZRXH6Y</x:v>
      </x:c>
      <x:c r="I7" s="20" t="str">
        <x:v>수준값재검토</x:v>
      </x:c>
      <x:c r="J7" s="20" t="str">
        <x:v>Y</x:v>
      </x:c>
      <x:c r="K7" s="20" t="str"/>
      <x:c r="L7" s="20" t="str">
        <x:v>DT_1J22042</x:v>
      </x:c>
      <x:c r="M7" s="20" t="str">
        <x:v>4</x:v>
      </x:c>
      <x:c r="N7" s="20" t="str"/>
      <x:c r="O7" s="20" t="str">
        <x:v>T03</x:v>
      </x:c>
      <x:c r="P7" s="20" t="str">
        <x:v>M</x:v>
      </x:c>
      <x:c r="Q7" s="22" t="n">
        <x:v>1.9</x:v>
      </x:c>
      <x:c r="R7" s="20" t="str">
        <x:v>202501</x:v>
      </x:c>
      <x:c r="S7" s="20" t="str"/>
      <x:c r="T7" s="23" t="n">
        <x:v>1.9</x:v>
      </x:c>
      <x:c r="U7" s="20" t="str">
        <x:v>Y</x:v>
      </x:c>
      <x:c r="V7" s="20" t="str">
        <x:v>일치</x:v>
      </x:c>
      <x:c r="W7" s="20" t="str">
        <x:v>보류</x:v>
      </x:c>
      <x:c r="X7" s="20" t="str"/>
      <x:c r="Y7" s="20" t="str"/>
      <x:c r="Z7" s="20" t="str"/>
      <x:c r="AA7" s="20" t="str"/>
      <x:c r="AB7" s="20" t="str"/>
      <x:c r="AC7" s="20" t="str"/>
      <x:c r="AD7" s="22" t="str"/>
      <x:c r="AE7" s="20" t="str"/>
      <x:c r="AF7" s="20" t="str"/>
      <x:c r="AG7" s="20" t="str">
        <x:v>N/A</x:v>
      </x:c>
      <x:c r="AH7" s="20" t="str"/>
      <x:c r="AI7" s="20" t="str">
        <x:v>N</x:v>
      </x:c>
      <x:c r="AJ7" s="20" t="str">
        <x:v>N</x:v>
      </x:c>
      <x:c r="AK7" s="20" t="str">
        <x:v>N</x:v>
      </x:c>
      <x:c r="AL7" s="20" t="str">
        <x:v>N</x:v>
      </x:c>
      <x:c r="AM7" s="20" t="str">
        <x:v>N</x:v>
      </x:c>
      <x:c r="AN7" s="20" t="str">
        <x:v>N</x:v>
      </x:c>
      <x:c r="AO7" s="21" t="str"/>
    </x:row>
    <x:row r="8">
      <x:c r="A8" s="20" t="n">
        <x:v>4</x:v>
      </x:c>
      <x:c r="B8" s="20" t="str">
        <x:v>물가</x:v>
      </x:c>
      <x:c r="C8" s="20" t="str">
        <x:v>C04595</x:v>
      </x:c>
      <x:c r="D8" s="20" t="n">
        <x:v>580</x:v>
      </x:c>
      <x:c r="E8" s="21" t="str">
        <x:v>美 소비자 물가 상승률 3%… 당분간 금리 인하 멈출 듯</x:v>
      </x:c>
      <x:c r="F8" s="21" t="str">
        <x:v>2025-02-14</x:v>
      </x:c>
      <x:c r="G8" s="21" t="str">
        <x:v>미 국채 10년물 금리가 단숨에 0.1%포인트 오르는 등 금리는 일제히 상승했다.</x:v>
      </x:c>
      <x:c r="H8" s="21" t="str">
        <x:v>https://www.chosun.com/economy/economy_general/2025/02/14/DOSWUEHIRBDRXA22EYJWFTUYHI</x:v>
      </x:c>
      <x:c r="I8" s="20" t="str">
        <x:v>판단불가</x:v>
      </x:c>
      <x:c r="J8" s="20" t="str">
        <x:v>N</x:v>
      </x:c>
      <x:c r="K8" s="20" t="str">
        <x:v>KOSIS 미제공</x:v>
      </x:c>
      <x:c r="L8" s="20" t="str"/>
      <x:c r="M8" s="20" t="str"/>
      <x:c r="N8" s="20" t="str"/>
      <x:c r="O8" s="20" t="str"/>
      <x:c r="P8" s="20" t="str"/>
      <x:c r="Q8" s="22" t="str"/>
      <x:c r="R8" s="20" t="str"/>
      <x:c r="S8" s="20" t="str"/>
      <x:c r="T8" s="23" t="str"/>
      <x:c r="U8" s="20" t="str">
        <x:v>N/A</x:v>
      </x:c>
      <x:c r="V8" s="20" t="str">
        <x:v>판단불가</x:v>
      </x:c>
      <x:c r="W8" s="20" t="str">
        <x:v>검증불가</x:v>
      </x:c>
      <x:c r="X8" s="20" t="str">
        <x:v>KOSIS 미제공</x:v>
      </x:c>
      <x:c r="Y8" s="20" t="str"/>
      <x:c r="Z8" s="20" t="str"/>
      <x:c r="AA8" s="20" t="str"/>
      <x:c r="AB8" s="20" t="str"/>
      <x:c r="AC8" s="20" t="str"/>
      <x:c r="AD8" s="22" t="str"/>
      <x:c r="AE8" s="20" t="str"/>
      <x:c r="AF8" s="20" t="str"/>
      <x:c r="AG8" s="20" t="str">
        <x:v>N/A</x:v>
      </x:c>
      <x:c r="AH8" s="20" t="str">
        <x:v>판단불가</x:v>
      </x:c>
      <x:c r="AI8" s="20" t="str">
        <x:v>Y</x:v>
      </x:c>
      <x:c r="AJ8" s="20" t="str">
        <x:v>N/A</x:v>
      </x:c>
      <x:c r="AK8" s="20" t="str">
        <x:v>N/A</x:v>
      </x:c>
      <x:c r="AL8" s="20" t="str">
        <x:v>N/A</x:v>
      </x:c>
      <x:c r="AM8" s="20" t="str">
        <x:v>N/A</x:v>
      </x:c>
      <x:c r="AN8" s="20" t="str">
        <x:v>Y</x:v>
      </x:c>
      <x:c r="AO8" s="21" t="str"/>
    </x:row>
    <x:row r="9">
      <x:c r="A9" s="20" t="n">
        <x:v>5</x:v>
      </x:c>
      <x:c r="B9" s="20" t="str">
        <x:v>물가</x:v>
      </x:c>
      <x:c r="C9" s="20" t="str">
        <x:v>C04596</x:v>
      </x:c>
      <x:c r="D9" s="20" t="n">
        <x:v>580</x:v>
      </x:c>
      <x:c r="E9" s="21" t="str">
        <x:v>美 소비자 물가 상승률 3%… 당분간 금리 인하 멈출 듯</x:v>
      </x:c>
      <x:c r="F9" s="21" t="str">
        <x:v>2025-02-14</x:v>
      </x:c>
      <x:c r="G9" s="21" t="str">
        <x:v>기준 금리를 전망하는 시카고상품거래소의 페드워치툴에서 3월 금리 동결 가능성은 98%까지 높아졌다.</x:v>
      </x:c>
      <x:c r="H9" s="21" t="str">
        <x:v>https://www.chosun.com/economy/economy_general/2025/02/14/DOSWUEHIRBDRXA22EYJWFTUYHI</x:v>
      </x:c>
      <x:c r="I9" s="20" t="str">
        <x:v>수준값재검토</x:v>
      </x:c>
      <x:c r="J9" s="20" t="str">
        <x:v>N</x:v>
      </x:c>
      <x:c r="K9" s="20" t="str">
        <x:v>정보 부족</x:v>
      </x:c>
      <x:c r="L9" s="20" t="str"/>
      <x:c r="M9" s="20" t="str"/>
      <x:c r="N9" s="20" t="str"/>
      <x:c r="O9" s="20" t="str"/>
      <x:c r="P9" s="20" t="str"/>
      <x:c r="Q9" s="22" t="str"/>
      <x:c r="R9" s="20" t="str"/>
      <x:c r="S9" s="20" t="str"/>
      <x:c r="T9" s="23" t="str"/>
      <x:c r="U9" s="20" t="str">
        <x:v>N/A</x:v>
      </x:c>
      <x:c r="V9" s="20" t="str">
        <x:v>판단불가</x:v>
      </x:c>
      <x:c r="W9" s="20" t="str">
        <x:v>검증불가</x:v>
      </x:c>
      <x:c r="X9" s="20" t="str">
        <x:v>정보 부족</x:v>
      </x:c>
      <x:c r="Y9" s="20" t="str"/>
      <x:c r="Z9" s="20" t="str"/>
      <x:c r="AA9" s="20" t="str"/>
      <x:c r="AB9" s="20" t="str"/>
      <x:c r="AC9" s="20" t="str"/>
      <x:c r="AD9" s="22" t="str"/>
      <x:c r="AE9" s="20" t="str"/>
      <x:c r="AF9" s="20" t="str"/>
      <x:c r="AG9" s="20" t="str">
        <x:v>N/A</x:v>
      </x:c>
      <x:c r="AH9" s="20" t="str">
        <x:v>판단불가</x:v>
      </x:c>
      <x:c r="AI9" s="20" t="str">
        <x:v>Y</x:v>
      </x:c>
      <x:c r="AJ9" s="20" t="str">
        <x:v>N/A</x:v>
      </x:c>
      <x:c r="AK9" s="20" t="str">
        <x:v>N/A</x:v>
      </x:c>
      <x:c r="AL9" s="20" t="str">
        <x:v>N/A</x:v>
      </x:c>
      <x:c r="AM9" s="20" t="str">
        <x:v>N/A</x:v>
      </x:c>
      <x:c r="AN9" s="20" t="str">
        <x:v>Y</x:v>
      </x:c>
      <x:c r="AO9" s="21" t="str"/>
    </x:row>
    <x:row r="10">
      <x:c r="A10" s="20" t="n">
        <x:v>6</x:v>
      </x:c>
      <x:c r="B10" s="20" t="str">
        <x:v>물가</x:v>
      </x:c>
      <x:c r="C10" s="20" t="str">
        <x:v>C04720</x:v>
      </x:c>
      <x:c r="D10" s="20" t="n">
        <x:v>598</x:v>
      </x:c>
      <x:c r="E10" s="21" t="str">
        <x:v>[주간코인시황] 지속되는 무역 갈등·인플레 우려...가상자산 시장은 관망세</x:v>
      </x:c>
      <x:c r="F10" s="21" t="str">
        <x:v>2025-02-15</x:v>
      </x:c>
      <x:c r="G10" s="21" t="str">
        <x:v>또한 1월 근원 소비자물가지수(Core CPI)가 전년 대비 3.3% 상승하며 예상치(3.1%)를 상회, 물가 상승 압력이 지속되고 있다.</x:v>
      </x:c>
      <x:c r="H10" s="21" t="str">
        <x:v>https://www.chosun.com/economy/money/2025/02/15/BGQ7JF5BJ4UBQPPIJKNRIRCLFY</x:v>
      </x:c>
      <x:c r="I10" s="20" t="str">
        <x:v>판단불가</x:v>
      </x:c>
      <x:c r="J10" s="20" t="str">
        <x:v>N</x:v>
      </x:c>
      <x:c r="K10" s="20" t="str">
        <x:v>KOSIS 미제공</x:v>
      </x:c>
      <x:c r="L10" s="20" t="str"/>
      <x:c r="M10" s="20" t="str"/>
      <x:c r="N10" s="20" t="str"/>
      <x:c r="O10" s="20" t="str"/>
      <x:c r="P10" s="20" t="str"/>
      <x:c r="Q10" s="22" t="str"/>
      <x:c r="R10" s="20" t="str"/>
      <x:c r="S10" s="20" t="str"/>
      <x:c r="T10" s="23" t="str"/>
      <x:c r="U10" s="20" t="str">
        <x:v>N/A</x:v>
      </x:c>
      <x:c r="V10" s="20" t="str">
        <x:v>판단불가</x:v>
      </x:c>
      <x:c r="W10" s="20" t="str">
        <x:v>검증불가</x:v>
      </x:c>
      <x:c r="X10" s="20" t="str">
        <x:v>정보 부족</x:v>
      </x:c>
      <x:c r="Y10" s="20" t="str"/>
      <x:c r="Z10" s="20" t="str"/>
      <x:c r="AA10" s="20" t="str"/>
      <x:c r="AB10" s="20" t="str"/>
      <x:c r="AC10" s="20" t="str"/>
      <x:c r="AD10" s="22" t="str"/>
      <x:c r="AE10" s="20" t="str"/>
      <x:c r="AF10" s="20" t="str"/>
      <x:c r="AG10" s="20" t="str">
        <x:v>N/A</x:v>
      </x:c>
      <x:c r="AH10" s="20" t="str">
        <x:v>판단불가</x:v>
      </x:c>
      <x:c r="AI10" s="20" t="str">
        <x:v>Y</x:v>
      </x:c>
      <x:c r="AJ10" s="20" t="str">
        <x:v>N/A</x:v>
      </x:c>
      <x:c r="AK10" s="20" t="str">
        <x:v>N/A</x:v>
      </x:c>
      <x:c r="AL10" s="20" t="str">
        <x:v>N/A</x:v>
      </x:c>
      <x:c r="AM10" s="20" t="str">
        <x:v>N/A</x:v>
      </x:c>
      <x:c r="AN10" s="20" t="str">
        <x:v>Y</x:v>
      </x:c>
      <x:c r="AO10" s="21" t="str"/>
    </x:row>
    <x:row r="11">
      <x:c r="A11" s="20" t="n">
        <x:v>7</x:v>
      </x:c>
      <x:c r="B11" s="20" t="str">
        <x:v>물가</x:v>
      </x:c>
      <x:c r="C11" s="20" t="str">
        <x:v>C05153</x:v>
      </x:c>
      <x:c r="D11" s="20" t="n">
        <x:v>655</x:v>
      </x:c>
      <x:c r="E11" s="21" t="str">
        <x:v>1월 생산자물가 17개월만에 최대폭 상승</x:v>
      </x:c>
      <x:c r="F11" s="21" t="str">
        <x:v>2025-02-20</x:v>
      </x:c>
      <x:c r="G11" s="21" t="str">
        <x:v>지난달 생산자물가가 오른 것은 농림수산품 물가가 전월 대비 4%, 공산품이 0.6% 오른 것 등이 영향을 줬다.</x:v>
      </x:c>
      <x:c r="H11" s="21" t="str">
        <x:v>https://www.chosun.com/economy/economy_general/2025/02/20/4S55OVIERZDWLG56V5RA5UHGCM</x:v>
      </x:c>
      <x:c r="I11" s="20" t="str">
        <x:v>수준값재검토</x:v>
      </x:c>
      <x:c r="J11" s="20" t="str">
        <x:v>N</x:v>
      </x:c>
      <x:c r="K11" s="20" t="str">
        <x:v>정보 부족</x:v>
      </x:c>
      <x:c r="L11" s="20" t="str"/>
      <x:c r="M11" s="20" t="str"/>
      <x:c r="N11" s="20" t="str"/>
      <x:c r="O11" s="20" t="str"/>
      <x:c r="P11" s="20" t="str"/>
      <x:c r="Q11" s="22" t="str"/>
      <x:c r="R11" s="20" t="str"/>
      <x:c r="S11" s="20" t="str"/>
      <x:c r="T11" s="23" t="str"/>
      <x:c r="U11" s="20" t="str">
        <x:v>N/A</x:v>
      </x:c>
      <x:c r="V11" s="20" t="str">
        <x:v>판단불가</x:v>
      </x:c>
      <x:c r="W11" s="20" t="str">
        <x:v>보류</x:v>
      </x:c>
      <x:c r="X11" s="20" t="str"/>
      <x:c r="Y11" s="20" t="str"/>
      <x:c r="Z11" s="20" t="str"/>
      <x:c r="AA11" s="20" t="str"/>
      <x:c r="AB11" s="20" t="str"/>
      <x:c r="AC11" s="20" t="str"/>
      <x:c r="AD11" s="22" t="str"/>
      <x:c r="AE11" s="20" t="str"/>
      <x:c r="AF11" s="20" t="str"/>
      <x:c r="AG11" s="20" t="str">
        <x:v>N/A</x:v>
      </x:c>
      <x:c r="AH11" s="20" t="str"/>
      <x:c r="AI11" s="20" t="str">
        <x:v>N</x:v>
      </x:c>
      <x:c r="AJ11" s="20" t="str">
        <x:v>N/A</x:v>
      </x:c>
      <x:c r="AK11" s="20" t="str">
        <x:v>N/A</x:v>
      </x:c>
      <x:c r="AL11" s="20" t="str">
        <x:v>N/A</x:v>
      </x:c>
      <x:c r="AM11" s="20" t="str">
        <x:v>N/A</x:v>
      </x:c>
      <x:c r="AN11" s="20" t="str">
        <x:v>N</x:v>
      </x:c>
      <x:c r="AO11" s="21" t="str"/>
    </x:row>
    <x:row r="12">
      <x:c r="A12" s="20" t="n">
        <x:v>8</x:v>
      </x:c>
      <x:c r="B12" s="20" t="str">
        <x:v>물가</x:v>
      </x:c>
      <x:c r="C12" s="20" t="str">
        <x:v>C05541</x:v>
      </x:c>
      <x:c r="D12" s="20" t="n">
        <x:v>708</x:v>
      </x:c>
      <x:c r="E12" s="21" t="str">
        <x:v>野, 물가 오른 만큼 세금 낮추도록 추진... 정부 “세수 급감 우려”</x:v>
      </x:c>
      <x:c r="F12" s="21" t="str">
        <x:v>2025-02-24</x:v>
      </x:c>
      <x:c r="G12" s="21" t="str">
        <x:v>한국도 물가 상승률이 5.1%에 달했던 2022년부터 도입 논의가 본격화됐다.</x:v>
      </x:c>
      <x:c r="H12" s="21" t="str">
        <x:v>https://www.chosun.com/economy/economy_general/2025/02/24/7EJ66MSEH5E3XC34QLAONQLK7U</x:v>
      </x:c>
      <x:c r="I12" s="20" t="str">
        <x:v>증감률재검토</x:v>
      </x:c>
      <x:c r="J12" s="20" t="str">
        <x:v>Y</x:v>
      </x:c>
      <x:c r="K12" s="20" t="str"/>
      <x:c r="L12" s="20" t="str">
        <x:v>DT_1J22003</x:v>
      </x:c>
      <x:c r="M12" s="20" t="str">
        <x:v>T10</x:v>
      </x:c>
      <x:c r="N12" s="20" t="str"/>
      <x:c r="O12" s="20" t="str">
        <x:v>T</x:v>
      </x:c>
      <x:c r="P12" s="20" t="str">
        <x:v>Y</x:v>
      </x:c>
      <x:c r="Q12" s="22" t="n">
        <x:v>5.1</x:v>
      </x:c>
      <x:c r="R12" s="20" t="str">
        <x:v>2022</x:v>
      </x:c>
      <x:c r="S12" s="20" t="str">
        <x:v>2021</x:v>
      </x:c>
      <x:c r="T12" s="23" t="n">
        <x:v>5.0926829268292675</x:v>
      </x:c>
      <x:c r="U12" s="20" t="str">
        <x:v>Y</x:v>
      </x:c>
      <x:c r="V12" s="20" t="str">
        <x:v>일치</x:v>
      </x:c>
      <x:c r="W12" s="20" t="str">
        <x:v>보류</x:v>
      </x:c>
      <x:c r="X12" s="20" t="str"/>
      <x:c r="Y12" s="20" t="str"/>
      <x:c r="Z12" s="20" t="str"/>
      <x:c r="AA12" s="20" t="str"/>
      <x:c r="AB12" s="20" t="str"/>
      <x:c r="AC12" s="20" t="str"/>
      <x:c r="AD12" s="22" t="str"/>
      <x:c r="AE12" s="20" t="str"/>
      <x:c r="AF12" s="20" t="str"/>
      <x:c r="AG12" s="20" t="str">
        <x:v>N/A</x:v>
      </x:c>
      <x:c r="AH12" s="20" t="str"/>
      <x:c r="AI12" s="20" t="str">
        <x:v>N</x:v>
      </x:c>
      <x:c r="AJ12" s="20" t="str">
        <x:v>N</x:v>
      </x:c>
      <x:c r="AK12" s="20" t="str">
        <x:v>N</x:v>
      </x:c>
      <x:c r="AL12" s="20" t="str">
        <x:v>N</x:v>
      </x:c>
      <x:c r="AM12" s="20" t="str">
        <x:v>N</x:v>
      </x:c>
      <x:c r="AN12" s="20" t="str">
        <x:v>N</x:v>
      </x:c>
      <x:c r="AO12" s="21" t="str"/>
    </x:row>
    <x:row r="13">
      <x:c r="A13" s="20" t="n">
        <x:v>9</x:v>
      </x:c>
      <x:c r="B13" s="20" t="str">
        <x:v>물가</x:v>
      </x:c>
      <x:c r="C13" s="20" t="str">
        <x:v>C05779</x:v>
      </x:c>
      <x:c r="D13" s="20" t="n">
        <x:v>735</x:v>
      </x:c>
      <x:c r="E13" s="21" t="str">
        <x:v>高환율·高물가 부담에도 내수 먼저 살린다</x:v>
      </x:c>
      <x:c r="F13" s="21" t="str">
        <x:v>2025-02-26</x:v>
      </x:c>
      <x:c r="G13" s="21" t="str">
        <x:v>내년 성장률 전망이 1.8%에 불과한 데 대해서는 “그게 우리 실력이므로 받아들여야 한다”고 했다.</x:v>
      </x:c>
      <x:c r="H13" s="21" t="str">
        <x:v>https://www.chosun.com/economy/economy_general/2025/02/26/3GHXEPBB2VAFXF5D63JKOXI6DM</x:v>
      </x:c>
      <x:c r="I13" s="20" t="str">
        <x:v>증감률재검토</x:v>
      </x:c>
      <x:c r="J13" s="20" t="str">
        <x:v>N</x:v>
      </x:c>
      <x:c r="K13" s="20" t="str">
        <x:v>정보 부족</x:v>
      </x:c>
      <x:c r="L13" s="20" t="str"/>
      <x:c r="M13" s="20" t="str"/>
      <x:c r="N13" s="20" t="str"/>
      <x:c r="O13" s="20" t="str"/>
      <x:c r="P13" s="20" t="str"/>
      <x:c r="Q13" s="22" t="str"/>
      <x:c r="R13" s="20" t="str"/>
      <x:c r="S13" s="20" t="str"/>
      <x:c r="T13" s="23" t="str"/>
      <x:c r="U13" s="20" t="str">
        <x:v>N/A</x:v>
      </x:c>
      <x:c r="V13" s="20" t="str">
        <x:v>판단불가</x:v>
      </x:c>
      <x:c r="W13" s="20" t="str">
        <x:v>검증불가</x:v>
      </x:c>
      <x:c r="X13" s="20" t="str">
        <x:v>정보 부족</x:v>
      </x:c>
      <x:c r="Y13" s="20" t="str"/>
      <x:c r="Z13" s="20" t="str"/>
      <x:c r="AA13" s="20" t="str"/>
      <x:c r="AB13" s="20" t="str"/>
      <x:c r="AC13" s="20" t="str"/>
      <x:c r="AD13" s="22" t="str"/>
      <x:c r="AE13" s="20" t="str"/>
      <x:c r="AF13" s="20" t="str"/>
      <x:c r="AG13" s="20" t="str">
        <x:v>N/A</x:v>
      </x:c>
      <x:c r="AH13" s="20" t="str">
        <x:v>판단불가</x:v>
      </x:c>
      <x:c r="AI13" s="20" t="str">
        <x:v>Y</x:v>
      </x:c>
      <x:c r="AJ13" s="20" t="str">
        <x:v>N/A</x:v>
      </x:c>
      <x:c r="AK13" s="20" t="str">
        <x:v>N/A</x:v>
      </x:c>
      <x:c r="AL13" s="20" t="str">
        <x:v>N/A</x:v>
      </x:c>
      <x:c r="AM13" s="20" t="str">
        <x:v>N/A</x:v>
      </x:c>
      <x:c r="AN13" s="20" t="str">
        <x:v>Y</x:v>
      </x:c>
      <x:c r="AO13" s="21" t="str"/>
    </x:row>
    <x:row r="14">
      <x:c r="A14" s="20" t="n">
        <x:v>10</x:v>
      </x:c>
      <x:c r="B14" s="20" t="str">
        <x:v>물가</x:v>
      </x:c>
      <x:c r="C14" s="20" t="str">
        <x:v>C06335</x:v>
      </x:c>
      <x:c r="D14" s="20" t="n">
        <x:v>796</x:v>
      </x:c>
      <x:c r="E14" s="21" t="str">
        <x:v>부메랑 된 관세 폭탄… 美 마이너스 성장 전망까지 나와</x:v>
      </x:c>
      <x:c r="F14" s="21" t="str">
        <x:v>2025-03-03</x:v>
      </x:c>
      <x:c r="G14" s="21" t="str">
        <x:v>앞서 발표된 1월 미국 소비자물가는 전년보다 3% 상승했다.</x:v>
      </x:c>
      <x:c r="H14" s="21" t="str">
        <x:v>https://www.chosun.com/economy/economy_general/2025/03/03/3OVOYQUAXRCYFFCODMWO5MJ64A</x:v>
      </x:c>
      <x:c r="I14" s="20" t="str">
        <x:v>증감률재검토</x:v>
      </x:c>
      <x:c r="J14" s="20" t="str">
        <x:v>N</x:v>
      </x:c>
      <x:c r="K14" s="20" t="str">
        <x:v>KOSIS 미제공</x:v>
      </x:c>
      <x:c r="L14" s="20" t="str"/>
      <x:c r="M14" s="20" t="str"/>
      <x:c r="N14" s="20" t="str"/>
      <x:c r="O14" s="20" t="str"/>
      <x:c r="P14" s="20" t="str"/>
      <x:c r="Q14" s="22" t="str"/>
      <x:c r="R14" s="20" t="str"/>
      <x:c r="S14" s="20" t="str"/>
      <x:c r="T14" s="23" t="str"/>
      <x:c r="U14" s="20" t="str">
        <x:v>N/A</x:v>
      </x:c>
      <x:c r="V14" s="20" t="str">
        <x:v>판단불가</x:v>
      </x:c>
      <x:c r="W14" s="20" t="str">
        <x:v>검증불가</x:v>
      </x:c>
      <x:c r="X14" s="20" t="str">
        <x:v>KOSIS 미제공</x:v>
      </x:c>
      <x:c r="Y14" s="20" t="str"/>
      <x:c r="Z14" s="20" t="str"/>
      <x:c r="AA14" s="20" t="str"/>
      <x:c r="AB14" s="20" t="str"/>
      <x:c r="AC14" s="20" t="str"/>
      <x:c r="AD14" s="22" t="str"/>
      <x:c r="AE14" s="20" t="str"/>
      <x:c r="AF14" s="20" t="str"/>
      <x:c r="AG14" s="20" t="str">
        <x:v>N/A</x:v>
      </x:c>
      <x:c r="AH14" s="20" t="str">
        <x:v>판단불가</x:v>
      </x:c>
      <x:c r="AI14" s="20" t="str">
        <x:v>Y</x:v>
      </x:c>
      <x:c r="AJ14" s="20" t="str">
        <x:v>N/A</x:v>
      </x:c>
      <x:c r="AK14" s="20" t="str">
        <x:v>N/A</x:v>
      </x:c>
      <x:c r="AL14" s="20" t="str">
        <x:v>N/A</x:v>
      </x:c>
      <x:c r="AM14" s="20" t="str">
        <x:v>N/A</x:v>
      </x:c>
      <x:c r="AN14" s="20" t="str">
        <x:v>Y</x:v>
      </x:c>
      <x:c r="AO14" s="21" t="str"/>
    </x:row>
    <x:row r="15">
      <x:c r="A15" s="20" t="n">
        <x:v>11</x:v>
      </x:c>
      <x:c r="B15" s="20" t="str">
        <x:v>물가</x:v>
      </x:c>
      <x:c r="C15" s="20" t="str">
        <x:v>C09082</x:v>
      </x:c>
      <x:c r="D15" s="20" t="n">
        <x:v>1176</x:v>
      </x:c>
      <x:c r="E15" s="21" t="str">
        <x:v>의성 마늘·청송 사과… 먹거리 물가도 비상</x:v>
      </x:c>
      <x:c r="F15" s="21" t="str">
        <x:v>2025-04-01</x:v>
      </x:c>
      <x:c r="G15" s="21" t="str">
        <x:v>전국 마늘 생산의 38%를 담당하는 의성군 농가들도 비상이 걸렸다.</x:v>
      </x:c>
      <x:c r="H15" s="21" t="str">
        <x:v>https://www.chosun.com/economy/economy_general/2025/04/01/OCXI4WN3PBCMBAAWAGM2HDZ34U</x:v>
      </x:c>
      <x:c r="I15" s="20" t="str">
        <x:v>수준값재검토</x:v>
      </x:c>
      <x:c r="J15" s="20" t="str">
        <x:v>N</x:v>
      </x:c>
      <x:c r="K15" s="20" t="str">
        <x:v>지역·분류 불일치</x:v>
      </x:c>
      <x:c r="L15" s="20" t="str"/>
      <x:c r="M15" s="20" t="str"/>
      <x:c r="N15" s="20" t="str"/>
      <x:c r="O15" s="20" t="str"/>
      <x:c r="P15" s="20" t="str"/>
      <x:c r="Q15" s="22" t="str"/>
      <x:c r="R15" s="20" t="str"/>
      <x:c r="S15" s="20" t="str"/>
      <x:c r="T15" s="23" t="str"/>
      <x:c r="U15" s="20" t="str">
        <x:v>N/A</x:v>
      </x:c>
      <x:c r="V15" s="20" t="str">
        <x:v>판단불가</x:v>
      </x:c>
      <x:c r="W15" s="20" t="str">
        <x:v>보류</x:v>
      </x:c>
      <x:c r="X15" s="20" t="str"/>
      <x:c r="Y15" s="20" t="str"/>
      <x:c r="Z15" s="20" t="str"/>
      <x:c r="AA15" s="20" t="str"/>
      <x:c r="AB15" s="20" t="str"/>
      <x:c r="AC15" s="20" t="str"/>
      <x:c r="AD15" s="22" t="str"/>
      <x:c r="AE15" s="20" t="str"/>
      <x:c r="AF15" s="20" t="str"/>
      <x:c r="AG15" s="20" t="str">
        <x:v>N/A</x:v>
      </x:c>
      <x:c r="AH15" s="20" t="str"/>
      <x:c r="AI15" s="20" t="str">
        <x:v>N</x:v>
      </x:c>
      <x:c r="AJ15" s="20" t="str">
        <x:v>N/A</x:v>
      </x:c>
      <x:c r="AK15" s="20" t="str">
        <x:v>N/A</x:v>
      </x:c>
      <x:c r="AL15" s="20" t="str">
        <x:v>N/A</x:v>
      </x:c>
      <x:c r="AM15" s="20" t="str">
        <x:v>N/A</x:v>
      </x:c>
      <x:c r="AN15" s="20" t="str">
        <x:v>N</x:v>
      </x:c>
      <x:c r="AO15" s="21" t="str"/>
    </x:row>
    <x:row r="16">
      <x:c r="A16" s="20" t="n">
        <x:v>12</x:v>
      </x:c>
      <x:c r="B16" s="20" t="str">
        <x:v>물가</x:v>
      </x:c>
      <x:c r="C16" s="20" t="str">
        <x:v>C15363</x:v>
      </x:c>
      <x:c r="D16" s="20" t="n">
        <x:v>2018</x:v>
      </x:c>
      <x:c r="E16" s="21" t="str">
        <x:v>돼지고기·계란 고공행진… 축산물 물가 6% 올라</x:v>
      </x:c>
      <x:c r="F16" s="21" t="str">
        <x:v>2025-06-05</x:v>
      </x:c>
      <x:c r="G16" s="21" t="str">
        <x:v>이에 가격이 변하면 소비자들이 민감하게 반응하는 144품목만 추려서 작성한 생활 물가는 전년 동월 대비 2.3% 오르며, 올 들어 최저 상승 폭을 보였다.</x:v>
      </x:c>
      <x:c r="H16" s="21" t="str">
        <x:v>https://www.chosun.com/economy/economy_general/2025/06/05/7CAZV7VZIVDGVJTCK22YR6RKMI</x:v>
      </x:c>
      <x:c r="I16" s="20" t="str">
        <x:v>증감률재검토</x:v>
      </x:c>
      <x:c r="J16" s="20" t="str">
        <x:v>Y</x:v>
      </x:c>
      <x:c r="K16" s="20" t="str"/>
      <x:c r="L16" s="20" t="str">
        <x:v>DT_1J22042</x:v>
      </x:c>
      <x:c r="M16" s="20" t="str">
        <x:v>1</x:v>
      </x:c>
      <x:c r="N16" s="20" t="str"/>
      <x:c r="O16" s="20" t="str">
        <x:v>T03</x:v>
      </x:c>
      <x:c r="P16" s="20" t="str">
        <x:v>M</x:v>
      </x:c>
      <x:c r="Q16" s="22" t="n">
        <x:v>2.3</x:v>
      </x:c>
      <x:c r="R16" s="20" t="str">
        <x:v>202505</x:v>
      </x:c>
      <x:c r="S16" s="20" t="str"/>
      <x:c r="T16" s="23" t="n">
        <x:v>2.3</x:v>
      </x:c>
      <x:c r="U16" s="20" t="str">
        <x:v>Y</x:v>
      </x:c>
      <x:c r="V16" s="20" t="str">
        <x:v>일치</x:v>
      </x:c>
      <x:c r="W16" s="20" t="str">
        <x:v>보류</x:v>
      </x:c>
      <x:c r="X16" s="20" t="str"/>
      <x:c r="Y16" s="20" t="str"/>
      <x:c r="Z16" s="20" t="str"/>
      <x:c r="AA16" s="20" t="str"/>
      <x:c r="AB16" s="20" t="str"/>
      <x:c r="AC16" s="20" t="str"/>
      <x:c r="AD16" s="22" t="str"/>
      <x:c r="AE16" s="20" t="str"/>
      <x:c r="AF16" s="20" t="str"/>
      <x:c r="AG16" s="20" t="str">
        <x:v>N/A</x:v>
      </x:c>
      <x:c r="AH16" s="20" t="str"/>
      <x:c r="AI16" s="20" t="str">
        <x:v>N</x:v>
      </x:c>
      <x:c r="AJ16" s="20" t="str">
        <x:v>N</x:v>
      </x:c>
      <x:c r="AK16" s="20" t="str">
        <x:v>N</x:v>
      </x:c>
      <x:c r="AL16" s="20" t="str">
        <x:v>N</x:v>
      </x:c>
      <x:c r="AM16" s="20" t="str">
        <x:v>N</x:v>
      </x:c>
      <x:c r="AN16" s="20" t="str">
        <x:v>N</x:v>
      </x:c>
      <x:c r="AO16" s="21" t="str"/>
    </x:row>
    <x:row r="17">
      <x:c r="A17" s="20" t="n">
        <x:v>13</x:v>
      </x:c>
      <x:c r="B17" s="20" t="str">
        <x:v>물가</x:v>
      </x:c>
      <x:c r="C17" s="20" t="str">
        <x:v>C16267</x:v>
      </x:c>
      <x:c r="D17" s="20" t="n">
        <x:v>2140</x:v>
      </x:c>
      <x:c r="E17" s="21" t="str">
        <x:v>[주간코인시황] 상승세 타던 비트코인, 중동발 리스크에 하락</x:v>
      </x:c>
      <x:c r="F17" s="21" t="str">
        <x:v>2025-06-14</x:v>
      </x:c>
      <x:c r="G17" s="21" t="str">
        <x:v>◇ 금리 인하 기대에 상승했던 비트코인, 지정학 리스크에 급락 반전 비트코인의 상승 배경에는 미국의 5월 소비자물가지수(CPI)·생산자물가지수(PPI)가 모두 시장 예상치를 하회하면서 인플레이션 둔화가 재확인된 점이 있다.</x:v>
      </x:c>
      <x:c r="H17" s="21" t="str">
        <x:v>https://www.chosun.com/economy/money/2025/06/14/YCXLFRBNMGYH3IQKSCZ2L5JGOI</x:v>
      </x:c>
      <x:c r="I17" s="20" t="str">
        <x:v>판단불가</x:v>
      </x:c>
      <x:c r="J17" s="20" t="str">
        <x:v>N</x:v>
      </x:c>
      <x:c r="K17" s="20" t="str">
        <x:v>KOSIS 미제공</x:v>
      </x:c>
      <x:c r="L17" s="20" t="str"/>
      <x:c r="M17" s="20" t="str"/>
      <x:c r="N17" s="20" t="str"/>
      <x:c r="O17" s="20" t="str"/>
      <x:c r="P17" s="20" t="str"/>
      <x:c r="Q17" s="22" t="str"/>
      <x:c r="R17" s="20" t="str"/>
      <x:c r="S17" s="20" t="str"/>
      <x:c r="T17" s="23" t="str"/>
      <x:c r="U17" s="20" t="str">
        <x:v>N/A</x:v>
      </x:c>
      <x:c r="V17" s="20" t="str">
        <x:v>판단불가</x:v>
      </x:c>
      <x:c r="W17" s="20" t="str">
        <x:v>검증불가</x:v>
      </x:c>
      <x:c r="X17" s="20" t="str">
        <x:v>정보 부족</x:v>
      </x:c>
      <x:c r="Y17" s="20" t="str"/>
      <x:c r="Z17" s="20" t="str"/>
      <x:c r="AA17" s="20" t="str"/>
      <x:c r="AB17" s="20" t="str"/>
      <x:c r="AC17" s="20" t="str"/>
      <x:c r="AD17" s="22" t="str"/>
      <x:c r="AE17" s="20" t="str"/>
      <x:c r="AF17" s="20" t="str"/>
      <x:c r="AG17" s="20" t="str">
        <x:v>N/A</x:v>
      </x:c>
      <x:c r="AH17" s="20" t="str">
        <x:v>판단불가</x:v>
      </x:c>
      <x:c r="AI17" s="20" t="str">
        <x:v>Y</x:v>
      </x:c>
      <x:c r="AJ17" s="20" t="str">
        <x:v>N/A</x:v>
      </x:c>
      <x:c r="AK17" s="20" t="str">
        <x:v>N/A</x:v>
      </x:c>
      <x:c r="AL17" s="20" t="str">
        <x:v>N/A</x:v>
      </x:c>
      <x:c r="AM17" s="20" t="str">
        <x:v>N/A</x:v>
      </x:c>
      <x:c r="AN17" s="20" t="str">
        <x:v>Y</x:v>
      </x:c>
      <x:c r="AO17" s="21" t="str"/>
    </x:row>
    <x:row r="18">
      <x:c r="A18" s="20" t="n">
        <x:v>14</x:v>
      </x:c>
      <x:c r="B18" s="20" t="str">
        <x:v>물가</x:v>
      </x:c>
      <x:c r="C18" s="20" t="str">
        <x:v>C18189</x:v>
      </x:c>
      <x:c r="D18" s="20" t="n">
        <x:v>2385</x:v>
      </x:c>
      <x:c r="E18" s="21" t="str">
        <x:v>허리 휘겠네… 가공식품 73 품목 중 62개가 올랐다</x:v>
      </x:c>
      <x:c r="F18" s="21" t="str">
        <x:v>2025-07-03</x:v>
      </x:c>
      <x:c r="G18" s="21" t="str">
        <x:v>2일 통계청은 ‘6월 소비자 물가 동향’에서 지난달 소비자 물가가 작년 동월 대비 2.2% 올랐다고 밝혔다.</x:v>
      </x:c>
      <x:c r="H18" s="21" t="str">
        <x:v>https://www.chosun.com/economy/economy_general/2025/07/03/JEUGULFQ25DL7CC2HWSYW5VDUE</x:v>
      </x:c>
      <x:c r="I18" s="20" t="str">
        <x:v>증감률재검토</x:v>
      </x:c>
      <x:c r="J18" s="20" t="str">
        <x:v>Y</x:v>
      </x:c>
      <x:c r="K18" s="20" t="str"/>
      <x:c r="L18" s="20" t="str">
        <x:v>DT_1J22042</x:v>
      </x:c>
      <x:c r="M18" s="20" t="str">
        <x:v>0</x:v>
      </x:c>
      <x:c r="N18" s="20" t="str"/>
      <x:c r="O18" s="20" t="str">
        <x:v>T03</x:v>
      </x:c>
      <x:c r="P18" s="20" t="str">
        <x:v>M</x:v>
      </x:c>
      <x:c r="Q18" s="22" t="n">
        <x:v>2.2</x:v>
      </x:c>
      <x:c r="R18" s="20" t="str">
        <x:v>202506</x:v>
      </x:c>
      <x:c r="S18" s="20" t="str"/>
      <x:c r="T18" s="23" t="n">
        <x:v>2.2</x:v>
      </x:c>
      <x:c r="U18" s="20" t="str">
        <x:v>Y</x:v>
      </x:c>
      <x:c r="V18" s="20" t="str">
        <x:v>일치</x:v>
      </x:c>
      <x:c r="W18" s="20" t="str">
        <x:v>보류</x:v>
      </x:c>
      <x:c r="X18" s="20" t="str"/>
      <x:c r="Y18" s="20" t="str"/>
      <x:c r="Z18" s="20" t="str"/>
      <x:c r="AA18" s="20" t="str"/>
      <x:c r="AB18" s="20" t="str"/>
      <x:c r="AC18" s="20" t="str"/>
      <x:c r="AD18" s="22" t="str"/>
      <x:c r="AE18" s="20" t="str"/>
      <x:c r="AF18" s="20" t="str"/>
      <x:c r="AG18" s="20" t="str">
        <x:v>N/A</x:v>
      </x:c>
      <x:c r="AH18" s="20" t="str"/>
      <x:c r="AI18" s="20" t="str">
        <x:v>N</x:v>
      </x:c>
      <x:c r="AJ18" s="20" t="str">
        <x:v>N</x:v>
      </x:c>
      <x:c r="AK18" s="20" t="str">
        <x:v>N</x:v>
      </x:c>
      <x:c r="AL18" s="20" t="str">
        <x:v>N</x:v>
      </x:c>
      <x:c r="AM18" s="20" t="str">
        <x:v>N</x:v>
      </x:c>
      <x:c r="AN18" s="20" t="str">
        <x:v>N</x:v>
      </x:c>
      <x:c r="AO18" s="21" t="str"/>
    </x:row>
    <x:row r="19">
      <x:c r="A19" s="20" t="n">
        <x:v>15</x:v>
      </x:c>
      <x:c r="B19" s="20" t="str">
        <x:v>물가</x:v>
      </x:c>
      <x:c r="C19" s="20" t="str">
        <x:v>C18204</x:v>
      </x:c>
      <x:c r="D19" s="20" t="n">
        <x:v>2385</x:v>
      </x:c>
      <x:c r="E19" s="21" t="str">
        <x:v>허리 휘겠네… 가공식품 73 품목 중 62개가 올랐다</x:v>
      </x:c>
      <x:c r="F19" s="21" t="str">
        <x:v>2025-07-03</x:v>
      </x:c>
      <x:c r="G19" s="21" t="str">
        <x:v>통계청이 집계하는 가공식품 품목 73개 가운데 라면과 초콜릿(20.4%), 고추장(14.2%), 김치(14.2%), 빵(6.4%) 등 62개 가격이 올라 지난달 가공식품 물가는 4.6%나 뛰었다.</x:v>
      </x:c>
      <x:c r="H19" s="21" t="str">
        <x:v>https://www.chosun.com/economy/economy_general/2025/07/03/JEUGULFQ25DL7CC2HWSYW5VDUE</x:v>
      </x:c>
      <x:c r="I19" s="20" t="str">
        <x:v>수준값재검토</x:v>
      </x:c>
      <x:c r="J19" s="20" t="str">
        <x:v>Y</x:v>
      </x:c>
      <x:c r="K19" s="20" t="str"/>
      <x:c r="L19" s="20" t="str">
        <x:v>DT_1J22112</x:v>
      </x:c>
      <x:c r="M19" s="20" t="str">
        <x:v>T10</x:v>
      </x:c>
      <x:c r="N19" s="20" t="str">
        <x:v>B01</x:v>
      </x:c>
      <x:c r="O19" s="20" t="str">
        <x:v>T</x:v>
      </x:c>
      <x:c r="P19" s="20" t="str">
        <x:v>M</x:v>
      </x:c>
      <x:c r="Q19" s="22" t="n">
        <x:v>4.6</x:v>
      </x:c>
      <x:c r="R19" s="20" t="str">
        <x:v>202506</x:v>
      </x:c>
      <x:c r="S19" s="20" t="str">
        <x:v>202406</x:v>
      </x:c>
      <x:c r="T19" s="23" t="n">
        <x:v>4.595480131059396</x:v>
      </x:c>
      <x:c r="U19" s="20" t="str">
        <x:v>Y</x:v>
      </x:c>
      <x:c r="V19" s="20" t="str">
        <x:v>일치</x:v>
      </x:c>
      <x:c r="W19" s="20" t="str">
        <x:v>보류</x:v>
      </x:c>
      <x:c r="X19" s="20" t="str"/>
      <x:c r="Y19" s="20" t="str"/>
      <x:c r="Z19" s="20" t="str"/>
      <x:c r="AA19" s="20" t="str"/>
      <x:c r="AB19" s="20" t="str"/>
      <x:c r="AC19" s="20" t="str"/>
      <x:c r="AD19" s="22" t="str"/>
      <x:c r="AE19" s="20" t="str"/>
      <x:c r="AF19" s="20" t="str"/>
      <x:c r="AG19" s="20" t="str">
        <x:v>N/A</x:v>
      </x:c>
      <x:c r="AH19" s="20" t="str"/>
      <x:c r="AI19" s="20" t="str">
        <x:v>N</x:v>
      </x:c>
      <x:c r="AJ19" s="20" t="str">
        <x:v>N</x:v>
      </x:c>
      <x:c r="AK19" s="20" t="str">
        <x:v>N</x:v>
      </x:c>
      <x:c r="AL19" s="20" t="str">
        <x:v>N</x:v>
      </x:c>
      <x:c r="AM19" s="20" t="str">
        <x:v>N</x:v>
      </x:c>
      <x:c r="AN19" s="20" t="str">
        <x:v>N</x:v>
      </x:c>
      <x:c r="AO19" s="21" t="str"/>
    </x:row>
    <x:row r="20">
      <x:c r="A20" s="20" t="n">
        <x:v>16</x:v>
      </x:c>
      <x:c r="B20" s="20" t="str">
        <x:v>물가</x:v>
      </x:c>
      <x:c r="C20" s="20" t="str">
        <x:v>C18209</x:v>
      </x:c>
      <x:c r="D20" s="20" t="n">
        <x:v>2385</x:v>
      </x:c>
      <x:c r="E20" s="21" t="str">
        <x:v>허리 휘겠네… 가공식품 73 품목 중 62개가 올랐다</x:v>
      </x:c>
      <x:c r="F20" s="21" t="str">
        <x:v>2025-07-03</x:v>
      </x:c>
      <x:c r="G20" s="21" t="str">
        <x:v>라면에 계란을 풀어 파는 외식 라면 물가도 지난달 4%나 뛰었다.</x:v>
      </x:c>
      <x:c r="H20" s="21" t="str">
        <x:v>https://www.chosun.com/economy/economy_general/2025/07/03/JEUGULFQ25DL7CC2HWSYW5VDUE</x:v>
      </x:c>
      <x:c r="I20" s="20" t="str">
        <x:v>수준값재검토</x:v>
      </x:c>
      <x:c r="J20" s="20" t="str">
        <x:v>Y</x:v>
      </x:c>
      <x:c r="K20" s="20" t="str"/>
      <x:c r="L20" s="20" t="str">
        <x:v>DT_1J22112</x:v>
      </x:c>
      <x:c r="M20" s="20" t="str">
        <x:v>T10</x:v>
      </x:c>
      <x:c r="N20" s="20" t="str">
        <x:v>F01K01126</x:v>
      </x:c>
      <x:c r="O20" s="20" t="str">
        <x:v>T</x:v>
      </x:c>
      <x:c r="P20" s="20" t="str">
        <x:v>M</x:v>
      </x:c>
      <x:c r="Q20" s="22" t="n">
        <x:v>4</x:v>
      </x:c>
      <x:c r="R20" s="20" t="str">
        <x:v>202506</x:v>
      </x:c>
      <x:c r="S20" s="20" t="str">
        <x:v>202406</x:v>
      </x:c>
      <x:c r="T20" s="23" t="n">
        <x:v>3.990536277602537</x:v>
      </x:c>
      <x:c r="U20" s="20" t="str">
        <x:v>Y</x:v>
      </x:c>
      <x:c r="V20" s="20" t="str">
        <x:v>일치</x:v>
      </x:c>
      <x:c r="W20" s="20" t="str">
        <x:v>보류</x:v>
      </x:c>
      <x:c r="X20" s="20" t="str"/>
      <x:c r="Y20" s="20" t="str"/>
      <x:c r="Z20" s="20" t="str"/>
      <x:c r="AA20" s="20" t="str"/>
      <x:c r="AB20" s="20" t="str"/>
      <x:c r="AC20" s="20" t="str"/>
      <x:c r="AD20" s="22" t="str"/>
      <x:c r="AE20" s="20" t="str"/>
      <x:c r="AF20" s="20" t="str"/>
      <x:c r="AG20" s="20" t="str">
        <x:v>N/A</x:v>
      </x:c>
      <x:c r="AH20" s="20" t="str"/>
      <x:c r="AI20" s="20" t="str">
        <x:v>N</x:v>
      </x:c>
      <x:c r="AJ20" s="20" t="str">
        <x:v>N</x:v>
      </x:c>
      <x:c r="AK20" s="20" t="str">
        <x:v>N</x:v>
      </x:c>
      <x:c r="AL20" s="20" t="str">
        <x:v>N</x:v>
      </x:c>
      <x:c r="AM20" s="20" t="str">
        <x:v>N</x:v>
      </x:c>
      <x:c r="AN20" s="20" t="str">
        <x:v>N</x:v>
      </x:c>
      <x:c r="AO20" s="21" t="str"/>
    </x:row>
    <x:row r="21">
      <x:c r="A21" s="20" t="n">
        <x:v>17</x:v>
      </x:c>
      <x:c r="B21" s="20" t="str">
        <x:v>물가</x:v>
      </x:c>
      <x:c r="C21" s="20" t="str">
        <x:v>C18575</x:v>
      </x:c>
      <x:c r="D21" s="20" t="n">
        <x:v>2434</x:v>
      </x:c>
      <x:c r="E21" s="21" t="str">
        <x:v>가파른 가공식품 물가 상승세... 정부, 이달 라면·빵 등 반값 할인 행사 연다</x:v>
      </x:c>
      <x:c r="F21" s="21" t="str">
        <x:v>2025-07-07</x:v>
      </x:c>
      <x:c r="G21" s="21" t="str">
        <x:v>통계청에 따르면, 지난달 가공식품 물가 상승률은 전년 대비 4.6%로, 2023년 11월(5.1%) 이후 19개월 만에 가장 높았다.</x:v>
      </x:c>
      <x:c r="H21" s="21" t="str">
        <x:v>https://www.chosun.com/economy/economy_general/2025/07/07/HWRBILKDRFB4PDMSMTYE3MOO5M</x:v>
      </x:c>
      <x:c r="I21" s="20" t="str">
        <x:v>증감률재검토</x:v>
      </x:c>
      <x:c r="J21" s="20" t="str">
        <x:v>Y</x:v>
      </x:c>
      <x:c r="K21" s="20" t="str"/>
      <x:c r="L21" s="20" t="str">
        <x:v>DT_1J22112</x:v>
      </x:c>
      <x:c r="M21" s="20" t="str">
        <x:v>T10</x:v>
      </x:c>
      <x:c r="N21" s="20" t="str">
        <x:v>B01</x:v>
      </x:c>
      <x:c r="O21" s="20" t="str">
        <x:v>T</x:v>
      </x:c>
      <x:c r="P21" s="20" t="str">
        <x:v>M</x:v>
      </x:c>
      <x:c r="Q21" s="22" t="n">
        <x:v>4.6</x:v>
      </x:c>
      <x:c r="R21" s="20" t="str">
        <x:v>202506</x:v>
      </x:c>
      <x:c r="S21" s="20" t="str">
        <x:v>202406</x:v>
      </x:c>
      <x:c r="T21" s="23" t="n">
        <x:v>4.595480131059396</x:v>
      </x:c>
      <x:c r="U21" s="20" t="str">
        <x:v>Y</x:v>
      </x:c>
      <x:c r="V21" s="20" t="str">
        <x:v>일치</x:v>
      </x:c>
      <x:c r="W21" s="20" t="str">
        <x:v>보류</x:v>
      </x:c>
      <x:c r="X21" s="20" t="str"/>
      <x:c r="Y21" s="20" t="str"/>
      <x:c r="Z21" s="20" t="str"/>
      <x:c r="AA21" s="20" t="str"/>
      <x:c r="AB21" s="20" t="str"/>
      <x:c r="AC21" s="20" t="str"/>
      <x:c r="AD21" s="22" t="str"/>
      <x:c r="AE21" s="20" t="str"/>
      <x:c r="AF21" s="20" t="str"/>
      <x:c r="AG21" s="20" t="str">
        <x:v>N/A</x:v>
      </x:c>
      <x:c r="AH21" s="20" t="str"/>
      <x:c r="AI21" s="20" t="str">
        <x:v>N</x:v>
      </x:c>
      <x:c r="AJ21" s="20" t="str">
        <x:v>N</x:v>
      </x:c>
      <x:c r="AK21" s="20" t="str">
        <x:v>N</x:v>
      </x:c>
      <x:c r="AL21" s="20" t="str">
        <x:v>N</x:v>
      </x:c>
      <x:c r="AM21" s="20" t="str">
        <x:v>N</x:v>
      </x:c>
      <x:c r="AN21" s="20" t="str">
        <x:v>N</x:v>
      </x:c>
      <x:c r="AO21" s="21" t="str"/>
    </x:row>
    <x:row r="22">
      <x:c r="A22" s="20" t="n">
        <x:v>18</x:v>
      </x:c>
      <x:c r="B22" s="20" t="str">
        <x:v>물가</x:v>
      </x:c>
      <x:c r="C22" s="20" t="str">
        <x:v>C18696</x:v>
      </x:c>
      <x:c r="D22" s="20" t="n">
        <x:v>2450</x:v>
      </x:c>
      <x:c r="E22" s="21" t="str">
        <x:v>“집값 못 잡으면 재정 지출 늘려도 내수 안 살아나”</x:v>
      </x:c>
      <x:c r="F22" s="21" t="str">
        <x:v>2025-07-08</x:v>
      </x:c>
      <x:c r="G22" s="21" t="str">
        <x:v>넷째, 한국은행이 기준금리를 0.12%포인트 인상하면 물가는 0.09%포인트 하락했다.</x:v>
      </x:c>
      <x:c r="H22" s="21" t="str">
        <x:v>https://www.chosun.com/economy/economy_general/2025/07/08/SA6WVXYNPFDFBMQTLTRXP2I7UM</x:v>
      </x:c>
      <x:c r="I22" s="20" t="str">
        <x:v>판단불가</x:v>
      </x:c>
      <x:c r="J22" s="20" t="str">
        <x:v>N</x:v>
      </x:c>
      <x:c r="K22" s="20" t="str">
        <x:v>KOSIS 미제공</x:v>
      </x:c>
      <x:c r="L22" s="20" t="str"/>
      <x:c r="M22" s="20" t="str"/>
      <x:c r="N22" s="20" t="str"/>
      <x:c r="O22" s="20" t="str"/>
      <x:c r="P22" s="20" t="str"/>
      <x:c r="Q22" s="22" t="str"/>
      <x:c r="R22" s="20" t="str"/>
      <x:c r="S22" s="20" t="str"/>
      <x:c r="T22" s="23" t="str"/>
      <x:c r="U22" s="20" t="str">
        <x:v>N/A</x:v>
      </x:c>
      <x:c r="V22" s="20" t="str">
        <x:v>판단불가</x:v>
      </x:c>
      <x:c r="W22" s="20" t="str">
        <x:v>보류</x:v>
      </x:c>
      <x:c r="X22" s="20" t="str"/>
      <x:c r="Y22" s="20" t="str"/>
      <x:c r="Z22" s="20" t="str"/>
      <x:c r="AA22" s="20" t="str"/>
      <x:c r="AB22" s="20" t="str"/>
      <x:c r="AC22" s="20" t="str"/>
      <x:c r="AD22" s="22" t="str"/>
      <x:c r="AE22" s="20" t="str"/>
      <x:c r="AF22" s="20" t="str"/>
      <x:c r="AG22" s="20" t="str">
        <x:v>N/A</x:v>
      </x:c>
      <x:c r="AH22" s="20" t="str"/>
      <x:c r="AI22" s="20" t="str">
        <x:v>N</x:v>
      </x:c>
      <x:c r="AJ22" s="20" t="str">
        <x:v>N/A</x:v>
      </x:c>
      <x:c r="AK22" s="20" t="str">
        <x:v>N/A</x:v>
      </x:c>
      <x:c r="AL22" s="20" t="str">
        <x:v>N/A</x:v>
      </x:c>
      <x:c r="AM22" s="20" t="str">
        <x:v>N/A</x:v>
      </x:c>
      <x:c r="AN22" s="20" t="str">
        <x:v>N</x:v>
      </x:c>
      <x:c r="AO22" s="21" t="str"/>
    </x:row>
    <x:row r="23">
      <x:c r="A23" s="20" t="n">
        <x:v>19</x:v>
      </x:c>
      <x:c r="B23" s="20" t="str">
        <x:v>물가</x:v>
      </x:c>
      <x:c r="C23" s="20" t="str">
        <x:v>C19740</x:v>
      </x:c>
      <x:c r="D23" s="20" t="n">
        <x:v>2605</x:v>
      </x:c>
      <x:c r="E23" s="21" t="str">
        <x:v>통신료·외식 할인 종료… 생활물가, 전월比 1%P 상승</x:v>
      </x:c>
      <x:c r="F23" s="21" t="str">
        <x:v>2025-10-02</x:v>
      </x:c>
      <x:c r="G23" s="21" t="str">
        <x:v>이로 인해 지난달 휴대전화 요금은 전월 대비 26.7% 오른 것으로 나타났다.</x:v>
      </x:c>
      <x:c r="H23" s="21" t="str">
        <x:v>https://biz.chosun.com/policy/policy_sub/2025/10/02/RYCCY5GNCFCR5DLWADJPTZI4RI/</x:v>
      </x:c>
      <x:c r="I23" s="20" t="str">
        <x:v>수준값재검토</x:v>
      </x:c>
      <x:c r="J23" s="20" t="str">
        <x:v>Y</x:v>
      </x:c>
      <x:c r="K23" s="20" t="str"/>
      <x:c r="L23" s="20" t="str">
        <x:v>DT_1J22112</x:v>
      </x:c>
      <x:c r="M23" s="20" t="str">
        <x:v>T10</x:v>
      </x:c>
      <x:c r="N23" s="20" t="str">
        <x:v>E01H03102</x:v>
      </x:c>
      <x:c r="O23" s="20" t="str">
        <x:v>T</x:v>
      </x:c>
      <x:c r="P23" s="20" t="str">
        <x:v>M</x:v>
      </x:c>
      <x:c r="Q23" s="22" t="n">
        <x:v>26.7</x:v>
      </x:c>
      <x:c r="R23" s="20" t="str">
        <x:v>202509</x:v>
      </x:c>
      <x:c r="S23" s="20" t="str">
        <x:v>202508</x:v>
      </x:c>
      <x:c r="T23" s="23" t="n">
        <x:v>26.651763537009447</x:v>
      </x:c>
      <x:c r="U23" s="20" t="str">
        <x:v>Y</x:v>
      </x:c>
      <x:c r="V23" s="20" t="str">
        <x:v>일치</x:v>
      </x:c>
      <x:c r="W23" s="20" t="str">
        <x:v>보류</x:v>
      </x:c>
      <x:c r="X23" s="20" t="str"/>
      <x:c r="Y23" s="20" t="str"/>
      <x:c r="Z23" s="20" t="str"/>
      <x:c r="AA23" s="20" t="str"/>
      <x:c r="AB23" s="20" t="str"/>
      <x:c r="AC23" s="20" t="str"/>
      <x:c r="AD23" s="22" t="str"/>
      <x:c r="AE23" s="20" t="str"/>
      <x:c r="AF23" s="20" t="str"/>
      <x:c r="AG23" s="20" t="str">
        <x:v>N/A</x:v>
      </x:c>
      <x:c r="AH23" s="20" t="str"/>
      <x:c r="AI23" s="20" t="str">
        <x:v>N</x:v>
      </x:c>
      <x:c r="AJ23" s="20" t="str">
        <x:v>N</x:v>
      </x:c>
      <x:c r="AK23" s="20" t="str">
        <x:v>N</x:v>
      </x:c>
      <x:c r="AL23" s="20" t="str">
        <x:v>N</x:v>
      </x:c>
      <x:c r="AM23" s="20" t="str">
        <x:v>N</x:v>
      </x:c>
      <x:c r="AN23" s="20" t="str">
        <x:v>N</x:v>
      </x:c>
      <x:c r="AO23" s="21" t="str"/>
    </x:row>
    <x:row r="24">
      <x:c r="A24" s="20" t="n">
        <x:v>20</x:v>
      </x:c>
      <x:c r="B24" s="20" t="str">
        <x:v>물가</x:v>
      </x:c>
      <x:c r="C24" s="20" t="str">
        <x:v>C19807</x:v>
      </x:c>
      <x:c r="D24" s="20" t="n">
        <x:v>2614</x:v>
      </x:c>
      <x:c r="E24" s="21" t="str">
        <x:v>5년간 먹거리 물가 20% 이상 상승… 과일·빵 상승률 40% 수준</x:v>
      </x:c>
      <x:c r="F24" s="21" t="str">
        <x:v>2025-10-08</x:v>
      </x:c>
      <x:c r="G24" s="21" t="str">
        <x:v>비주류 음료 중에 커피·차 및 코코아가 38.2% 치솟았고, 생수·청량음료·과일주스 및 채소주스도 22.7% 상승했다.</x:v>
      </x:c>
      <x:c r="H24" s="21" t="str">
        <x:v>https://biz.chosun.com/distribution/food/2025/10/08/RXZHN5KKIVDYDBTMMCPVRSVQUE/</x:v>
      </x:c>
      <x:c r="I24" s="20" t="str">
        <x:v>증감률재검토</x:v>
      </x:c>
      <x:c r="J24" s="20" t="str">
        <x:v>N</x:v>
      </x:c>
      <x:c r="K24" s="20" t="str">
        <x:v>정보 부족</x:v>
      </x:c>
      <x:c r="L24" s="20" t="str"/>
      <x:c r="M24" s="20" t="str"/>
      <x:c r="N24" s="20" t="str"/>
      <x:c r="O24" s="20" t="str"/>
      <x:c r="P24" s="20" t="str"/>
      <x:c r="Q24" s="22" t="str"/>
      <x:c r="R24" s="20" t="str"/>
      <x:c r="S24" s="20" t="str"/>
      <x:c r="T24" s="23" t="str"/>
      <x:c r="U24" s="20" t="str">
        <x:v>N/A</x:v>
      </x:c>
      <x:c r="V24" s="20" t="str">
        <x:v>판단불가</x:v>
      </x:c>
      <x:c r="W24" s="20" t="str">
        <x:v>보류</x:v>
      </x:c>
      <x:c r="X24" s="20" t="str"/>
      <x:c r="Y24" s="20" t="str"/>
      <x:c r="Z24" s="20" t="str"/>
      <x:c r="AA24" s="20" t="str"/>
      <x:c r="AB24" s="20" t="str"/>
      <x:c r="AC24" s="20" t="str"/>
      <x:c r="AD24" s="22" t="str"/>
      <x:c r="AE24" s="20" t="str"/>
      <x:c r="AF24" s="20" t="str"/>
      <x:c r="AG24" s="20" t="str">
        <x:v>N/A</x:v>
      </x:c>
      <x:c r="AH24" s="20" t="str"/>
      <x:c r="AI24" s="20" t="str">
        <x:v>N</x:v>
      </x:c>
      <x:c r="AJ24" s="20" t="str">
        <x:v>N/A</x:v>
      </x:c>
      <x:c r="AK24" s="20" t="str">
        <x:v>N/A</x:v>
      </x:c>
      <x:c r="AL24" s="20" t="str">
        <x:v>N/A</x:v>
      </x:c>
      <x:c r="AM24" s="20" t="str">
        <x:v>N/A</x:v>
      </x:c>
      <x:c r="AN24" s="20" t="str">
        <x:v>N</x:v>
      </x:c>
      <x:c r="AO24" s="21" t="str"/>
    </x:row>
    <x:row r="25">
      <x:c r="A25" s="20" t="n">
        <x:v>21</x:v>
      </x:c>
      <x:c r="B25" s="20" t="str">
        <x:v>고용</x:v>
      </x:c>
      <x:c r="C25" s="20" t="str">
        <x:v>C00922</x:v>
      </x:c>
      <x:c r="D25" s="20" t="n">
        <x:v>129</x:v>
      </x:c>
      <x:c r="E25" s="21" t="str">
        <x:v>美 12월 고용 25만6000개 증가… 예상 밖 폭증에 금리 인하 먹구름</x:v>
      </x:c>
      <x:c r="F25" s="21" t="str">
        <x:v>2025-01-10</x:v>
      </x:c>
      <x:c r="G25" s="21" t="str">
        <x:v>실업률은 4.1%를 기록했다.</x:v>
      </x:c>
      <x:c r="H25" s="21" t="str">
        <x:v>https://www.chosun.com/economy/economy_general/2025/01/10/VUL2QRBWABBEBOLJO24Z7OCASA</x:v>
      </x:c>
      <x:c r="I25" s="20" t="str">
        <x:v>수준값재검토</x:v>
      </x:c>
      <x:c r="J25" s="20" t="str">
        <x:v>N</x:v>
      </x:c>
      <x:c r="K25" s="20" t="str">
        <x:v>KOSIS 미제공</x:v>
      </x:c>
      <x:c r="L25" s="20" t="str"/>
      <x:c r="M25" s="20" t="str"/>
      <x:c r="N25" s="20" t="str"/>
      <x:c r="O25" s="20" t="str"/>
      <x:c r="P25" s="20" t="str"/>
      <x:c r="Q25" s="22" t="str"/>
      <x:c r="R25" s="20" t="str"/>
      <x:c r="S25" s="20" t="str"/>
      <x:c r="T25" s="23" t="str"/>
      <x:c r="U25" s="20" t="str">
        <x:v>N/A</x:v>
      </x:c>
      <x:c r="V25" s="20" t="str">
        <x:v>판단불가</x:v>
      </x:c>
      <x:c r="W25" s="20" t="str">
        <x:v>보류</x:v>
      </x:c>
      <x:c r="X25" s="20" t="str"/>
      <x:c r="Y25" s="20" t="str"/>
      <x:c r="Z25" s="20" t="str"/>
      <x:c r="AA25" s="20" t="str"/>
      <x:c r="AB25" s="20" t="str"/>
      <x:c r="AC25" s="20" t="str"/>
      <x:c r="AD25" s="22" t="str"/>
      <x:c r="AE25" s="20" t="str"/>
      <x:c r="AF25" s="20" t="str"/>
      <x:c r="AG25" s="20" t="str">
        <x:v>N/A</x:v>
      </x:c>
      <x:c r="AH25" s="20" t="str"/>
      <x:c r="AI25" s="20" t="str">
        <x:v>N</x:v>
      </x:c>
      <x:c r="AJ25" s="20" t="str">
        <x:v>N/A</x:v>
      </x:c>
      <x:c r="AK25" s="20" t="str">
        <x:v>N/A</x:v>
      </x:c>
      <x:c r="AL25" s="20" t="str">
        <x:v>N/A</x:v>
      </x:c>
      <x:c r="AM25" s="20" t="str">
        <x:v>N/A</x:v>
      </x:c>
      <x:c r="AN25" s="20" t="str">
        <x:v>N</x:v>
      </x:c>
      <x:c r="AO25" s="21" t="str"/>
    </x:row>
    <x:row r="26">
      <x:c r="A26" s="20" t="n">
        <x:v>22</x:v>
      </x:c>
      <x:c r="B26" s="20" t="str">
        <x:v>고용</x:v>
      </x:c>
      <x:c r="C26" s="20" t="str">
        <x:v>C04658</x:v>
      </x:c>
      <x:c r="D26" s="20" t="n">
        <x:v>588</x:v>
      </x:c>
      <x:c r="E26" s="21" t="str">
        <x:v>고용·물가·저성장 3대 악재에, 수출 효자 반도체 비상까지</x:v>
      </x:c>
      <x:c r="F26" s="21" t="str">
        <x:v>2025-02-15</x:v>
      </x:c>
      <x:c r="G26" s="21" t="str">
        <x:v>청년(15~29세)층 취업자는 전년 동월 대비 21만8000명 줄었고, 청년 고용률(44.8%)도 1.5%포인트 감소했다.</x:v>
      </x:c>
      <x:c r="H26" s="21" t="str">
        <x:v>https://www.chosun.com/economy/economy_general/2025/02/15/246PHXLEYJAYHEXIH47DMU6MTI</x:v>
      </x:c>
      <x:c r="I26" s="20" t="str">
        <x:v>증감률재검토</x:v>
      </x:c>
      <x:c r="J26" s="20" t="str">
        <x:v>N</x:v>
      </x:c>
      <x:c r="K26" s="20" t="str">
        <x:v>정보 부족</x:v>
      </x:c>
      <x:c r="L26" s="20" t="str"/>
      <x:c r="M26" s="20" t="str"/>
      <x:c r="N26" s="20" t="str"/>
      <x:c r="O26" s="20" t="str"/>
      <x:c r="P26" s="20" t="str"/>
      <x:c r="Q26" s="22" t="str"/>
      <x:c r="R26" s="20" t="str"/>
      <x:c r="S26" s="20" t="str"/>
      <x:c r="T26" s="23" t="str"/>
      <x:c r="U26" s="20" t="str">
        <x:v>N/A</x:v>
      </x:c>
      <x:c r="V26" s="20" t="str">
        <x:v>판단불가</x:v>
      </x:c>
      <x:c r="W26" s="20" t="str">
        <x:v>보류</x:v>
      </x:c>
      <x:c r="X26" s="20" t="str"/>
      <x:c r="Y26" s="20" t="str"/>
      <x:c r="Z26" s="20" t="str"/>
      <x:c r="AA26" s="20" t="str"/>
      <x:c r="AB26" s="20" t="str"/>
      <x:c r="AC26" s="20" t="str"/>
      <x:c r="AD26" s="22" t="str"/>
      <x:c r="AE26" s="20" t="str"/>
      <x:c r="AF26" s="20" t="str"/>
      <x:c r="AG26" s="20" t="str">
        <x:v>N/A</x:v>
      </x:c>
      <x:c r="AH26" s="20" t="str"/>
      <x:c r="AI26" s="20" t="str">
        <x:v>N</x:v>
      </x:c>
      <x:c r="AJ26" s="20" t="str">
        <x:v>N/A</x:v>
      </x:c>
      <x:c r="AK26" s="20" t="str">
        <x:v>N/A</x:v>
      </x:c>
      <x:c r="AL26" s="20" t="str">
        <x:v>N/A</x:v>
      </x:c>
      <x:c r="AM26" s="20" t="str">
        <x:v>N/A</x:v>
      </x:c>
      <x:c r="AN26" s="20" t="str">
        <x:v>N</x:v>
      </x:c>
      <x:c r="AO26" s="21" t="str"/>
    </x:row>
    <x:row r="27">
      <x:c r="A27" s="20" t="n">
        <x:v>23</x:v>
      </x:c>
      <x:c r="B27" s="20" t="str">
        <x:v>고용</x:v>
      </x:c>
      <x:c r="C27" s="20" t="str">
        <x:v>C05292</x:v>
      </x:c>
      <x:c r="D27" s="20" t="n">
        <x:v>675</x:v>
      </x:c>
      <x:c r="E27" s="21" t="str">
        <x:v>울릉군, 전국 고용률 1위 83.5%… 2위에는 청송군</x:v>
      </x:c>
      <x:c r="F27" s="21" t="str">
        <x:v>2025-02-21</x:v>
      </x:c>
      <x:c r="G27" s="21" t="str">
        <x:v>20일 통계청은 ‘2024년 하반기 지역별 고용조사’에서 지난해 하반기 울릉군의 고용률은 83.5%로, 전년 동기 대비 1.1%포인트 상승했다고 밝혔다.</x:v>
      </x:c>
      <x:c r="H27" s="21" t="str">
        <x:v>https://www.chosun.com/economy/economy_general/2025/02/21/WTMGCNUZRFBDBEF3XXSEMSPMXA</x:v>
      </x:c>
      <x:c r="I27" s="20" t="str">
        <x:v>판단불가</x:v>
      </x:c>
      <x:c r="J27" s="20" t="str">
        <x:v>Y</x:v>
      </x:c>
      <x:c r="K27" s="20" t="str"/>
      <x:c r="L27" s="20" t="str">
        <x:v>DT_1ES3A03_A01S</x:v>
      </x:c>
      <x:c r="M27" s="20" t="str">
        <x:v>3743</x:v>
      </x:c>
      <x:c r="N27" s="20" t="str">
        <x:v>000</x:v>
      </x:c>
      <x:c r="O27" s="20" t="str">
        <x:v>T12</x:v>
      </x:c>
      <x:c r="P27" s="20" t="str">
        <x:v>H</x:v>
      </x:c>
      <x:c r="Q27" s="22" t="n">
        <x:v>1.1</x:v>
      </x:c>
      <x:c r="R27" s="20" t="str">
        <x:v>202402</x:v>
      </x:c>
      <x:c r="S27" s="20" t="str">
        <x:v>202302</x:v>
      </x:c>
      <x:c r="T27" s="23" t="n">
        <x:v>1.0999999999999943</x:v>
      </x:c>
      <x:c r="U27" s="20" t="str">
        <x:v>Y</x:v>
      </x:c>
      <x:c r="V27" s="20" t="str">
        <x:v>일치</x:v>
      </x:c>
      <x:c r="W27" s="20" t="str">
        <x:v>보류</x:v>
      </x:c>
      <x:c r="X27" s="20" t="str"/>
      <x:c r="Y27" s="20" t="str"/>
      <x:c r="Z27" s="20" t="str"/>
      <x:c r="AA27" s="20" t="str"/>
      <x:c r="AB27" s="20" t="str"/>
      <x:c r="AC27" s="20" t="str"/>
      <x:c r="AD27" s="22" t="str"/>
      <x:c r="AE27" s="20" t="str"/>
      <x:c r="AF27" s="20" t="str"/>
      <x:c r="AG27" s="20" t="str">
        <x:v>N/A</x:v>
      </x:c>
      <x:c r="AH27" s="20" t="str"/>
      <x:c r="AI27" s="20" t="str">
        <x:v>N</x:v>
      </x:c>
      <x:c r="AJ27" s="20" t="str">
        <x:v>N</x:v>
      </x:c>
      <x:c r="AK27" s="20" t="str">
        <x:v>N</x:v>
      </x:c>
      <x:c r="AL27" s="20" t="str">
        <x:v>N</x:v>
      </x:c>
      <x:c r="AM27" s="20" t="str">
        <x:v>N</x:v>
      </x:c>
      <x:c r="AN27" s="20" t="str">
        <x:v>N</x:v>
      </x:c>
      <x:c r="AO27" s="21" t="str"/>
    </x:row>
    <x:row r="28">
      <x:c r="A28" s="20" t="n">
        <x:v>24</x:v>
      </x:c>
      <x:c r="B28" s="20" t="str">
        <x:v>고용</x:v>
      </x:c>
      <x:c r="C28" s="20" t="str">
        <x:v>C05293</x:v>
      </x:c>
      <x:c r="D28" s="20" t="n">
        <x:v>675</x:v>
      </x:c>
      <x:c r="E28" s="21" t="str">
        <x:v>울릉군, 전국 고용률 1위 83.5%… 2위에는 청송군</x:v>
      </x:c>
      <x:c r="F28" s="21" t="str">
        <x:v>2025-02-21</x:v>
      </x:c>
      <x:c r="G28" s="21" t="str">
        <x:v>울릉군을 이어 2위는 청송군(81.8%)인데, 전체 시·군·구 중 고용률이 80%를 넘는 곳은 울릉군과 청송군뿐이었다.</x:v>
      </x:c>
      <x:c r="H28" s="21" t="str">
        <x:v>https://www.chosun.com/economy/economy_general/2025/02/21/WTMGCNUZRFBDBEF3XXSEMSPMXA</x:v>
      </x:c>
      <x:c r="I28" s="20" t="str">
        <x:v>판단불가</x:v>
      </x:c>
      <x:c r="J28" s="20" t="str">
        <x:v>N</x:v>
      </x:c>
      <x:c r="K28" s="20" t="str">
        <x:v>정보 부족</x:v>
      </x:c>
      <x:c r="L28" s="20" t="str"/>
      <x:c r="M28" s="20" t="str"/>
      <x:c r="N28" s="20" t="str"/>
      <x:c r="O28" s="20" t="str"/>
      <x:c r="P28" s="20" t="str"/>
      <x:c r="Q28" s="22" t="str"/>
      <x:c r="R28" s="20" t="str"/>
      <x:c r="S28" s="20" t="str"/>
      <x:c r="T28" s="23" t="str"/>
      <x:c r="U28" s="20" t="str">
        <x:v>N/A</x:v>
      </x:c>
      <x:c r="V28" s="20" t="str">
        <x:v>판단불가</x:v>
      </x:c>
      <x:c r="W28" s="20" t="str">
        <x:v>보류</x:v>
      </x:c>
      <x:c r="X28" s="20" t="str"/>
      <x:c r="Y28" s="20" t="str"/>
      <x:c r="Z28" s="20" t="str"/>
      <x:c r="AA28" s="20" t="str"/>
      <x:c r="AB28" s="20" t="str"/>
      <x:c r="AC28" s="20" t="str"/>
      <x:c r="AD28" s="22" t="str"/>
      <x:c r="AE28" s="20" t="str"/>
      <x:c r="AF28" s="20" t="str"/>
      <x:c r="AG28" s="20" t="str">
        <x:v>N/A</x:v>
      </x:c>
      <x:c r="AH28" s="20" t="str"/>
      <x:c r="AI28" s="20" t="str">
        <x:v>N</x:v>
      </x:c>
      <x:c r="AJ28" s="20" t="str">
        <x:v>N/A</x:v>
      </x:c>
      <x:c r="AK28" s="20" t="str">
        <x:v>N/A</x:v>
      </x:c>
      <x:c r="AL28" s="20" t="str">
        <x:v>N/A</x:v>
      </x:c>
      <x:c r="AM28" s="20" t="str">
        <x:v>N/A</x:v>
      </x:c>
      <x:c r="AN28" s="20" t="str">
        <x:v>N</x:v>
      </x:c>
      <x:c r="AO28" s="21" t="str"/>
    </x:row>
    <x:row r="29">
      <x:c r="A29" s="20" t="n">
        <x:v>25</x:v>
      </x:c>
      <x:c r="B29" s="20" t="str">
        <x:v>고용</x:v>
      </x:c>
      <x:c r="C29" s="20" t="str">
        <x:v>C05294</x:v>
      </x:c>
      <x:c r="D29" s="20" t="n">
        <x:v>675</x:v>
      </x:c>
      <x:c r="E29" s="21" t="str">
        <x:v>울릉군, 전국 고용률 1위 83.5%… 2위에는 청송군</x:v>
      </x:c>
      <x:c r="F29" s="21" t="str">
        <x:v>2025-02-21</x:v>
      </x:c>
      <x:c r="G29" s="21" t="str">
        <x:v>반대로 고용률이 가장 낮은 곳은 부산의 대표적 구도심인 영도구(48.1%)로, 전국 시·군·구 중 유일하게 고용률 50%를 넘지 못했다.</x:v>
      </x:c>
      <x:c r="H29" s="21" t="str">
        <x:v>https://www.chosun.com/economy/economy_general/2025/02/21/WTMGCNUZRFBDBEF3XXSEMSPMXA</x:v>
      </x:c>
      <x:c r="I29" s="20" t="str">
        <x:v>판단불가</x:v>
      </x:c>
      <x:c r="J29" s="20" t="str">
        <x:v>N</x:v>
      </x:c>
      <x:c r="K29" s="20" t="str">
        <x:v>정보 부족</x:v>
      </x:c>
      <x:c r="L29" s="20" t="str"/>
      <x:c r="M29" s="20" t="str"/>
      <x:c r="N29" s="20" t="str"/>
      <x:c r="O29" s="20" t="str"/>
      <x:c r="P29" s="20" t="str"/>
      <x:c r="Q29" s="22" t="str"/>
      <x:c r="R29" s="20" t="str"/>
      <x:c r="S29" s="20" t="str"/>
      <x:c r="T29" s="23" t="str"/>
      <x:c r="U29" s="20" t="str">
        <x:v>N/A</x:v>
      </x:c>
      <x:c r="V29" s="20" t="str">
        <x:v>판단불가</x:v>
      </x:c>
      <x:c r="W29" s="20" t="str">
        <x:v>보류</x:v>
      </x:c>
      <x:c r="X29" s="20" t="str"/>
      <x:c r="Y29" s="20" t="str"/>
      <x:c r="Z29" s="20" t="str"/>
      <x:c r="AA29" s="20" t="str"/>
      <x:c r="AB29" s="20" t="str"/>
      <x:c r="AC29" s="20" t="str"/>
      <x:c r="AD29" s="22" t="str"/>
      <x:c r="AE29" s="20" t="str"/>
      <x:c r="AF29" s="20" t="str"/>
      <x:c r="AG29" s="20" t="str">
        <x:v>N/A</x:v>
      </x:c>
      <x:c r="AH29" s="20" t="str"/>
      <x:c r="AI29" s="20" t="str">
        <x:v>N</x:v>
      </x:c>
      <x:c r="AJ29" s="20" t="str">
        <x:v>N/A</x:v>
      </x:c>
      <x:c r="AK29" s="20" t="str">
        <x:v>N/A</x:v>
      </x:c>
      <x:c r="AL29" s="20" t="str">
        <x:v>N/A</x:v>
      </x:c>
      <x:c r="AM29" s="20" t="str">
        <x:v>N/A</x:v>
      </x:c>
      <x:c r="AN29" s="20" t="str">
        <x:v>N</x:v>
      </x:c>
      <x:c r="AO29" s="21" t="str"/>
    </x:row>
    <x:row r="30">
      <x:c r="A30" s="20" t="n">
        <x:v>26</x:v>
      </x:c>
      <x:c r="B30" s="20" t="str">
        <x:v>고용</x:v>
      </x:c>
      <x:c r="C30" s="20" t="str">
        <x:v>C05562</x:v>
      </x:c>
      <x:c r="D30" s="20" t="n">
        <x:v>709</x:v>
      </x:c>
      <x:c r="E30" s="21" t="str">
        <x:v>“올 취업자수 최대 6만명 줄 것”… ‘인구 오너스 시대’ 오나</x:v>
      </x:c>
      <x:c r="F30" s="21" t="str">
        <x:v>2025-02-24</x:v>
      </x:c>
      <x:c r="G30" s="21" t="str">
        <x:v>지난해 기준 이 일자리의 30대 이하 비율은 25%로 5년 전(32%)보다 7%포인트 떨어졌다.</x:v>
      </x:c>
      <x:c r="H30" s="21" t="str">
        <x:v>https://www.chosun.com/economy/economy_general/2025/02/24/AXTTAUKCC5FQNGJDVW7EUZW55Y</x:v>
      </x:c>
      <x:c r="I30" s="20" t="str">
        <x:v>증감률재검토</x:v>
      </x:c>
      <x:c r="J30" s="20" t="str">
        <x:v>N</x:v>
      </x:c>
      <x:c r="K30" s="20" t="str">
        <x:v>정보 부족</x:v>
      </x:c>
      <x:c r="L30" s="20" t="str"/>
      <x:c r="M30" s="20" t="str"/>
      <x:c r="N30" s="20" t="str"/>
      <x:c r="O30" s="20" t="str"/>
      <x:c r="P30" s="20" t="str"/>
      <x:c r="Q30" s="22" t="str"/>
      <x:c r="R30" s="20" t="str"/>
      <x:c r="S30" s="20" t="str"/>
      <x:c r="T30" s="23" t="str"/>
      <x:c r="U30" s="20" t="str">
        <x:v>N/A</x:v>
      </x:c>
      <x:c r="V30" s="20" t="str">
        <x:v>판단불가</x:v>
      </x:c>
      <x:c r="W30" s="20" t="str">
        <x:v>보류</x:v>
      </x:c>
      <x:c r="X30" s="20" t="str"/>
      <x:c r="Y30" s="20" t="str"/>
      <x:c r="Z30" s="20" t="str"/>
      <x:c r="AA30" s="20" t="str"/>
      <x:c r="AB30" s="20" t="str"/>
      <x:c r="AC30" s="20" t="str"/>
      <x:c r="AD30" s="22" t="str"/>
      <x:c r="AE30" s="20" t="str"/>
      <x:c r="AF30" s="20" t="str"/>
      <x:c r="AG30" s="20" t="str">
        <x:v>N/A</x:v>
      </x:c>
      <x:c r="AH30" s="20" t="str"/>
      <x:c r="AI30" s="20" t="str">
        <x:v>N</x:v>
      </x:c>
      <x:c r="AJ30" s="20" t="str">
        <x:v>N/A</x:v>
      </x:c>
      <x:c r="AK30" s="20" t="str">
        <x:v>N/A</x:v>
      </x:c>
      <x:c r="AL30" s="20" t="str">
        <x:v>N/A</x:v>
      </x:c>
      <x:c r="AM30" s="20" t="str">
        <x:v>N/A</x:v>
      </x:c>
      <x:c r="AN30" s="20" t="str">
        <x:v>N</x:v>
      </x:c>
      <x:c r="AO30" s="21" t="str"/>
    </x:row>
    <x:row r="31">
      <x:c r="A31" s="20" t="n">
        <x:v>27</x:v>
      </x:c>
      <x:c r="B31" s="20" t="str">
        <x:v>고용</x:v>
      </x:c>
      <x:c r="C31" s="20" t="str">
        <x:v>C06721</x:v>
      </x:c>
      <x:c r="D31" s="20" t="n">
        <x:v>846</x:v>
      </x:c>
      <x:c r="E31" s="21" t="str">
        <x:v>2월 미국 신규고용 예상 밑돌아...트럼프침체 우려</x:v>
      </x:c>
      <x:c r="F31" s="21" t="str">
        <x:v>2025-03-07</x:v>
      </x:c>
      <x:c r="G31" s="21" t="str">
        <x:v>실업률 또한 4.1%로 전월(4%)보다 높아졌다.</x:v>
      </x:c>
      <x:c r="H31" s="21" t="str">
        <x:v>https://www.chosun.com/economy/economy_general/2025/03/07/ZNQGRX42MZF5VHHAYKQ33QFWFY</x:v>
      </x:c>
      <x:c r="I31" s="20" t="str">
        <x:v>수준값재검토</x:v>
      </x:c>
      <x:c r="J31" s="20" t="str">
        <x:v>N</x:v>
      </x:c>
      <x:c r="K31" s="20" t="str">
        <x:v>KOSIS 미제공</x:v>
      </x:c>
      <x:c r="L31" s="20" t="str"/>
      <x:c r="M31" s="20" t="str"/>
      <x:c r="N31" s="20" t="str"/>
      <x:c r="O31" s="20" t="str"/>
      <x:c r="P31" s="20" t="str"/>
      <x:c r="Q31" s="22" t="str"/>
      <x:c r="R31" s="20" t="str"/>
      <x:c r="S31" s="20" t="str"/>
      <x:c r="T31" s="23" t="str"/>
      <x:c r="U31" s="20" t="str">
        <x:v>N/A</x:v>
      </x:c>
      <x:c r="V31" s="20" t="str">
        <x:v>판단불가</x:v>
      </x:c>
      <x:c r="W31" s="20" t="str">
        <x:v>검증불가</x:v>
      </x:c>
      <x:c r="X31" s="20" t="str">
        <x:v>KOSIS 미제공</x:v>
      </x:c>
      <x:c r="Y31" s="20" t="str"/>
      <x:c r="Z31" s="20" t="str"/>
      <x:c r="AA31" s="20" t="str"/>
      <x:c r="AB31" s="20" t="str"/>
      <x:c r="AC31" s="20" t="str"/>
      <x:c r="AD31" s="22" t="str"/>
      <x:c r="AE31" s="20" t="str"/>
      <x:c r="AF31" s="20" t="str"/>
      <x:c r="AG31" s="20" t="str">
        <x:v>N/A</x:v>
      </x:c>
      <x:c r="AH31" s="20" t="str">
        <x:v>판단불가</x:v>
      </x:c>
      <x:c r="AI31" s="20" t="str">
        <x:v>Y</x:v>
      </x:c>
      <x:c r="AJ31" s="20" t="str">
        <x:v>N/A</x:v>
      </x:c>
      <x:c r="AK31" s="20" t="str">
        <x:v>N/A</x:v>
      </x:c>
      <x:c r="AL31" s="20" t="str">
        <x:v>N/A</x:v>
      </x:c>
      <x:c r="AM31" s="20" t="str">
        <x:v>N/A</x:v>
      </x:c>
      <x:c r="AN31" s="20" t="str">
        <x:v>Y</x:v>
      </x:c>
      <x:c r="AO31" s="21" t="str"/>
    </x:row>
    <x:row r="32">
      <x:c r="A32" s="20" t="n">
        <x:v>28</x:v>
      </x:c>
      <x:c r="B32" s="20" t="str">
        <x:v>고용</x:v>
      </x:c>
      <x:c r="C32" s="20" t="str">
        <x:v>C06935</x:v>
      </x:c>
      <x:c r="D32" s="20" t="n">
        <x:v>874</x:v>
      </x:c>
      <x:c r="E32" s="21" t="str">
        <x:v>중소기업 고령화 심화...직원 중 절반은 50세 이상</x:v>
      </x:c>
      <x:c r="F32" s="21" t="str">
        <x:v>2025-03-09</x:v>
      </x:c>
      <x:c r="G32" s="21" t="str">
        <x:v>하지만 응답 기업의 44.4%가 올해 신규 채용 계획이 없거나 전년보다 축소하겠다고 했다.</x:v>
      </x:c>
      <x:c r="H32" s="21" t="str">
        <x:v>https://www.chosun.com/economy/industry-company/2025/03/09/5LCMRV45ANG2FOSJCWA4DIICPQ</x:v>
      </x:c>
      <x:c r="I32" s="20" t="str">
        <x:v>증감률재검토</x:v>
      </x:c>
      <x:c r="J32" s="20" t="str">
        <x:v>N</x:v>
      </x:c>
      <x:c r="K32" s="20" t="str">
        <x:v>KOSIS 미제공</x:v>
      </x:c>
      <x:c r="L32" s="20" t="str"/>
      <x:c r="M32" s="20" t="str"/>
      <x:c r="N32" s="20" t="str"/>
      <x:c r="O32" s="20" t="str"/>
      <x:c r="P32" s="20" t="str"/>
      <x:c r="Q32" s="22" t="str"/>
      <x:c r="R32" s="20" t="str"/>
      <x:c r="S32" s="20" t="str"/>
      <x:c r="T32" s="23" t="str"/>
      <x:c r="U32" s="20" t="str">
        <x:v>N/A</x:v>
      </x:c>
      <x:c r="V32" s="20" t="str">
        <x:v>판단불가</x:v>
      </x:c>
      <x:c r="W32" s="20" t="str">
        <x:v>검증불가</x:v>
      </x:c>
      <x:c r="X32" s="20" t="str">
        <x:v>정보 부족</x:v>
      </x:c>
      <x:c r="Y32" s="20" t="str"/>
      <x:c r="Z32" s="20" t="str"/>
      <x:c r="AA32" s="20" t="str"/>
      <x:c r="AB32" s="20" t="str"/>
      <x:c r="AC32" s="20" t="str"/>
      <x:c r="AD32" s="22" t="str"/>
      <x:c r="AE32" s="20" t="str"/>
      <x:c r="AF32" s="20" t="str"/>
      <x:c r="AG32" s="20" t="str">
        <x:v>N/A</x:v>
      </x:c>
      <x:c r="AH32" s="20" t="str">
        <x:v>판단불가</x:v>
      </x:c>
      <x:c r="AI32" s="20" t="str">
        <x:v>Y</x:v>
      </x:c>
      <x:c r="AJ32" s="20" t="str">
        <x:v>N/A</x:v>
      </x:c>
      <x:c r="AK32" s="20" t="str">
        <x:v>N/A</x:v>
      </x:c>
      <x:c r="AL32" s="20" t="str">
        <x:v>N/A</x:v>
      </x:c>
      <x:c r="AM32" s="20" t="str">
        <x:v>N/A</x:v>
      </x:c>
      <x:c r="AN32" s="20" t="str">
        <x:v>Y</x:v>
      </x:c>
      <x:c r="AO32" s="21" t="str"/>
    </x:row>
    <x:row r="33">
      <x:c r="A33" s="20" t="n">
        <x:v>29</x:v>
      </x:c>
      <x:c r="B33" s="20" t="str">
        <x:v>고용</x:v>
      </x:c>
      <x:c r="C33" s="20" t="str">
        <x:v>C08021</x:v>
      </x:c>
      <x:c r="D33" s="20" t="n">
        <x:v>1033</x:v>
      </x:c>
      <x:c r="E33" s="21" t="str">
        <x:v>파월 “불확실성 커져”… 美 성장률 1%대로 확 낮춰</x:v>
      </x:c>
      <x:c r="F33" s="21" t="str">
        <x:v>2025-03-21</x:v>
      </x:c>
      <x:c r="G33" s="21" t="str">
        <x:v>최근 3년 동안 2% 중·후반대 준수한 성장을 하던 미국 경제 성장세가 1%대로 미끄러지고, 물가·실업률은 다시 상승한다고 본 것이다.</x:v>
      </x:c>
      <x:c r="H33" s="21" t="str">
        <x:v>https://www.chosun.com/economy/economy_general/2025/03/21/4VPXUU6KNJDARE4AUFBPMVSJZY</x:v>
      </x:c>
      <x:c r="I33" s="20" t="str">
        <x:v>증감률재검토</x:v>
      </x:c>
      <x:c r="J33" s="20" t="str">
        <x:v>N</x:v>
      </x:c>
      <x:c r="K33" s="20" t="str">
        <x:v>KOSIS 미제공</x:v>
      </x:c>
      <x:c r="L33" s="20" t="str"/>
      <x:c r="M33" s="20" t="str"/>
      <x:c r="N33" s="20" t="str"/>
      <x:c r="O33" s="20" t="str"/>
      <x:c r="P33" s="20" t="str"/>
      <x:c r="Q33" s="22" t="str"/>
      <x:c r="R33" s="20" t="str"/>
      <x:c r="S33" s="20" t="str"/>
      <x:c r="T33" s="23" t="str"/>
      <x:c r="U33" s="20" t="str">
        <x:v>N/A</x:v>
      </x:c>
      <x:c r="V33" s="20" t="str">
        <x:v>판단불가</x:v>
      </x:c>
      <x:c r="W33" s="20" t="str">
        <x:v>검증불가</x:v>
      </x:c>
      <x:c r="X33" s="20" t="str">
        <x:v>KOSIS 미제공</x:v>
      </x:c>
      <x:c r="Y33" s="20" t="str"/>
      <x:c r="Z33" s="20" t="str"/>
      <x:c r="AA33" s="20" t="str"/>
      <x:c r="AB33" s="20" t="str"/>
      <x:c r="AC33" s="20" t="str"/>
      <x:c r="AD33" s="22" t="str"/>
      <x:c r="AE33" s="20" t="str"/>
      <x:c r="AF33" s="20" t="str"/>
      <x:c r="AG33" s="20" t="str">
        <x:v>N/A</x:v>
      </x:c>
      <x:c r="AH33" s="20" t="str">
        <x:v>판단불가</x:v>
      </x:c>
      <x:c r="AI33" s="20" t="str">
        <x:v>Y</x:v>
      </x:c>
      <x:c r="AJ33" s="20" t="str">
        <x:v>N/A</x:v>
      </x:c>
      <x:c r="AK33" s="20" t="str">
        <x:v>N/A</x:v>
      </x:c>
      <x:c r="AL33" s="20" t="str">
        <x:v>N/A</x:v>
      </x:c>
      <x:c r="AM33" s="20" t="str">
        <x:v>N/A</x:v>
      </x:c>
      <x:c r="AN33" s="20" t="str">
        <x:v>Y</x:v>
      </x:c>
      <x:c r="AO33" s="21" t="str"/>
    </x:row>
    <x:row r="34">
      <x:c r="A34" s="20" t="n">
        <x:v>30</x:v>
      </x:c>
      <x:c r="B34" s="20" t="str">
        <x:v>고용</x:v>
      </x:c>
      <x:c r="C34" s="20" t="str">
        <x:v>C10453</x:v>
      </x:c>
      <x:c r="D34" s="20" t="n">
        <x:v>1345</x:v>
      </x:c>
      <x:c r="E34" s="21" t="str">
        <x:v>고물가·관세 전쟁… 숙박·음식점업 22개월째 역대 최장 불황</x:v>
      </x:c>
      <x:c r="F34" s="21" t="str">
        <x:v>2025-04-14</x:v>
      </x:c>
      <x:c r="G34" s="21" t="str">
        <x:v>통계청에 따르면, 올해 1분기(1~3월) 도소매와 숙박음식점업 취업자 수는 552만7000명으로 전년 동기 대비 1만4000명 줄어들었다.</x:v>
      </x:c>
      <x:c r="H34" s="21" t="str">
        <x:v>https://www.chosun.com/economy/economy_general/2025/04/14/WW7RNH5ORBEYPOK2PSGO5P6PBQ</x:v>
      </x:c>
      <x:c r="I34" s="20" t="str">
        <x:v>수준값재검토</x:v>
      </x:c>
      <x:c r="J34" s="20" t="str">
        <x:v>N</x:v>
      </x:c>
      <x:c r="K34" s="20" t="str">
        <x:v>정보 부족</x:v>
      </x:c>
      <x:c r="L34" s="20" t="str"/>
      <x:c r="M34" s="20" t="str"/>
      <x:c r="N34" s="20" t="str"/>
      <x:c r="O34" s="20" t="str"/>
      <x:c r="P34" s="20" t="str"/>
      <x:c r="Q34" s="22" t="str"/>
      <x:c r="R34" s="20" t="str"/>
      <x:c r="S34" s="20" t="str"/>
      <x:c r="T34" s="23" t="str"/>
      <x:c r="U34" s="20" t="str">
        <x:v>N/A</x:v>
      </x:c>
      <x:c r="V34" s="20" t="str">
        <x:v>판단불가</x:v>
      </x:c>
      <x:c r="W34" s="20" t="str">
        <x:v>보류</x:v>
      </x:c>
      <x:c r="X34" s="20" t="str"/>
      <x:c r="Y34" s="20" t="str"/>
      <x:c r="Z34" s="20" t="str"/>
      <x:c r="AA34" s="20" t="str"/>
      <x:c r="AB34" s="20" t="str"/>
      <x:c r="AC34" s="20" t="str"/>
      <x:c r="AD34" s="22" t="str"/>
      <x:c r="AE34" s="20" t="str"/>
      <x:c r="AF34" s="20" t="str"/>
      <x:c r="AG34" s="20" t="str">
        <x:v>N/A</x:v>
      </x:c>
      <x:c r="AH34" s="20" t="str"/>
      <x:c r="AI34" s="20" t="str">
        <x:v>N</x:v>
      </x:c>
      <x:c r="AJ34" s="20" t="str">
        <x:v>N/A</x:v>
      </x:c>
      <x:c r="AK34" s="20" t="str">
        <x:v>N/A</x:v>
      </x:c>
      <x:c r="AL34" s="20" t="str">
        <x:v>N/A</x:v>
      </x:c>
      <x:c r="AM34" s="20" t="str">
        <x:v>N/A</x:v>
      </x:c>
      <x:c r="AN34" s="20" t="str">
        <x:v>N</x:v>
      </x:c>
      <x:c r="AO34" s="21" t="str"/>
    </x:row>
    <x:row r="35">
      <x:c r="A35" s="20" t="n">
        <x:v>31</x:v>
      </x:c>
      <x:c r="B35" s="20" t="str">
        <x:v>고용</x:v>
      </x:c>
      <x:c r="C35" s="20" t="str">
        <x:v>C13306</x:v>
      </x:c>
      <x:c r="D35" s="20" t="n">
        <x:v>1737</x:v>
      </x:c>
      <x:c r="E35" s="21" t="str">
        <x:v>청년 고용률 1년째 내리막...20대 후반 실업률 45개월만 최대치</x:v>
      </x:c>
      <x:c r="F35" s="21" t="str">
        <x:v>2025-05-14</x:v>
      </x:c>
      <x:c r="G35" s="21" t="str">
        <x:v>지난달 65세 이상 고용률은 40.4%로 전년 동월 대비 1.2%포인트 올랐다.</x:v>
      </x:c>
      <x:c r="H35" s="21" t="str">
        <x:v>https://www.chosun.com/economy/economy_general/2025/05/14/O2W4JERT4FGXRKVNYQRYWEVEQY</x:v>
      </x:c>
      <x:c r="I35" s="20" t="str">
        <x:v>증감률재검토</x:v>
      </x:c>
      <x:c r="J35" s="20" t="str">
        <x:v>Y</x:v>
      </x:c>
      <x:c r="K35" s="20" t="str"/>
      <x:c r="L35" s="20" t="str">
        <x:v>DT_1DA7002S</x:v>
      </x:c>
      <x:c r="M35" s="20" t="str">
        <x:v>602</x:v>
      </x:c>
      <x:c r="N35" s="20" t="str"/>
      <x:c r="O35" s="20" t="str">
        <x:v>T90</x:v>
      </x:c>
      <x:c r="P35" s="20" t="str">
        <x:v>M</x:v>
      </x:c>
      <x:c r="Q35" s="22" t="n">
        <x:v>1.2</x:v>
      </x:c>
      <x:c r="R35" s="20" t="str">
        <x:v>202504</x:v>
      </x:c>
      <x:c r="S35" s="20" t="str">
        <x:v>202404</x:v>
      </x:c>
      <x:c r="T35" s="23" t="n">
        <x:v>1.1999999999999957</x:v>
      </x:c>
      <x:c r="U35" s="20" t="str">
        <x:v>Y</x:v>
      </x:c>
      <x:c r="V35" s="20" t="str">
        <x:v>일치</x:v>
      </x:c>
      <x:c r="W35" s="20" t="str">
        <x:v>보류</x:v>
      </x:c>
      <x:c r="X35" s="20" t="str"/>
      <x:c r="Y35" s="20" t="str"/>
      <x:c r="Z35" s="20" t="str"/>
      <x:c r="AA35" s="20" t="str"/>
      <x:c r="AB35" s="20" t="str"/>
      <x:c r="AC35" s="20" t="str"/>
      <x:c r="AD35" s="22" t="str"/>
      <x:c r="AE35" s="20" t="str"/>
      <x:c r="AF35" s="20" t="str"/>
      <x:c r="AG35" s="20" t="str">
        <x:v>N/A</x:v>
      </x:c>
      <x:c r="AH35" s="20" t="str"/>
      <x:c r="AI35" s="20" t="str">
        <x:v>N</x:v>
      </x:c>
      <x:c r="AJ35" s="20" t="str">
        <x:v>N</x:v>
      </x:c>
      <x:c r="AK35" s="20" t="str">
        <x:v>N</x:v>
      </x:c>
      <x:c r="AL35" s="20" t="str">
        <x:v>N</x:v>
      </x:c>
      <x:c r="AM35" s="20" t="str">
        <x:v>N</x:v>
      </x:c>
      <x:c r="AN35" s="20" t="str">
        <x:v>N</x:v>
      </x:c>
      <x:c r="AO35" s="21" t="str"/>
    </x:row>
    <x:row r="36">
      <x:c r="A36" s="20" t="n">
        <x:v>32</x:v>
      </x:c>
      <x:c r="B36" s="20" t="str">
        <x:v>고용</x:v>
      </x:c>
      <x:c r="C36" s="20" t="str">
        <x:v>C13307</x:v>
      </x:c>
      <x:c r="D36" s="20" t="n">
        <x:v>1737</x:v>
      </x:c>
      <x:c r="E36" s="21" t="str">
        <x:v>청년 고용률 1년째 내리막...20대 후반 실업률 45개월만 최대치</x:v>
      </x:c>
      <x:c r="F36" s="21" t="str">
        <x:v>2025-05-14</x:v>
      </x:c>
      <x:c r="G36" s="21" t="str">
        <x:v>반면 15~29세 청년층 고용률은 45.3%로 전년 동월 대비 0.9%포인트 감소했다.</x:v>
      </x:c>
      <x:c r="H36" s="21" t="str">
        <x:v>https://www.chosun.com/economy/economy_general/2025/05/14/O2W4JERT4FGXRKVNYQRYWEVEQY</x:v>
      </x:c>
      <x:c r="I36" s="20" t="str">
        <x:v>증감률재검토</x:v>
      </x:c>
      <x:c r="J36" s="20" t="str">
        <x:v>Y</x:v>
      </x:c>
      <x:c r="K36" s="20" t="str"/>
      <x:c r="L36" s="20" t="str">
        <x:v>DT_1DA7002S</x:v>
      </x:c>
      <x:c r="M36" s="20" t="str">
        <x:v>75</x:v>
      </x:c>
      <x:c r="N36" s="20" t="str"/>
      <x:c r="O36" s="20" t="str">
        <x:v>T90</x:v>
      </x:c>
      <x:c r="P36" s="20" t="str">
        <x:v>M</x:v>
      </x:c>
      <x:c r="Q36" s="22" t="n">
        <x:v>-0.9</x:v>
      </x:c>
      <x:c r="R36" s="20" t="str">
        <x:v>202504</x:v>
      </x:c>
      <x:c r="S36" s="20" t="str">
        <x:v>202404</x:v>
      </x:c>
      <x:c r="T36" s="23" t="n">
        <x:v>-0.9000000000000057</x:v>
      </x:c>
      <x:c r="U36" s="20" t="str">
        <x:v>Y</x:v>
      </x:c>
      <x:c r="V36" s="20" t="str">
        <x:v>일치</x:v>
      </x:c>
      <x:c r="W36" s="20" t="str">
        <x:v>보류</x:v>
      </x:c>
      <x:c r="X36" s="20" t="str"/>
      <x:c r="Y36" s="20" t="str"/>
      <x:c r="Z36" s="20" t="str"/>
      <x:c r="AA36" s="20" t="str"/>
      <x:c r="AB36" s="20" t="str"/>
      <x:c r="AC36" s="20" t="str"/>
      <x:c r="AD36" s="22" t="str"/>
      <x:c r="AE36" s="20" t="str"/>
      <x:c r="AF36" s="20" t="str"/>
      <x:c r="AG36" s="20" t="str">
        <x:v>N/A</x:v>
      </x:c>
      <x:c r="AH36" s="20" t="str"/>
      <x:c r="AI36" s="20" t="str">
        <x:v>N</x:v>
      </x:c>
      <x:c r="AJ36" s="20" t="str">
        <x:v>N</x:v>
      </x:c>
      <x:c r="AK36" s="20" t="str">
        <x:v>N</x:v>
      </x:c>
      <x:c r="AL36" s="20" t="str">
        <x:v>N</x:v>
      </x:c>
      <x:c r="AM36" s="20" t="str">
        <x:v>N</x:v>
      </x:c>
      <x:c r="AN36" s="20" t="str">
        <x:v>N</x:v>
      </x:c>
      <x:c r="AO36" s="21" t="str"/>
    </x:row>
    <x:row r="37">
      <x:c r="A37" s="20" t="n">
        <x:v>33</x:v>
      </x:c>
      <x:c r="B37" s="20" t="str">
        <x:v>고용</x:v>
      </x:c>
      <x:c r="C37" s="20" t="str">
        <x:v>C14412</x:v>
      </x:c>
      <x:c r="D37" s="20" t="n">
        <x:v>1902</x:v>
      </x:c>
      <x:c r="E37" s="21" t="str">
        <x:v>“더 좋은 기업으로 간다”… 이젠 취업도 ‘반수 시대’</x:v>
      </x:c>
      <x:c r="F37" s="21" t="str">
        <x:v>2025-05-27</x:v>
      </x:c>
      <x:c r="G37" s="21" t="str">
        <x:v>◇늘어나는 취업 반수생 지난 3월 한국경제인협회(한경협)가 발표한 매출액 상위 500대 기업 대상 ‘대졸 신규 채용 계획 조사’ 결과에 따르면, 설문에 응답한 126곳이 작년 뽑은 신입 사원의 28.9%는 이미 이전에 회사를 다닌 경력이 있었다.</x:v>
      </x:c>
      <x:c r="H37" s="21" t="str">
        <x:v>https://www.chosun.com/economy/economy_general/2025/05/27/FUCSNQX24FBOTBKZVNTRCAB3WA</x:v>
      </x:c>
      <x:c r="I37" s="20" t="str">
        <x:v>수준값재검토</x:v>
      </x:c>
      <x:c r="J37" s="20" t="str">
        <x:v>N</x:v>
      </x:c>
      <x:c r="K37" s="20" t="str">
        <x:v>KOSIS 미제공</x:v>
      </x:c>
      <x:c r="L37" s="20" t="str"/>
      <x:c r="M37" s="20" t="str"/>
      <x:c r="N37" s="20" t="str"/>
      <x:c r="O37" s="20" t="str"/>
      <x:c r="P37" s="20" t="str"/>
      <x:c r="Q37" s="22" t="str"/>
      <x:c r="R37" s="20" t="str"/>
      <x:c r="S37" s="20" t="str"/>
      <x:c r="T37" s="23" t="str"/>
      <x:c r="U37" s="20" t="str">
        <x:v>N/A</x:v>
      </x:c>
      <x:c r="V37" s="20" t="str">
        <x:v>판단불가</x:v>
      </x:c>
      <x:c r="W37" s="20" t="str">
        <x:v>검증불가</x:v>
      </x:c>
      <x:c r="X37" s="20" t="str">
        <x:v>정보 부족</x:v>
      </x:c>
      <x:c r="Y37" s="20" t="str"/>
      <x:c r="Z37" s="20" t="str"/>
      <x:c r="AA37" s="20" t="str"/>
      <x:c r="AB37" s="20" t="str"/>
      <x:c r="AC37" s="20" t="str"/>
      <x:c r="AD37" s="22" t="str"/>
      <x:c r="AE37" s="20" t="str"/>
      <x:c r="AF37" s="20" t="str"/>
      <x:c r="AG37" s="20" t="str">
        <x:v>N/A</x:v>
      </x:c>
      <x:c r="AH37" s="20" t="str">
        <x:v>판단불가</x:v>
      </x:c>
      <x:c r="AI37" s="20" t="str">
        <x:v>Y</x:v>
      </x:c>
      <x:c r="AJ37" s="20" t="str">
        <x:v>N/A</x:v>
      </x:c>
      <x:c r="AK37" s="20" t="str">
        <x:v>N/A</x:v>
      </x:c>
      <x:c r="AL37" s="20" t="str">
        <x:v>N/A</x:v>
      </x:c>
      <x:c r="AM37" s="20" t="str">
        <x:v>N/A</x:v>
      </x:c>
      <x:c r="AN37" s="20" t="str">
        <x:v>Y</x:v>
      </x:c>
      <x:c r="AO37" s="21" t="str"/>
    </x:row>
    <x:row r="38">
      <x:c r="A38" s="20" t="n">
        <x:v>34</x:v>
      </x:c>
      <x:c r="B38" s="20" t="str">
        <x:v>고용</x:v>
      </x:c>
      <x:c r="C38" s="20" t="str">
        <x:v>C16599</x:v>
      </x:c>
      <x:c r="D38" s="20" t="n">
        <x:v>2184</x:v>
      </x:c>
      <x:c r="E38" s="21" t="str">
        <x:v>대학 가야 취업 잘 된다? 20대는 고졸이 더 잘 된다</x:v>
      </x:c>
      <x:c r="F38" s="21" t="str">
        <x:v>2025-06-17</x:v>
      </x:c>
      <x:c r="G38" s="21" t="str">
        <x:v>올해 1분기 고졸 실업률은 5.5%로 4년제 대학 이상 졸업자(6.9%)는 물론이고 전문대 졸업자(6.3%)보다도 낮았다.</x:v>
      </x:c>
      <x:c r="H38" s="21" t="str">
        <x:v>https://www.chosun.com/economy/economy_general/2025/06/17/Y6ZA43IVONCVNC77CHG4DVAKW4</x:v>
      </x:c>
      <x:c r="I38" s="20" t="str">
        <x:v>수준값재검토</x:v>
      </x:c>
      <x:c r="J38" s="20" t="str">
        <x:v>N</x:v>
      </x:c>
      <x:c r="K38" s="20" t="str">
        <x:v>정보 부족</x:v>
      </x:c>
      <x:c r="L38" s="20" t="str"/>
      <x:c r="M38" s="20" t="str"/>
      <x:c r="N38" s="20" t="str"/>
      <x:c r="O38" s="20" t="str"/>
      <x:c r="P38" s="20" t="str"/>
      <x:c r="Q38" s="22" t="str"/>
      <x:c r="R38" s="20" t="str"/>
      <x:c r="S38" s="20" t="str"/>
      <x:c r="T38" s="23" t="str"/>
      <x:c r="U38" s="20" t="str">
        <x:v>N/A</x:v>
      </x:c>
      <x:c r="V38" s="20" t="str">
        <x:v>판단불가</x:v>
      </x:c>
      <x:c r="W38" s="20" t="str">
        <x:v>보류</x:v>
      </x:c>
      <x:c r="X38" s="20" t="str"/>
      <x:c r="Y38" s="20" t="str"/>
      <x:c r="Z38" s="20" t="str"/>
      <x:c r="AA38" s="20" t="str"/>
      <x:c r="AB38" s="20" t="str"/>
      <x:c r="AC38" s="20" t="str"/>
      <x:c r="AD38" s="22" t="str"/>
      <x:c r="AE38" s="20" t="str"/>
      <x:c r="AF38" s="20" t="str"/>
      <x:c r="AG38" s="20" t="str">
        <x:v>N/A</x:v>
      </x:c>
      <x:c r="AH38" s="20" t="str"/>
      <x:c r="AI38" s="20" t="str">
        <x:v>N</x:v>
      </x:c>
      <x:c r="AJ38" s="20" t="str">
        <x:v>N/A</x:v>
      </x:c>
      <x:c r="AK38" s="20" t="str">
        <x:v>N/A</x:v>
      </x:c>
      <x:c r="AL38" s="20" t="str">
        <x:v>N/A</x:v>
      </x:c>
      <x:c r="AM38" s="20" t="str">
        <x:v>N/A</x:v>
      </x:c>
      <x:c r="AN38" s="20" t="str">
        <x:v>N</x:v>
      </x:c>
      <x:c r="AO38" s="21" t="str"/>
    </x:row>
    <x:row r="39">
      <x:c r="A39" s="20" t="n">
        <x:v>35</x:v>
      </x:c>
      <x:c r="B39" s="20" t="str">
        <x:v>고용</x:v>
      </x:c>
      <x:c r="C39" s="20" t="str">
        <x:v>C16603</x:v>
      </x:c>
      <x:c r="D39" s="20" t="n">
        <x:v>2184</x:v>
      </x:c>
      <x:c r="E39" s="21" t="str">
        <x:v>대학 가야 취업 잘 된다? 20대는 고졸이 더 잘 된다</x:v>
      </x:c>
      <x:c r="F39" s="21" t="str">
        <x:v>2025-06-17</x:v>
      </x:c>
      <x:c r="G39" s="21" t="str">
        <x:v>50대도 고졸 실업률이 2%, 대졸이 1.5%로 마찬가지였다.</x:v>
      </x:c>
      <x:c r="H39" s="21" t="str">
        <x:v>https://www.chosun.com/economy/economy_general/2025/06/17/Y6ZA43IVONCVNC77CHG4DVAKW4</x:v>
      </x:c>
      <x:c r="I39" s="20" t="str">
        <x:v>수준값재검토</x:v>
      </x:c>
      <x:c r="J39" s="20" t="str">
        <x:v>N</x:v>
      </x:c>
      <x:c r="K39" s="20" t="str">
        <x:v>정보 부족</x:v>
      </x:c>
      <x:c r="L39" s="20" t="str"/>
      <x:c r="M39" s="20" t="str"/>
      <x:c r="N39" s="20" t="str"/>
      <x:c r="O39" s="20" t="str"/>
      <x:c r="P39" s="20" t="str"/>
      <x:c r="Q39" s="22" t="str"/>
      <x:c r="R39" s="20" t="str"/>
      <x:c r="S39" s="20" t="str"/>
      <x:c r="T39" s="23" t="str"/>
      <x:c r="U39" s="20" t="str">
        <x:v>N/A</x:v>
      </x:c>
      <x:c r="V39" s="20" t="str">
        <x:v>판단불가</x:v>
      </x:c>
      <x:c r="W39" s="20" t="str">
        <x:v>보류</x:v>
      </x:c>
      <x:c r="X39" s="20" t="str"/>
      <x:c r="Y39" s="20" t="str"/>
      <x:c r="Z39" s="20" t="str"/>
      <x:c r="AA39" s="20" t="str"/>
      <x:c r="AB39" s="20" t="str"/>
      <x:c r="AC39" s="20" t="str"/>
      <x:c r="AD39" s="22" t="str"/>
      <x:c r="AE39" s="20" t="str"/>
      <x:c r="AF39" s="20" t="str"/>
      <x:c r="AG39" s="20" t="str">
        <x:v>N/A</x:v>
      </x:c>
      <x:c r="AH39" s="20" t="str"/>
      <x:c r="AI39" s="20" t="str">
        <x:v>N</x:v>
      </x:c>
      <x:c r="AJ39" s="20" t="str">
        <x:v>N/A</x:v>
      </x:c>
      <x:c r="AK39" s="20" t="str">
        <x:v>N/A</x:v>
      </x:c>
      <x:c r="AL39" s="20" t="str">
        <x:v>N/A</x:v>
      </x:c>
      <x:c r="AM39" s="20" t="str">
        <x:v>N/A</x:v>
      </x:c>
      <x:c r="AN39" s="20" t="str">
        <x:v>N</x:v>
      </x:c>
      <x:c r="AO39" s="21" t="str"/>
    </x:row>
    <x:row r="40">
      <x:c r="A40" s="20" t="n">
        <x:v>36</x:v>
      </x:c>
      <x:c r="B40" s="20" t="str">
        <x:v>고용</x:v>
      </x:c>
      <x:c r="C40" s="20" t="str">
        <x:v>C18303</x:v>
      </x:c>
      <x:c r="D40" s="20" t="n">
        <x:v>2396</x:v>
      </x:c>
      <x:c r="E40" s="21" t="str">
        <x:v>“국내 서비스업 생산성… 제조업의 40%에 그쳐”</x:v>
      </x:c>
      <x:c r="F40" s="21" t="str">
        <x:v>2025-07-04</x:v>
      </x:c>
      <x:c r="G40" s="21" t="str">
        <x:v>보고서에 따르면 민간 서비스업은 지난해 명목 국내총생산(GDP)의 44%, 취업자 수의 65%를 차지하는 수준으로 커졌지만 코로나 팬데믹 이후 생산성은 장기 추세보다 7~10% 밑돌며 정체되고 있다.</x:v>
      </x:c>
      <x:c r="H40" s="21" t="str">
        <x:v>https://www.chosun.com/economy/economy_general/2025/07/04/425XTIBLWJFQZMOTOK4GZRNGKQ</x:v>
      </x:c>
      <x:c r="I40" s="20" t="str">
        <x:v>수준값재검토</x:v>
      </x:c>
      <x:c r="J40" s="20" t="str">
        <x:v>N</x:v>
      </x:c>
      <x:c r="K40" s="20" t="str">
        <x:v>KOSIS 미제공</x:v>
      </x:c>
      <x:c r="L40" s="20" t="str"/>
      <x:c r="M40" s="20" t="str"/>
      <x:c r="N40" s="20" t="str"/>
      <x:c r="O40" s="20" t="str"/>
      <x:c r="P40" s="20" t="str"/>
      <x:c r="Q40" s="22" t="str"/>
      <x:c r="R40" s="20" t="str"/>
      <x:c r="S40" s="20" t="str"/>
      <x:c r="T40" s="23" t="str"/>
      <x:c r="U40" s="20" t="str">
        <x:v>N/A</x:v>
      </x:c>
      <x:c r="V40" s="20" t="str">
        <x:v>판단불가</x:v>
      </x:c>
      <x:c r="W40" s="20" t="str">
        <x:v>보류</x:v>
      </x:c>
      <x:c r="X40" s="20" t="str"/>
      <x:c r="Y40" s="20" t="str"/>
      <x:c r="Z40" s="20" t="str"/>
      <x:c r="AA40" s="20" t="str"/>
      <x:c r="AB40" s="20" t="str"/>
      <x:c r="AC40" s="20" t="str"/>
      <x:c r="AD40" s="22" t="str"/>
      <x:c r="AE40" s="20" t="str"/>
      <x:c r="AF40" s="20" t="str"/>
      <x:c r="AG40" s="20" t="str">
        <x:v>N/A</x:v>
      </x:c>
      <x:c r="AH40" s="20" t="str"/>
      <x:c r="AI40" s="20" t="str">
        <x:v>N</x:v>
      </x:c>
      <x:c r="AJ40" s="20" t="str">
        <x:v>N/A</x:v>
      </x:c>
      <x:c r="AK40" s="20" t="str">
        <x:v>N/A</x:v>
      </x:c>
      <x:c r="AL40" s="20" t="str">
        <x:v>N/A</x:v>
      </x:c>
      <x:c r="AM40" s="20" t="str">
        <x:v>N/A</x:v>
      </x:c>
      <x:c r="AN40" s="20" t="str">
        <x:v>N</x:v>
      </x:c>
      <x:c r="AO40" s="21" t="str"/>
    </x:row>
    <x:row r="41">
      <x:c r="A41" s="20" t="n">
        <x:v>37</x:v>
      </x:c>
      <x:c r="B41" s="20" t="str">
        <x:v>고용</x:v>
      </x:c>
      <x:c r="C41" s="20" t="str">
        <x:v>C19864</x:v>
      </x:c>
      <x:c r="D41" s="20" t="n">
        <x:v>2624</x:v>
      </x:c>
      <x:c r="E41" s="21" t="str">
        <x:v>20대 인구, 70대 이상보다 적다… 통계 작성 이래 처음</x:v>
      </x:c>
      <x:c r="F41" s="21" t="str">
        <x:v>2025-10-12</x:v>
      </x:c>
      <x:c r="G41" s="21" t="str">
        <x:v>올해 8월 20대 고용률은 60.5%로 전년보다 1.2%포인트(p) 하락했다.</x:v>
      </x:c>
      <x:c r="H41" s="21" t="str">
        <x:v>https://biz.chosun.com/policy/policy_sub/2025/10/12/YBXDEQKJIBBF7IS5Y2PJ2PO2BU/</x:v>
      </x:c>
      <x:c r="I41" s="20" t="str">
        <x:v>증감률재검토</x:v>
      </x:c>
      <x:c r="J41" s="20" t="str">
        <x:v>Y</x:v>
      </x:c>
      <x:c r="K41" s="20" t="str"/>
      <x:c r="L41" s="20" t="str">
        <x:v>DT_1DA7002S</x:v>
      </x:c>
      <x:c r="M41" s="20" t="str">
        <x:v>20</x:v>
      </x:c>
      <x:c r="N41" s="20" t="str"/>
      <x:c r="O41" s="20" t="str">
        <x:v>T90</x:v>
      </x:c>
      <x:c r="P41" s="20" t="str">
        <x:v>M</x:v>
      </x:c>
      <x:c r="Q41" s="22" t="n">
        <x:v>-1.2</x:v>
      </x:c>
      <x:c r="R41" s="20" t="str">
        <x:v>202508</x:v>
      </x:c>
      <x:c r="S41" s="20" t="str">
        <x:v>202408</x:v>
      </x:c>
      <x:c r="T41" s="23" t="n">
        <x:v>-1.2000000000000028</x:v>
      </x:c>
      <x:c r="U41" s="20" t="str">
        <x:v>Y</x:v>
      </x:c>
      <x:c r="V41" s="20" t="str">
        <x:v>일치</x:v>
      </x:c>
      <x:c r="W41" s="20" t="str">
        <x:v>보류</x:v>
      </x:c>
      <x:c r="X41" s="20" t="str"/>
      <x:c r="Y41" s="20" t="str"/>
      <x:c r="Z41" s="20" t="str"/>
      <x:c r="AA41" s="20" t="str"/>
      <x:c r="AB41" s="20" t="str"/>
      <x:c r="AC41" s="20" t="str"/>
      <x:c r="AD41" s="22" t="str"/>
      <x:c r="AE41" s="20" t="str"/>
      <x:c r="AF41" s="20" t="str"/>
      <x:c r="AG41" s="20" t="str">
        <x:v>N/A</x:v>
      </x:c>
      <x:c r="AH41" s="20" t="str"/>
      <x:c r="AI41" s="20" t="str">
        <x:v>N</x:v>
      </x:c>
      <x:c r="AJ41" s="20" t="str">
        <x:v>N</x:v>
      </x:c>
      <x:c r="AK41" s="20" t="str">
        <x:v>N</x:v>
      </x:c>
      <x:c r="AL41" s="20" t="str">
        <x:v>N</x:v>
      </x:c>
      <x:c r="AM41" s="20" t="str">
        <x:v>N</x:v>
      </x:c>
      <x:c r="AN41" s="20" t="str">
        <x:v>N</x:v>
      </x:c>
      <x:c r="AO41" s="21" t="str"/>
    </x:row>
    <x:row r="42">
      <x:c r="A42" s="20" t="n">
        <x:v>38</x:v>
      </x:c>
      <x:c r="B42" s="20" t="str">
        <x:v>고용</x:v>
      </x:c>
      <x:c r="C42" s="20" t="str">
        <x:v>C20111</x:v>
      </x:c>
      <x:c r="D42" s="20" t="n">
        <x:v>2656</x:v>
      </x:c>
      <x:c r="E42" s="21" t="str">
        <x:v>불황에 고용 30만명 늘어난 비결은… "노인이 노인 돌보는 月125만원 일자리가 견인"</x:v>
      </x:c>
      <x:c r="F42" s="21" t="str">
        <x:v>2025-10-27</x:v>
      </x:c>
      <x:c r="G42" s="21" t="str">
        <x:v>상대적으로 부진했던 1월과 5월에도 전체 산업 취업자의 전년 대비 증가분 90%가량은 보건업 및 사회복지 서비스업이었다.</x:v>
      </x:c>
      <x:c r="H42" s="21" t="str">
        <x:v>https://biz.chosun.com/policy/policy_sub/2025/10/27/2FODHT7STNEO3HWNL4LF4DKVKY/</x:v>
      </x:c>
      <x:c r="I42" s="20" t="str">
        <x:v>증감률재검토</x:v>
      </x:c>
      <x:c r="J42" s="20" t="str">
        <x:v>N</x:v>
      </x:c>
      <x:c r="K42" s="20" t="str">
        <x:v>정보 부족</x:v>
      </x:c>
      <x:c r="L42" s="20" t="str"/>
      <x:c r="M42" s="20" t="str"/>
      <x:c r="N42" s="20" t="str"/>
      <x:c r="O42" s="20" t="str"/>
      <x:c r="P42" s="20" t="str"/>
      <x:c r="Q42" s="22" t="str"/>
      <x:c r="R42" s="20" t="str"/>
      <x:c r="S42" s="20" t="str"/>
      <x:c r="T42" s="23" t="str"/>
      <x:c r="U42" s="20" t="str">
        <x:v>N/A</x:v>
      </x:c>
      <x:c r="V42" s="20" t="str">
        <x:v>판단불가</x:v>
      </x:c>
      <x:c r="W42" s="20" t="str">
        <x:v>보류</x:v>
      </x:c>
      <x:c r="X42" s="20" t="str"/>
      <x:c r="Y42" s="20" t="str"/>
      <x:c r="Z42" s="20" t="str"/>
      <x:c r="AA42" s="20" t="str"/>
      <x:c r="AB42" s="20" t="str"/>
      <x:c r="AC42" s="20" t="str"/>
      <x:c r="AD42" s="22" t="str"/>
      <x:c r="AE42" s="20" t="str"/>
      <x:c r="AF42" s="20" t="str"/>
      <x:c r="AG42" s="20" t="str">
        <x:v>N/A</x:v>
      </x:c>
      <x:c r="AH42" s="20" t="str"/>
      <x:c r="AI42" s="20" t="str">
        <x:v>N</x:v>
      </x:c>
      <x:c r="AJ42" s="20" t="str">
        <x:v>N/A</x:v>
      </x:c>
      <x:c r="AK42" s="20" t="str">
        <x:v>N/A</x:v>
      </x:c>
      <x:c r="AL42" s="20" t="str">
        <x:v>N/A</x:v>
      </x:c>
      <x:c r="AM42" s="20" t="str">
        <x:v>N/A</x:v>
      </x:c>
      <x:c r="AN42" s="20" t="str">
        <x:v>N</x:v>
      </x:c>
      <x:c r="AO42" s="21" t="str"/>
    </x:row>
    <x:row r="43">
      <x:c r="A43" s="20" t="n">
        <x:v>39</x:v>
      </x:c>
      <x:c r="B43" s="20" t="str">
        <x:v>고용</x:v>
      </x:c>
      <x:c r="C43" s="20" t="str">
        <x:v>C20115</x:v>
      </x:c>
      <x:c r="D43" s="20" t="n">
        <x:v>2656</x:v>
      </x:c>
      <x:c r="E43" s="21" t="str">
        <x:v>불황에 고용 30만명 늘어난 비결은… "노인이 노인 돌보는 月125만원 일자리가 견인"</x:v>
      </x:c>
      <x:c r="F43" s="21" t="str">
        <x:v>2025-10-27</x:v>
      </x:c>
      <x:c r="G43" s="21" t="str">
        <x:v>조사 시점을 기준으로 최근 3개월간 비거주 복지시설 운영업 취업자의 평균 임금은 125만원이다.</x:v>
      </x:c>
      <x:c r="H43" s="21" t="str">
        <x:v>https://biz.chosun.com/policy/policy_sub/2025/10/27/2FODHT7STNEO3HWNL4LF4DKVKY/</x:v>
      </x:c>
      <x:c r="I43" s="20" t="str">
        <x:v>수준값재검토</x:v>
      </x:c>
      <x:c r="J43" s="20" t="str">
        <x:v>N</x:v>
      </x:c>
      <x:c r="K43" s="20" t="str">
        <x:v>정보 부족</x:v>
      </x:c>
      <x:c r="L43" s="20" t="str"/>
      <x:c r="M43" s="20" t="str"/>
      <x:c r="N43" s="20" t="str"/>
      <x:c r="O43" s="20" t="str"/>
      <x:c r="P43" s="20" t="str"/>
      <x:c r="Q43" s="22" t="str"/>
      <x:c r="R43" s="20" t="str"/>
      <x:c r="S43" s="20" t="str"/>
      <x:c r="T43" s="23" t="str"/>
      <x:c r="U43" s="20" t="str">
        <x:v>N/A</x:v>
      </x:c>
      <x:c r="V43" s="20" t="str">
        <x:v>판단불가</x:v>
      </x:c>
      <x:c r="W43" s="20" t="str">
        <x:v>보류</x:v>
      </x:c>
      <x:c r="X43" s="20" t="str"/>
      <x:c r="Y43" s="20" t="str"/>
      <x:c r="Z43" s="20" t="str"/>
      <x:c r="AA43" s="20" t="str"/>
      <x:c r="AB43" s="20" t="str"/>
      <x:c r="AC43" s="20" t="str"/>
      <x:c r="AD43" s="22" t="str"/>
      <x:c r="AE43" s="20" t="str"/>
      <x:c r="AF43" s="20" t="str"/>
      <x:c r="AG43" s="20" t="str">
        <x:v>N/A</x:v>
      </x:c>
      <x:c r="AH43" s="20" t="str"/>
      <x:c r="AI43" s="20" t="str">
        <x:v>N</x:v>
      </x:c>
      <x:c r="AJ43" s="20" t="str">
        <x:v>N/A</x:v>
      </x:c>
      <x:c r="AK43" s="20" t="str">
        <x:v>N/A</x:v>
      </x:c>
      <x:c r="AL43" s="20" t="str">
        <x:v>N/A</x:v>
      </x:c>
      <x:c r="AM43" s="20" t="str">
        <x:v>N/A</x:v>
      </x:c>
      <x:c r="AN43" s="20" t="str">
        <x:v>N</x:v>
      </x:c>
      <x:c r="AO43" s="21" t="str"/>
    </x:row>
    <x:row r="44">
      <x:c r="A44" s="20" t="n">
        <x:v>40</x:v>
      </x:c>
      <x:c r="B44" s="20" t="str">
        <x:v>고용</x:v>
      </x:c>
      <x:c r="C44" s="20" t="str">
        <x:v>C20133</x:v>
      </x:c>
      <x:c r="D44" s="20" t="n">
        <x:v>2661</x:v>
      </x:c>
      <x:c r="E44" s="21" t="str">
        <x:v>고령화가 바꾼 노동시장… 올해 상반기 일자리 증가 1위는 '돌봄·노인 일자리'</x:v>
      </x:c>
      <x:c r="F44" s="21" t="str">
        <x:v>2025-10-28</x:v>
      </x:c>
      <x:c r="G44" s="21" t="str">
        <x:v>올해 상반기 취업자는 매장판매종사자(153만9000명, 5.3%), 청소관련종사자(127만2000명, 4.4%), 작물재배종사자(120만5000명, 4.2%) 순이었다.</x:v>
      </x:c>
      <x:c r="H44" s="21" t="str">
        <x:v>https://biz.chosun.com/policy/policy_sub/2025/10/28/UI24JIQ5KVFK7ARLCFJWISN6LE/</x:v>
      </x:c>
      <x:c r="I44" s="20" t="str">
        <x:v>판단불가</x:v>
      </x:c>
      <x:c r="J44" s="20" t="str">
        <x:v>N</x:v>
      </x:c>
      <x:c r="K44" s="20" t="str">
        <x:v>정보 부족</x:v>
      </x:c>
      <x:c r="L44" s="20" t="str"/>
      <x:c r="M44" s="20" t="str"/>
      <x:c r="N44" s="20" t="str"/>
      <x:c r="O44" s="20" t="str"/>
      <x:c r="P44" s="20" t="str"/>
      <x:c r="Q44" s="22" t="str"/>
      <x:c r="R44" s="20" t="str"/>
      <x:c r="S44" s="20" t="str"/>
      <x:c r="T44" s="23" t="str"/>
      <x:c r="U44" s="20" t="str">
        <x:v>N/A</x:v>
      </x:c>
      <x:c r="V44" s="20" t="str">
        <x:v>판단불가</x:v>
      </x:c>
      <x:c r="W44" s="20" t="str">
        <x:v>보류</x:v>
      </x:c>
      <x:c r="X44" s="20" t="str"/>
      <x:c r="Y44" s="20" t="str"/>
      <x:c r="Z44" s="20" t="str"/>
      <x:c r="AA44" s="20" t="str"/>
      <x:c r="AB44" s="20" t="str"/>
      <x:c r="AC44" s="20" t="str"/>
      <x:c r="AD44" s="22" t="str"/>
      <x:c r="AE44" s="20" t="str"/>
      <x:c r="AF44" s="20" t="str"/>
      <x:c r="AG44" s="20" t="str">
        <x:v>N/A</x:v>
      </x:c>
      <x:c r="AH44" s="20" t="str"/>
      <x:c r="AI44" s="20" t="str">
        <x:v>N</x:v>
      </x:c>
      <x:c r="AJ44" s="20" t="str">
        <x:v>N/A</x:v>
      </x:c>
      <x:c r="AK44" s="20" t="str">
        <x:v>N/A</x:v>
      </x:c>
      <x:c r="AL44" s="20" t="str">
        <x:v>N/A</x:v>
      </x:c>
      <x:c r="AM44" s="20" t="str">
        <x:v>N/A</x:v>
      </x:c>
      <x:c r="AN44" s="20" t="str">
        <x:v>N</x:v>
      </x:c>
      <x:c r="AO44" s="21" t="str"/>
    </x:row>
    <x:row r="45">
      <x:c r="A45" s="20" t="n">
        <x:v>41</x:v>
      </x:c>
      <x:c r="B45" s="20" t="str">
        <x:v>무역</x:v>
      </x:c>
      <x:c r="C45" s="20" t="str">
        <x:v>C00180</x:v>
      </x:c>
      <x:c r="D45" s="20" t="n">
        <x:v>18</x:v>
      </x:c>
      <x:c r="E45" s="21" t="str">
        <x:v>반도체 덕에… 지난해 수출 6838억달러 역대 최대</x:v>
      </x:c>
      <x:c r="F45" s="21" t="str">
        <x:v>2025-01-02</x:v>
      </x:c>
      <x:c r="G45" s="21" t="str">
        <x:v>작년 수출이 역대 최대 실적을 달성한 것은 4개월 연속 둔화세를 보이던 수출이 지난달 선방했기 때문이다.</x:v>
      </x:c>
      <x:c r="H45" s="21" t="str">
        <x:v>https://www.chosun.com/economy/economy_general/2025/01/02/6MYGM52QIVHUJBIZYYFBUW5IQM</x:v>
      </x:c>
      <x:c r="I45" s="20" t="str">
        <x:v>판단불가</x:v>
      </x:c>
      <x:c r="J45" s="20" t="str">
        <x:v>N</x:v>
      </x:c>
      <x:c r="K45" s="20" t="str">
        <x:v>정보 부족</x:v>
      </x:c>
      <x:c r="L45" s="20" t="str"/>
      <x:c r="M45" s="20" t="str"/>
      <x:c r="N45" s="20" t="str"/>
      <x:c r="O45" s="20" t="str"/>
      <x:c r="P45" s="20" t="str"/>
      <x:c r="Q45" s="22" t="str"/>
      <x:c r="R45" s="20" t="str"/>
      <x:c r="S45" s="20" t="str"/>
      <x:c r="T45" s="23" t="str"/>
      <x:c r="U45" s="20" t="str">
        <x:v>N/A</x:v>
      </x:c>
      <x:c r="V45" s="20" t="str">
        <x:v>판단불가</x:v>
      </x:c>
      <x:c r="W45" s="20" t="str">
        <x:v>보류</x:v>
      </x:c>
      <x:c r="X45" s="20" t="str"/>
      <x:c r="Y45" s="20" t="str"/>
      <x:c r="Z45" s="20" t="str"/>
      <x:c r="AA45" s="20" t="str"/>
      <x:c r="AB45" s="20" t="str"/>
      <x:c r="AC45" s="20" t="str"/>
      <x:c r="AD45" s="22" t="str"/>
      <x:c r="AE45" s="20" t="str"/>
      <x:c r="AF45" s="20" t="str"/>
      <x:c r="AG45" s="20" t="str">
        <x:v>N/A</x:v>
      </x:c>
      <x:c r="AH45" s="20" t="str"/>
      <x:c r="AI45" s="20" t="str">
        <x:v>N</x:v>
      </x:c>
      <x:c r="AJ45" s="20" t="str">
        <x:v>N/A</x:v>
      </x:c>
      <x:c r="AK45" s="20" t="str">
        <x:v>N/A</x:v>
      </x:c>
      <x:c r="AL45" s="20" t="str">
        <x:v>N/A</x:v>
      </x:c>
      <x:c r="AM45" s="20" t="str">
        <x:v>N/A</x:v>
      </x:c>
      <x:c r="AN45" s="20" t="str">
        <x:v>N</x:v>
      </x:c>
      <x:c r="AO45" s="21" t="str"/>
    </x:row>
    <x:row r="46">
      <x:c r="A46" s="20" t="n">
        <x:v>42</x:v>
      </x:c>
      <x:c r="B46" s="20" t="str">
        <x:v>무역</x:v>
      </x:c>
      <x:c r="C46" s="20" t="str">
        <x:v>C00781</x:v>
      </x:c>
      <x:c r="D46" s="20" t="n">
        <x:v>98</x:v>
      </x:c>
      <x:c r="E46" s="21" t="str">
        <x:v>‘트럼프發 널뛰기’ 시작됐다… 6일밤 출렁댄 강달러</x:v>
      </x:c>
      <x:c r="F46" s="21" t="str">
        <x:v>2025-01-08</x:v>
      </x:c>
      <x:c r="G46" s="21" t="str">
        <x:v>그간 트럼프는 모든 수입품에 10~20%의 ‘보편 관세’를 부과하겠다고 공약해 왔다.</x:v>
      </x:c>
      <x:c r="H46" s="21" t="str">
        <x:v>https://www.chosun.com/economy/economy_general/2025/01/08/CE4Q7O7NMBGEZMFOWSBJAD7SV4</x:v>
      </x:c>
      <x:c r="I46" s="20" t="str">
        <x:v>수준값재검토</x:v>
      </x:c>
      <x:c r="J46" s="20" t="str">
        <x:v>N</x:v>
      </x:c>
      <x:c r="K46" s="20" t="str">
        <x:v>KOSIS 미제공</x:v>
      </x:c>
      <x:c r="L46" s="20" t="str"/>
      <x:c r="M46" s="20" t="str"/>
      <x:c r="N46" s="20" t="str"/>
      <x:c r="O46" s="20" t="str"/>
      <x:c r="P46" s="20" t="str"/>
      <x:c r="Q46" s="22" t="str"/>
      <x:c r="R46" s="20" t="str"/>
      <x:c r="S46" s="20" t="str"/>
      <x:c r="T46" s="23" t="str"/>
      <x:c r="U46" s="20" t="str">
        <x:v>N/A</x:v>
      </x:c>
      <x:c r="V46" s="20" t="str">
        <x:v>판단불가</x:v>
      </x:c>
      <x:c r="W46" s="20" t="str">
        <x:v>보류</x:v>
      </x:c>
      <x:c r="X46" s="20" t="str"/>
      <x:c r="Y46" s="20" t="str"/>
      <x:c r="Z46" s="20" t="str"/>
      <x:c r="AA46" s="20" t="str"/>
      <x:c r="AB46" s="20" t="str"/>
      <x:c r="AC46" s="20" t="str"/>
      <x:c r="AD46" s="22" t="str"/>
      <x:c r="AE46" s="20" t="str"/>
      <x:c r="AF46" s="20" t="str"/>
      <x:c r="AG46" s="20" t="str">
        <x:v>N/A</x:v>
      </x:c>
      <x:c r="AH46" s="20" t="str"/>
      <x:c r="AI46" s="20" t="str">
        <x:v>N</x:v>
      </x:c>
      <x:c r="AJ46" s="20" t="str">
        <x:v>N/A</x:v>
      </x:c>
      <x:c r="AK46" s="20" t="str">
        <x:v>N/A</x:v>
      </x:c>
      <x:c r="AL46" s="20" t="str">
        <x:v>N/A</x:v>
      </x:c>
      <x:c r="AM46" s="20" t="str">
        <x:v>N/A</x:v>
      </x:c>
      <x:c r="AN46" s="20" t="str">
        <x:v>N</x:v>
      </x:c>
      <x:c r="AO46" s="21" t="str"/>
    </x:row>
    <x:row r="47">
      <x:c r="A47" s="20" t="n">
        <x:v>43</x:v>
      </x:c>
      <x:c r="B47" s="20" t="str">
        <x:v>무역</x:v>
      </x:c>
      <x:c r="C47" s="20" t="str">
        <x:v>C00807</x:v>
      </x:c>
      <x:c r="D47" s="20" t="n">
        <x:v>101</x:v>
      </x:c>
      <x:c r="E47" s="21" t="str">
        <x:v>崔 대행 “다음달 중 비상수출대책 수립...100조 무역보험 공급”</x:v>
      </x:c>
      <x:c r="F47" s="21" t="str">
        <x:v>2025-01-08</x:v>
      </x:c>
      <x:c r="G47" s="21" t="str">
        <x:v>또 “실물 경기 회복을 위한 역대 최대 수준의 정책 금융 248조 원을 상반기 최대 60%까지 신속하게 집행하고, 기업 상장 유지 요건 완화, 상장 폐지 절차 효율화를 포함한 상장 폐지 제도개선 방안을 다음달까지 조속히 마련하겠다”고 했다.</x:v>
      </x:c>
      <x:c r="H47" s="21" t="str">
        <x:v>https://www.chosun.com/economy/economy_general/2025/01/08/M6GC4QNEYVG4FBWYYJ6PPLI2RY</x:v>
      </x:c>
      <x:c r="I47" s="20" t="str">
        <x:v>판단불가</x:v>
      </x:c>
      <x:c r="J47" s="20" t="str">
        <x:v>N</x:v>
      </x:c>
      <x:c r="K47" s="20" t="str">
        <x:v>KOSIS 미제공</x:v>
      </x:c>
      <x:c r="L47" s="20" t="str"/>
      <x:c r="M47" s="20" t="str"/>
      <x:c r="N47" s="20" t="str"/>
      <x:c r="O47" s="20" t="str"/>
      <x:c r="P47" s="20" t="str"/>
      <x:c r="Q47" s="22" t="str"/>
      <x:c r="R47" s="20" t="str"/>
      <x:c r="S47" s="20" t="str"/>
      <x:c r="T47" s="23" t="str"/>
      <x:c r="U47" s="20" t="str">
        <x:v>N/A</x:v>
      </x:c>
      <x:c r="V47" s="20" t="str">
        <x:v>판단불가</x:v>
      </x:c>
      <x:c r="W47" s="20" t="str">
        <x:v>보류</x:v>
      </x:c>
      <x:c r="X47" s="20" t="str"/>
      <x:c r="Y47" s="20" t="str"/>
      <x:c r="Z47" s="20" t="str"/>
      <x:c r="AA47" s="20" t="str"/>
      <x:c r="AB47" s="20" t="str"/>
      <x:c r="AC47" s="20" t="str"/>
      <x:c r="AD47" s="22" t="str"/>
      <x:c r="AE47" s="20" t="str"/>
      <x:c r="AF47" s="20" t="str"/>
      <x:c r="AG47" s="20" t="str">
        <x:v>N/A</x:v>
      </x:c>
      <x:c r="AH47" s="20" t="str"/>
      <x:c r="AI47" s="20" t="str">
        <x:v>N</x:v>
      </x:c>
      <x:c r="AJ47" s="20" t="str">
        <x:v>N/A</x:v>
      </x:c>
      <x:c r="AK47" s="20" t="str">
        <x:v>N/A</x:v>
      </x:c>
      <x:c r="AL47" s="20" t="str">
        <x:v>N/A</x:v>
      </x:c>
      <x:c r="AM47" s="20" t="str">
        <x:v>N/A</x:v>
      </x:c>
      <x:c r="AN47" s="20" t="str">
        <x:v>N</x:v>
      </x:c>
      <x:c r="AO47" s="21" t="str"/>
    </x:row>
    <x:row r="48">
      <x:c r="A48" s="20" t="n">
        <x:v>44</x:v>
      </x:c>
      <x:c r="B48" s="20" t="str">
        <x:v>무역</x:v>
      </x:c>
      <x:c r="C48" s="20" t="str">
        <x:v>C00812</x:v>
      </x:c>
      <x:c r="D48" s="20" t="n">
        <x:v>103</x:v>
      </x:c>
      <x:c r="E48" s="21" t="str">
        <x:v>라면·냉동 김밥… K푸드 수출 1위는 미국</x:v>
      </x:c>
      <x:c r="F48" s="21" t="str">
        <x:v>2025-01-08</x:v>
      </x:c>
      <x:c r="G48" s="21" t="str">
        <x:v>대(對)미국 수출은 15억9000만달러로 2023년보다 21.2% 늘었다.</x:v>
      </x:c>
      <x:c r="H48" s="21" t="str">
        <x:v>https://www.chosun.com/economy/economy_general/2025/01/08/OCB6UW6X6NHHJAWKHI34GRQSBI</x:v>
      </x:c>
      <x:c r="I48" s="20" t="str">
        <x:v>증감률재검토</x:v>
      </x:c>
      <x:c r="J48" s="20" t="str">
        <x:v>N</x:v>
      </x:c>
      <x:c r="K48" s="20" t="str">
        <x:v>지역·분류 불일치</x:v>
      </x:c>
      <x:c r="L48" s="20" t="str"/>
      <x:c r="M48" s="20" t="str"/>
      <x:c r="N48" s="20" t="str"/>
      <x:c r="O48" s="20" t="str"/>
      <x:c r="P48" s="20" t="str"/>
      <x:c r="Q48" s="22" t="str"/>
      <x:c r="R48" s="20" t="str"/>
      <x:c r="S48" s="20" t="str"/>
      <x:c r="T48" s="23" t="str"/>
      <x:c r="U48" s="20" t="str">
        <x:v>N/A</x:v>
      </x:c>
      <x:c r="V48" s="20" t="str">
        <x:v>판단불가</x:v>
      </x:c>
      <x:c r="W48" s="20" t="str">
        <x:v>보류</x:v>
      </x:c>
      <x:c r="X48" s="20" t="str"/>
      <x:c r="Y48" s="20" t="str"/>
      <x:c r="Z48" s="20" t="str"/>
      <x:c r="AA48" s="20" t="str"/>
      <x:c r="AB48" s="20" t="str"/>
      <x:c r="AC48" s="20" t="str"/>
      <x:c r="AD48" s="22" t="str"/>
      <x:c r="AE48" s="20" t="str"/>
      <x:c r="AF48" s="20" t="str"/>
      <x:c r="AG48" s="20" t="str">
        <x:v>N/A</x:v>
      </x:c>
      <x:c r="AH48" s="20" t="str"/>
      <x:c r="AI48" s="20" t="str">
        <x:v>N</x:v>
      </x:c>
      <x:c r="AJ48" s="20" t="str">
        <x:v>N/A</x:v>
      </x:c>
      <x:c r="AK48" s="20" t="str">
        <x:v>N/A</x:v>
      </x:c>
      <x:c r="AL48" s="20" t="str">
        <x:v>N/A</x:v>
      </x:c>
      <x:c r="AM48" s="20" t="str">
        <x:v>N/A</x:v>
      </x:c>
      <x:c r="AN48" s="20" t="str">
        <x:v>N</x:v>
      </x:c>
      <x:c r="AO48" s="21" t="str"/>
    </x:row>
    <x:row r="49">
      <x:c r="A49" s="20" t="n">
        <x:v>45</x:v>
      </x:c>
      <x:c r="B49" s="20" t="str">
        <x:v>무역</x:v>
      </x:c>
      <x:c r="C49" s="20" t="str">
        <x:v>C01303</x:v>
      </x:c>
      <x:c r="D49" s="20" t="n">
        <x:v>182</x:v>
      </x:c>
      <x:c r="E49" s="21" t="str">
        <x:v>올 첫 열흘 동안 수출, 작년보다 3.8% 늘어</x:v>
      </x:c>
      <x:c r="F49" s="21" t="str">
        <x:v>2025-01-14</x:v>
      </x:c>
      <x:c r="G49" s="21" t="str">
        <x:v>유럽연합(-2.5%), 일본(-4.2%)은 반면 수출이 줄었다.</x:v>
      </x:c>
      <x:c r="H49" s="21" t="str">
        <x:v>https://www.chosun.com/economy/industry-company/2025/01/14/IPPOGTCXI5BFRB5DIIBS3YJ77I</x:v>
      </x:c>
      <x:c r="I49" s="20" t="str">
        <x:v>판단불가</x:v>
      </x:c>
      <x:c r="J49" s="20" t="str">
        <x:v>N</x:v>
      </x:c>
      <x:c r="K49" s="20" t="str">
        <x:v>정보 부족</x:v>
      </x:c>
      <x:c r="L49" s="20" t="str"/>
      <x:c r="M49" s="20" t="str"/>
      <x:c r="N49" s="20" t="str"/>
      <x:c r="O49" s="20" t="str"/>
      <x:c r="P49" s="20" t="str"/>
      <x:c r="Q49" s="22" t="str"/>
      <x:c r="R49" s="20" t="str"/>
      <x:c r="S49" s="20" t="str"/>
      <x:c r="T49" s="23" t="str"/>
      <x:c r="U49" s="20" t="str">
        <x:v>N/A</x:v>
      </x:c>
      <x:c r="V49" s="20" t="str">
        <x:v>판단불가</x:v>
      </x:c>
      <x:c r="W49" s="20" t="str">
        <x:v>보류</x:v>
      </x:c>
      <x:c r="X49" s="20" t="str"/>
      <x:c r="Y49" s="20" t="str"/>
      <x:c r="Z49" s="20" t="str"/>
      <x:c r="AA49" s="20" t="str"/>
      <x:c r="AB49" s="20" t="str"/>
      <x:c r="AC49" s="20" t="str"/>
      <x:c r="AD49" s="22" t="str"/>
      <x:c r="AE49" s="20" t="str"/>
      <x:c r="AF49" s="20" t="str"/>
      <x:c r="AG49" s="20" t="str">
        <x:v>N/A</x:v>
      </x:c>
      <x:c r="AH49" s="20" t="str"/>
      <x:c r="AI49" s="20" t="str">
        <x:v>N</x:v>
      </x:c>
      <x:c r="AJ49" s="20" t="str">
        <x:v>N/A</x:v>
      </x:c>
      <x:c r="AK49" s="20" t="str">
        <x:v>N/A</x:v>
      </x:c>
      <x:c r="AL49" s="20" t="str">
        <x:v>N/A</x:v>
      </x:c>
      <x:c r="AM49" s="20" t="str">
        <x:v>N/A</x:v>
      </x:c>
      <x:c r="AN49" s="20" t="str">
        <x:v>N</x:v>
      </x:c>
      <x:c r="AO49" s="21" t="str"/>
    </x:row>
    <x:row r="50">
      <x:c r="A50" s="20" t="n">
        <x:v>46</x:v>
      </x:c>
      <x:c r="B50" s="20" t="str">
        <x:v>무역</x:v>
      </x:c>
      <x:c r="C50" s="20" t="str">
        <x:v>C04941</x:v>
      </x:c>
      <x:c r="D50" s="20" t="n">
        <x:v>628</x:v>
      </x:c>
      <x:c r="E50" s="21" t="str">
        <x:v>월급쟁이가 낸 세금 첫 60조원 돌파… 법인세 육박</x:v>
      </x:c>
      <x:c r="F50" s="21" t="str">
        <x:v>2025-02-18</x:v>
      </x:c>
      <x:c r="G50" s="21" t="str">
        <x:v>전체 국세 수입 중 근로소득세 비율도 18%를 넘어 역대 최고를 기록했다.</x:v>
      </x:c>
      <x:c r="H50" s="21" t="str">
        <x:v>https://www.chosun.com/economy/economy_general/2025/02/18/ACYHDWUYD5CGBP3AODXWYTSYVQ</x:v>
      </x:c>
      <x:c r="I50" s="20" t="str">
        <x:v>수준값재검토</x:v>
      </x:c>
      <x:c r="J50" s="20" t="str">
        <x:v>N</x:v>
      </x:c>
      <x:c r="K50" s="20" t="str">
        <x:v>지역·분류 불일치</x:v>
      </x:c>
      <x:c r="L50" s="20" t="str"/>
      <x:c r="M50" s="20" t="str"/>
      <x:c r="N50" s="20" t="str"/>
      <x:c r="O50" s="20" t="str"/>
      <x:c r="P50" s="20" t="str"/>
      <x:c r="Q50" s="22" t="str"/>
      <x:c r="R50" s="20" t="str"/>
      <x:c r="S50" s="20" t="str"/>
      <x:c r="T50" s="23" t="str"/>
      <x:c r="U50" s="20" t="str">
        <x:v>N/A</x:v>
      </x:c>
      <x:c r="V50" s="20" t="str">
        <x:v>판단불가</x:v>
      </x:c>
      <x:c r="W50" s="20" t="str">
        <x:v>보류</x:v>
      </x:c>
      <x:c r="X50" s="20" t="str"/>
      <x:c r="Y50" s="20" t="str"/>
      <x:c r="Z50" s="20" t="str"/>
      <x:c r="AA50" s="20" t="str"/>
      <x:c r="AB50" s="20" t="str"/>
      <x:c r="AC50" s="20" t="str"/>
      <x:c r="AD50" s="22" t="str"/>
      <x:c r="AE50" s="20" t="str"/>
      <x:c r="AF50" s="20" t="str"/>
      <x:c r="AG50" s="20" t="str">
        <x:v>N/A</x:v>
      </x:c>
      <x:c r="AH50" s="20" t="str"/>
      <x:c r="AI50" s="20" t="str">
        <x:v>N</x:v>
      </x:c>
      <x:c r="AJ50" s="20" t="str">
        <x:v>N/A</x:v>
      </x:c>
      <x:c r="AK50" s="20" t="str">
        <x:v>N/A</x:v>
      </x:c>
      <x:c r="AL50" s="20" t="str">
        <x:v>N/A</x:v>
      </x:c>
      <x:c r="AM50" s="20" t="str">
        <x:v>N/A</x:v>
      </x:c>
      <x:c r="AN50" s="20" t="str">
        <x:v>N</x:v>
      </x:c>
      <x:c r="AO50" s="21" t="str"/>
    </x:row>
    <x:row r="51">
      <x:c r="A51" s="20" t="n">
        <x:v>47</x:v>
      </x:c>
      <x:c r="B51" s="20" t="str">
        <x:v>무역</x:v>
      </x:c>
      <x:c r="C51" s="20" t="str">
        <x:v>C05059</x:v>
      </x:c>
      <x:c r="D51" s="20" t="n">
        <x:v>644</x:v>
      </x:c>
      <x:c r="E51" s="21" t="str">
        <x:v>“트럼프 강경책, 中 국제적 입지 높여줄 수도”</x:v>
      </x:c>
      <x:c r="F51" s="21" t="str">
        <x:v>2025-02-19</x:v>
      </x:c>
      <x:c r="G51" s="21" t="str">
        <x:v>17일 니혼게이자이신문(닛케이) 아시아판은 “최근 트럼프 정부가 모든 중국 수입품에 10% 관세를 추가로 부과하는 등 견제를 강화하고 있지만, 중국 역시 이에 맞서 선제적으로 주요 국가들과의 관계 개선에 박차를 가한 덕분에 국제적 입지가 달라지고 있다”고 했다.</x:v>
      </x:c>
      <x:c r="H51" s="21" t="str">
        <x:v>https://www.chosun.com/economy/economy_general/2025/02/19/65PKOXLPYVHLBKGIOWAWERWGXU</x:v>
      </x:c>
      <x:c r="I51" s="20" t="str">
        <x:v>증감률재검토</x:v>
      </x:c>
      <x:c r="J51" s="20" t="str">
        <x:v>N</x:v>
      </x:c>
      <x:c r="K51" s="20" t="str">
        <x:v>KOSIS 미제공</x:v>
      </x:c>
      <x:c r="L51" s="20" t="str"/>
      <x:c r="M51" s="20" t="str"/>
      <x:c r="N51" s="20" t="str"/>
      <x:c r="O51" s="20" t="str"/>
      <x:c r="P51" s="20" t="str"/>
      <x:c r="Q51" s="22" t="str"/>
      <x:c r="R51" s="20" t="str"/>
      <x:c r="S51" s="20" t="str"/>
      <x:c r="T51" s="23" t="str"/>
      <x:c r="U51" s="20" t="str">
        <x:v>N/A</x:v>
      </x:c>
      <x:c r="V51" s="20" t="str">
        <x:v>판단불가</x:v>
      </x:c>
      <x:c r="W51" s="20" t="str">
        <x:v>보류</x:v>
      </x:c>
      <x:c r="X51" s="20" t="str"/>
      <x:c r="Y51" s="20" t="str"/>
      <x:c r="Z51" s="20" t="str"/>
      <x:c r="AA51" s="20" t="str"/>
      <x:c r="AB51" s="20" t="str"/>
      <x:c r="AC51" s="20" t="str"/>
      <x:c r="AD51" s="22" t="str"/>
      <x:c r="AE51" s="20" t="str"/>
      <x:c r="AF51" s="20" t="str"/>
      <x:c r="AG51" s="20" t="str">
        <x:v>N/A</x:v>
      </x:c>
      <x:c r="AH51" s="20" t="str"/>
      <x:c r="AI51" s="20" t="str">
        <x:v>N</x:v>
      </x:c>
      <x:c r="AJ51" s="20" t="str">
        <x:v>N/A</x:v>
      </x:c>
      <x:c r="AK51" s="20" t="str">
        <x:v>N/A</x:v>
      </x:c>
      <x:c r="AL51" s="20" t="str">
        <x:v>N/A</x:v>
      </x:c>
      <x:c r="AM51" s="20" t="str">
        <x:v>N/A</x:v>
      </x:c>
      <x:c r="AN51" s="20" t="str">
        <x:v>N</x:v>
      </x:c>
      <x:c r="AO51" s="21" t="str"/>
    </x:row>
    <x:row r="52">
      <x:c r="A52" s="20" t="n">
        <x:v>48</x:v>
      </x:c>
      <x:c r="B52" s="20" t="str">
        <x:v>무역</x:v>
      </x:c>
      <x:c r="C52" s="20" t="str">
        <x:v>C07217</x:v>
      </x:c>
      <x:c r="D52" s="20" t="n">
        <x:v>912</x:v>
      </x:c>
      <x:c r="E52" s="21" t="str">
        <x:v>수입 대형 SUV 시장 선도 ‘더 뉴 포드 익스플로러’</x:v>
      </x:c>
      <x:c r="F52" s="21" t="str">
        <x:v>2025-03-12</x:v>
      </x:c>
      <x:c r="G52" s="21" t="str">
        <x:v>미국 시장에서 지난 35년간 가장 많은 누적 판매량을 기록한 베스트셀러다.</x:v>
      </x:c>
      <x:c r="H52" s="21" t="str">
        <x:v>https://www.chosun.com/economy/auto/2025/03/12/OWGNQ2ZEYJDVXNXMVXOK76Q37M</x:v>
      </x:c>
      <x:c r="I52" s="20" t="str">
        <x:v>판단불가</x:v>
      </x:c>
      <x:c r="J52" s="20" t="str">
        <x:v>N</x:v>
      </x:c>
      <x:c r="K52" s="20" t="str">
        <x:v>KOSIS 미제공</x:v>
      </x:c>
      <x:c r="L52" s="20" t="str"/>
      <x:c r="M52" s="20" t="str"/>
      <x:c r="N52" s="20" t="str"/>
      <x:c r="O52" s="20" t="str"/>
      <x:c r="P52" s="20" t="str"/>
      <x:c r="Q52" s="22" t="str"/>
      <x:c r="R52" s="20" t="str"/>
      <x:c r="S52" s="20" t="str"/>
      <x:c r="T52" s="23" t="str"/>
      <x:c r="U52" s="20" t="str">
        <x:v>N/A</x:v>
      </x:c>
      <x:c r="V52" s="20" t="str">
        <x:v>판단불가</x:v>
      </x:c>
      <x:c r="W52" s="20" t="str">
        <x:v>보류</x:v>
      </x:c>
      <x:c r="X52" s="20" t="str"/>
      <x:c r="Y52" s="20" t="str"/>
      <x:c r="Z52" s="20" t="str"/>
      <x:c r="AA52" s="20" t="str"/>
      <x:c r="AB52" s="20" t="str"/>
      <x:c r="AC52" s="20" t="str"/>
      <x:c r="AD52" s="22" t="str"/>
      <x:c r="AE52" s="20" t="str"/>
      <x:c r="AF52" s="20" t="str"/>
      <x:c r="AG52" s="20" t="str">
        <x:v>N/A</x:v>
      </x:c>
      <x:c r="AH52" s="20" t="str"/>
      <x:c r="AI52" s="20" t="str">
        <x:v>N</x:v>
      </x:c>
      <x:c r="AJ52" s="20" t="str">
        <x:v>N/A</x:v>
      </x:c>
      <x:c r="AK52" s="20" t="str">
        <x:v>N/A</x:v>
      </x:c>
      <x:c r="AL52" s="20" t="str">
        <x:v>N/A</x:v>
      </x:c>
      <x:c r="AM52" s="20" t="str">
        <x:v>N/A</x:v>
      </x:c>
      <x:c r="AN52" s="20" t="str">
        <x:v>N</x:v>
      </x:c>
      <x:c r="AO52" s="21" t="str"/>
    </x:row>
    <x:row r="53">
      <x:c r="A53" s="20" t="n">
        <x:v>49</x:v>
      </x:c>
      <x:c r="B53" s="20" t="str">
        <x:v>무역</x:v>
      </x:c>
      <x:c r="C53" s="20" t="str">
        <x:v>C09047</x:v>
      </x:c>
      <x:c r="D53" s="20" t="n">
        <x:v>1168</x:v>
      </x:c>
      <x:c r="E53" s="21" t="str">
        <x:v>美 트럼프 관세 부메랑… ‘나홀로 호황’ 저무나</x:v>
      </x:c>
      <x:c r="F53" s="21" t="str">
        <x:v>2025-03-31</x:v>
      </x:c>
      <x:c r="G53" s="21" t="str">
        <x:v>이는 각국의 철강·알루미늄·자동차 등에 대한 25% 품목 관세를 시작으로 트럼프의 관세 전쟁이 본격화되는 영향이라는 분석이 나온다.</x:v>
      </x:c>
      <x:c r="H53" s="21" t="str">
        <x:v>https://www.chosun.com/economy/economy_general/2025/03/31/PRGBTJ6ECJBBNGL2U4BLKVQQT4</x:v>
      </x:c>
      <x:c r="I53" s="20" t="str">
        <x:v>수준값재검토</x:v>
      </x:c>
      <x:c r="J53" s="20" t="str">
        <x:v>N</x:v>
      </x:c>
      <x:c r="K53" s="20" t="str">
        <x:v>KOSIS 미제공</x:v>
      </x:c>
      <x:c r="L53" s="20" t="str"/>
      <x:c r="M53" s="20" t="str"/>
      <x:c r="N53" s="20" t="str"/>
      <x:c r="O53" s="20" t="str"/>
      <x:c r="P53" s="20" t="str"/>
      <x:c r="Q53" s="22" t="str"/>
      <x:c r="R53" s="20" t="str"/>
      <x:c r="S53" s="20" t="str"/>
      <x:c r="T53" s="23" t="str"/>
      <x:c r="U53" s="20" t="str">
        <x:v>N/A</x:v>
      </x:c>
      <x:c r="V53" s="20" t="str">
        <x:v>판단불가</x:v>
      </x:c>
      <x:c r="W53" s="20" t="str">
        <x:v>보류</x:v>
      </x:c>
      <x:c r="X53" s="20" t="str"/>
      <x:c r="Y53" s="20" t="str"/>
      <x:c r="Z53" s="20" t="str"/>
      <x:c r="AA53" s="20" t="str"/>
      <x:c r="AB53" s="20" t="str"/>
      <x:c r="AC53" s="20" t="str"/>
      <x:c r="AD53" s="22" t="str"/>
      <x:c r="AE53" s="20" t="str"/>
      <x:c r="AF53" s="20" t="str"/>
      <x:c r="AG53" s="20" t="str">
        <x:v>N/A</x:v>
      </x:c>
      <x:c r="AH53" s="20" t="str"/>
      <x:c r="AI53" s="20" t="str">
        <x:v>N</x:v>
      </x:c>
      <x:c r="AJ53" s="20" t="str">
        <x:v>N/A</x:v>
      </x:c>
      <x:c r="AK53" s="20" t="str">
        <x:v>N/A</x:v>
      </x:c>
      <x:c r="AL53" s="20" t="str">
        <x:v>N/A</x:v>
      </x:c>
      <x:c r="AM53" s="20" t="str">
        <x:v>N/A</x:v>
      </x:c>
      <x:c r="AN53" s="20" t="str">
        <x:v>N</x:v>
      </x:c>
      <x:c r="AO53" s="21" t="str"/>
    </x:row>
    <x:row r="54">
      <x:c r="A54" s="20" t="n">
        <x:v>50</x:v>
      </x:c>
      <x:c r="B54" s="20" t="str">
        <x:v>무역</x:v>
      </x:c>
      <x:c r="C54" s="20" t="str">
        <x:v>C09181</x:v>
      </x:c>
      <x:c r="D54" s="20" t="n">
        <x:v>1186</x:v>
      </x:c>
      <x:c r="E54" s="21" t="str">
        <x:v>완성차 5사 3월 판매 내수 늘고, 수출 줄어</x:v>
      </x:c>
      <x:c r="F54" s="21" t="str">
        <x:v>2025-04-02</x:v>
      </x:c>
      <x:c r="G54" s="21" t="str">
        <x:v>한편, 현대차는 지난달 수출이 작년 동기 대비 2.6% 줄었고, 수출 물량의 90% 안팎이 미국으로 향하는 GM 한국사업장도 같은 기간 수출이 19.3% 급감했다.</x:v>
      </x:c>
      <x:c r="H54" s="21" t="str">
        <x:v>https://www.chosun.com/economy/auto/2025/04/02/WGSJKEACLREGNPQWEDWLXBGH2Y</x:v>
      </x:c>
      <x:c r="I54" s="20" t="str">
        <x:v>증감률재검토</x:v>
      </x:c>
      <x:c r="J54" s="20" t="str">
        <x:v>N</x:v>
      </x:c>
      <x:c r="K54" s="20" t="str">
        <x:v>KOSIS 미제공</x:v>
      </x:c>
      <x:c r="L54" s="20" t="str"/>
      <x:c r="M54" s="20" t="str"/>
      <x:c r="N54" s="20" t="str"/>
      <x:c r="O54" s="20" t="str"/>
      <x:c r="P54" s="20" t="str"/>
      <x:c r="Q54" s="22" t="str"/>
      <x:c r="R54" s="20" t="str"/>
      <x:c r="S54" s="20" t="str"/>
      <x:c r="T54" s="23" t="str"/>
      <x:c r="U54" s="20" t="str">
        <x:v>N/A</x:v>
      </x:c>
      <x:c r="V54" s="20" t="str">
        <x:v>판단불가</x:v>
      </x:c>
      <x:c r="W54" s="20" t="str">
        <x:v>보류</x:v>
      </x:c>
      <x:c r="X54" s="20" t="str"/>
      <x:c r="Y54" s="20" t="str"/>
      <x:c r="Z54" s="20" t="str"/>
      <x:c r="AA54" s="20" t="str"/>
      <x:c r="AB54" s="20" t="str"/>
      <x:c r="AC54" s="20" t="str"/>
      <x:c r="AD54" s="22" t="str"/>
      <x:c r="AE54" s="20" t="str"/>
      <x:c r="AF54" s="20" t="str"/>
      <x:c r="AG54" s="20" t="str">
        <x:v>N/A</x:v>
      </x:c>
      <x:c r="AH54" s="20" t="str"/>
      <x:c r="AI54" s="20" t="str">
        <x:v>N</x:v>
      </x:c>
      <x:c r="AJ54" s="20" t="str">
        <x:v>N/A</x:v>
      </x:c>
      <x:c r="AK54" s="20" t="str">
        <x:v>N/A</x:v>
      </x:c>
      <x:c r="AL54" s="20" t="str">
        <x:v>N/A</x:v>
      </x:c>
      <x:c r="AM54" s="20" t="str">
        <x:v>N/A</x:v>
      </x:c>
      <x:c r="AN54" s="20" t="str">
        <x:v>N</x:v>
      </x:c>
      <x:c r="AO54" s="21" t="str"/>
    </x:row>
    <x:row r="55">
      <x:c r="A55" s="20" t="n">
        <x:v>51</x:v>
      </x:c>
      <x:c r="B55" s="20" t="str">
        <x:v>무역</x:v>
      </x:c>
      <x:c r="C55" s="20" t="str">
        <x:v>C09409</x:v>
      </x:c>
      <x:c r="D55" s="20" t="n">
        <x:v>1214</x:v>
      </x:c>
      <x:c r="E55" s="21" t="str">
        <x:v>안전자산 수요 몰려 금·엔화 가격 올라</x:v>
      </x:c>
      <x:c r="F55" s="21" t="str">
        <x:v>2025-04-04</x:v>
      </x:c>
      <x:c r="G55" s="21" t="str">
        <x:v>상호 관세 발표 전까지만 해도 연 4.218%였던 미 국채 10년물 금리는 4.061%로 급락(국채 가격은 상승)했다.</x:v>
      </x:c>
      <x:c r="H55" s="21" t="str">
        <x:v>https://www.chosun.com/economy/economy_general/2025/04/04/L5L735ILDJCKRM437AKK2EIRCA</x:v>
      </x:c>
      <x:c r="I55" s="20" t="str">
        <x:v>판단불가</x:v>
      </x:c>
      <x:c r="J55" s="20" t="str">
        <x:v>N</x:v>
      </x:c>
      <x:c r="K55" s="20" t="str">
        <x:v>KOSIS 미제공</x:v>
      </x:c>
      <x:c r="L55" s="20" t="str"/>
      <x:c r="M55" s="20" t="str"/>
      <x:c r="N55" s="20" t="str"/>
      <x:c r="O55" s="20" t="str"/>
      <x:c r="P55" s="20" t="str"/>
      <x:c r="Q55" s="22" t="str"/>
      <x:c r="R55" s="20" t="str"/>
      <x:c r="S55" s="20" t="str"/>
      <x:c r="T55" s="23" t="str"/>
      <x:c r="U55" s="20" t="str">
        <x:v>N/A</x:v>
      </x:c>
      <x:c r="V55" s="20" t="str">
        <x:v>판단불가</x:v>
      </x:c>
      <x:c r="W55" s="20" t="str">
        <x:v>검증불가</x:v>
      </x:c>
      <x:c r="X55" s="20" t="str">
        <x:v>KOSIS 미제공</x:v>
      </x:c>
      <x:c r="Y55" s="20" t="str"/>
      <x:c r="Z55" s="20" t="str"/>
      <x:c r="AA55" s="20" t="str"/>
      <x:c r="AB55" s="20" t="str"/>
      <x:c r="AC55" s="20" t="str"/>
      <x:c r="AD55" s="22" t="str"/>
      <x:c r="AE55" s="20" t="str"/>
      <x:c r="AF55" s="20" t="str"/>
      <x:c r="AG55" s="20" t="str">
        <x:v>N/A</x:v>
      </x:c>
      <x:c r="AH55" s="20" t="str">
        <x:v>판단불가</x:v>
      </x:c>
      <x:c r="AI55" s="20" t="str">
        <x:v>Y</x:v>
      </x:c>
      <x:c r="AJ55" s="20" t="str">
        <x:v>N/A</x:v>
      </x:c>
      <x:c r="AK55" s="20" t="str">
        <x:v>N/A</x:v>
      </x:c>
      <x:c r="AL55" s="20" t="str">
        <x:v>N/A</x:v>
      </x:c>
      <x:c r="AM55" s="20" t="str">
        <x:v>N/A</x:v>
      </x:c>
      <x:c r="AN55" s="20" t="str">
        <x:v>Y</x:v>
      </x:c>
      <x:c r="AO55" s="21" t="str"/>
    </x:row>
    <x:row r="56">
      <x:c r="A56" s="20" t="n">
        <x:v>52</x:v>
      </x:c>
      <x:c r="B56" s="20" t="str">
        <x:v>무역</x:v>
      </x:c>
      <x:c r="C56" s="20" t="str">
        <x:v>C10746</x:v>
      </x:c>
      <x:c r="D56" s="20" t="n">
        <x:v>1388</x:v>
      </x:c>
      <x:c r="E56" s="21" t="str">
        <x:v>1분기 미국산 농·축·수산물 수입 17년 만에 최대</x:v>
      </x:c>
      <x:c r="F56" s="21" t="str">
        <x:v>2025-04-17</x:v>
      </x:c>
      <x:c r="G56" s="21" t="str">
        <x:v>실제 트럼프 1기였던 지난 2019년 중국이 미국 대두에 대해 25% 추가 관세를 부과하자, 한국의 미국산 대두 수입량이 전년 대비 55% 급증한 바 있다.</x:v>
      </x:c>
      <x:c r="H56" s="21" t="str">
        <x:v>https://www.chosun.com/economy/economy_general/2025/04/17/INS4VBCL4ZDZNLKDGVKLX6T2WY</x:v>
      </x:c>
      <x:c r="I56" s="20" t="str">
        <x:v>증감률재검토</x:v>
      </x:c>
      <x:c r="J56" s="20" t="str">
        <x:v>N</x:v>
      </x:c>
      <x:c r="K56" s="20" t="str">
        <x:v>지역·분류 불일치</x:v>
      </x:c>
      <x:c r="L56" s="20" t="str"/>
      <x:c r="M56" s="20" t="str"/>
      <x:c r="N56" s="20" t="str"/>
      <x:c r="O56" s="20" t="str"/>
      <x:c r="P56" s="20" t="str"/>
      <x:c r="Q56" s="22" t="str"/>
      <x:c r="R56" s="20" t="str"/>
      <x:c r="S56" s="20" t="str"/>
      <x:c r="T56" s="23" t="str"/>
      <x:c r="U56" s="20" t="str">
        <x:v>N/A</x:v>
      </x:c>
      <x:c r="V56" s="20" t="str">
        <x:v>판단불가</x:v>
      </x:c>
      <x:c r="W56" s="20" t="str">
        <x:v>보류</x:v>
      </x:c>
      <x:c r="X56" s="20" t="str"/>
      <x:c r="Y56" s="20" t="str"/>
      <x:c r="Z56" s="20" t="str"/>
      <x:c r="AA56" s="20" t="str"/>
      <x:c r="AB56" s="20" t="str"/>
      <x:c r="AC56" s="20" t="str"/>
      <x:c r="AD56" s="22" t="str"/>
      <x:c r="AE56" s="20" t="str"/>
      <x:c r="AF56" s="20" t="str"/>
      <x:c r="AG56" s="20" t="str">
        <x:v>N/A</x:v>
      </x:c>
      <x:c r="AH56" s="20" t="str"/>
      <x:c r="AI56" s="20" t="str">
        <x:v>N</x:v>
      </x:c>
      <x:c r="AJ56" s="20" t="str">
        <x:v>N/A</x:v>
      </x:c>
      <x:c r="AK56" s="20" t="str">
        <x:v>N/A</x:v>
      </x:c>
      <x:c r="AL56" s="20" t="str">
        <x:v>N/A</x:v>
      </x:c>
      <x:c r="AM56" s="20" t="str">
        <x:v>N/A</x:v>
      </x:c>
      <x:c r="AN56" s="20" t="str">
        <x:v>N</x:v>
      </x:c>
      <x:c r="AO56" s="21" t="str"/>
    </x:row>
    <x:row r="57">
      <x:c r="A57" s="20" t="n">
        <x:v>53</x:v>
      </x:c>
      <x:c r="B57" s="20" t="str">
        <x:v>무역</x:v>
      </x:c>
      <x:c r="C57" s="20" t="str">
        <x:v>C11549</x:v>
      </x:c>
      <x:c r="D57" s="20" t="n">
        <x:v>1492</x:v>
      </x:c>
      <x:c r="E57" s="21" t="str">
        <x:v>서두르는 트럼프, 버티는 시진핑…다가오는 스태그플레이션 그림자</x:v>
      </x:c>
      <x:c r="F57" s="21" t="str">
        <x:v>2025-04-25</x:v>
      </x:c>
      <x:c r="G57" s="21" t="str">
        <x:v>중국은 60%의 관세율을 적용 받는다는 가정 하에 예상해 보니 대미 수출이 49.2% 감소했다.” ―한국의 사정이 다른 나라보다 낫다는 뜻인가?</x:v>
      </x:c>
      <x:c r="H57" s="21" t="str">
        <x:v>https://www.chosun.com/economy/economy_general/2025/04/25/TCX6HGLEI5DHDL7TNZCFORC5ZY</x:v>
      </x:c>
      <x:c r="I57" s="20" t="str">
        <x:v>증감률재검토</x:v>
      </x:c>
      <x:c r="J57" s="20" t="str">
        <x:v>N</x:v>
      </x:c>
      <x:c r="K57" s="20" t="str">
        <x:v>정보 부족</x:v>
      </x:c>
      <x:c r="L57" s="20" t="str"/>
      <x:c r="M57" s="20" t="str"/>
      <x:c r="N57" s="20" t="str"/>
      <x:c r="O57" s="20" t="str"/>
      <x:c r="P57" s="20" t="str"/>
      <x:c r="Q57" s="22" t="str"/>
      <x:c r="R57" s="20" t="str"/>
      <x:c r="S57" s="20" t="str"/>
      <x:c r="T57" s="23" t="str"/>
      <x:c r="U57" s="20" t="str">
        <x:v>N/A</x:v>
      </x:c>
      <x:c r="V57" s="20" t="str">
        <x:v>판단불가</x:v>
      </x:c>
      <x:c r="W57" s="20" t="str">
        <x:v>검증불가</x:v>
      </x:c>
      <x:c r="X57" s="20" t="str">
        <x:v>정보 부족</x:v>
      </x:c>
      <x:c r="Y57" s="20" t="str"/>
      <x:c r="Z57" s="20" t="str"/>
      <x:c r="AA57" s="20" t="str"/>
      <x:c r="AB57" s="20" t="str"/>
      <x:c r="AC57" s="20" t="str"/>
      <x:c r="AD57" s="22" t="str"/>
      <x:c r="AE57" s="20" t="str"/>
      <x:c r="AF57" s="20" t="str"/>
      <x:c r="AG57" s="20" t="str">
        <x:v>N/A</x:v>
      </x:c>
      <x:c r="AH57" s="20" t="str">
        <x:v>판단불가</x:v>
      </x:c>
      <x:c r="AI57" s="20" t="str">
        <x:v>Y</x:v>
      </x:c>
      <x:c r="AJ57" s="20" t="str">
        <x:v>N/A</x:v>
      </x:c>
      <x:c r="AK57" s="20" t="str">
        <x:v>N/A</x:v>
      </x:c>
      <x:c r="AL57" s="20" t="str">
        <x:v>N/A</x:v>
      </x:c>
      <x:c r="AM57" s="20" t="str">
        <x:v>N/A</x:v>
      </x:c>
      <x:c r="AN57" s="20" t="str">
        <x:v>Y</x:v>
      </x:c>
      <x:c r="AO57" s="21" t="str"/>
    </x:row>
    <x:row r="58">
      <x:c r="A58" s="20" t="n">
        <x:v>54</x:v>
      </x:c>
      <x:c r="B58" s="20" t="str">
        <x:v>무역</x:v>
      </x:c>
      <x:c r="C58" s="20" t="str">
        <x:v>C12782</x:v>
      </x:c>
      <x:c r="D58" s="20" t="n">
        <x:v>1674</x:v>
      </x:c>
      <x:c r="E58" s="21" t="str">
        <x:v>원 달러 환율 이틀만에 다시 1400원대로</x:v>
      </x:c>
      <x:c r="F58" s="21" t="str">
        <x:v>2025-05-09</x:v>
      </x:c>
      <x:c r="G58" s="21" t="str">
        <x:v>트럼프는 협의가 잘되면 중국에 대한 관세를 낮출 수 있냐는 질문에 “그럴 수도 있다”며 “145%보다 더 높아질 수는 없지 않냐.</x:v>
      </x:c>
      <x:c r="H58" s="21" t="str">
        <x:v>https://www.chosun.com/economy/economy_general/2025/05/09/R5BOJUO4XNDYDBVITSCE7FSE6U</x:v>
      </x:c>
      <x:c r="I58" s="20" t="str">
        <x:v>수준값재검토</x:v>
      </x:c>
      <x:c r="J58" s="20" t="str">
        <x:v>N</x:v>
      </x:c>
      <x:c r="K58" s="20" t="str">
        <x:v>KOSIS 미제공</x:v>
      </x:c>
      <x:c r="L58" s="20" t="str"/>
      <x:c r="M58" s="20" t="str"/>
      <x:c r="N58" s="20" t="str"/>
      <x:c r="O58" s="20" t="str"/>
      <x:c r="P58" s="20" t="str"/>
      <x:c r="Q58" s="22" t="str"/>
      <x:c r="R58" s="20" t="str"/>
      <x:c r="S58" s="20" t="str"/>
      <x:c r="T58" s="23" t="str"/>
      <x:c r="U58" s="20" t="str">
        <x:v>N/A</x:v>
      </x:c>
      <x:c r="V58" s="20" t="str">
        <x:v>판단불가</x:v>
      </x:c>
      <x:c r="W58" s="20" t="str">
        <x:v>보류</x:v>
      </x:c>
      <x:c r="X58" s="20" t="str"/>
      <x:c r="Y58" s="20" t="str"/>
      <x:c r="Z58" s="20" t="str"/>
      <x:c r="AA58" s="20" t="str"/>
      <x:c r="AB58" s="20" t="str"/>
      <x:c r="AC58" s="20" t="str"/>
      <x:c r="AD58" s="22" t="str"/>
      <x:c r="AE58" s="20" t="str"/>
      <x:c r="AF58" s="20" t="str"/>
      <x:c r="AG58" s="20" t="str">
        <x:v>N/A</x:v>
      </x:c>
      <x:c r="AH58" s="20" t="str"/>
      <x:c r="AI58" s="20" t="str">
        <x:v>N</x:v>
      </x:c>
      <x:c r="AJ58" s="20" t="str">
        <x:v>N/A</x:v>
      </x:c>
      <x:c r="AK58" s="20" t="str">
        <x:v>N/A</x:v>
      </x:c>
      <x:c r="AL58" s="20" t="str">
        <x:v>N/A</x:v>
      </x:c>
      <x:c r="AM58" s="20" t="str">
        <x:v>N/A</x:v>
      </x:c>
      <x:c r="AN58" s="20" t="str">
        <x:v>N</x:v>
      </x:c>
      <x:c r="AO58" s="21" t="str"/>
    </x:row>
    <x:row r="59">
      <x:c r="A59" s="20" t="n">
        <x:v>55</x:v>
      </x:c>
      <x:c r="B59" s="20" t="str">
        <x:v>무역</x:v>
      </x:c>
      <x:c r="C59" s="20" t="str">
        <x:v>C13767</x:v>
      </x:c>
      <x:c r="D59" s="20" t="n">
        <x:v>1798</x:v>
      </x:c>
      <x:c r="E59" s="21" t="str">
        <x:v>안 잡힌다는 고등어·오징어, 수출은 왜 늘었을까?</x:v>
      </x:c>
      <x:c r="F59" s="21" t="str">
        <x:v>2025-05-19</x:v>
      </x:c>
      <x:c r="G59" s="21" t="str">
        <x:v>1~4월 전체 오징어 수출량도 9071톤으로 전년 동기(2272톤) 대비 299% 폭증했다.</x:v>
      </x:c>
      <x:c r="H59" s="21" t="str">
        <x:v>https://www.chosun.com/economy/economy_general/2025/05/19/AURYAIAY3ZA77FIGY534GIODAY</x:v>
      </x:c>
      <x:c r="I59" s="20" t="str">
        <x:v>수준값재검토</x:v>
      </x:c>
      <x:c r="J59" s="20" t="str">
        <x:v>N</x:v>
      </x:c>
      <x:c r="K59" s="20" t="str">
        <x:v>지역·분류 불일치</x:v>
      </x:c>
      <x:c r="L59" s="20" t="str"/>
      <x:c r="M59" s="20" t="str"/>
      <x:c r="N59" s="20" t="str"/>
      <x:c r="O59" s="20" t="str"/>
      <x:c r="P59" s="20" t="str"/>
      <x:c r="Q59" s="22" t="str"/>
      <x:c r="R59" s="20" t="str"/>
      <x:c r="S59" s="20" t="str"/>
      <x:c r="T59" s="23" t="str"/>
      <x:c r="U59" s="20" t="str">
        <x:v>N/A</x:v>
      </x:c>
      <x:c r="V59" s="20" t="str">
        <x:v>판단불가</x:v>
      </x:c>
      <x:c r="W59" s="20" t="str">
        <x:v>보류</x:v>
      </x:c>
      <x:c r="X59" s="20" t="str"/>
      <x:c r="Y59" s="20" t="str"/>
      <x:c r="Z59" s="20" t="str"/>
      <x:c r="AA59" s="20" t="str"/>
      <x:c r="AB59" s="20" t="str"/>
      <x:c r="AC59" s="20" t="str"/>
      <x:c r="AD59" s="22" t="str"/>
      <x:c r="AE59" s="20" t="str"/>
      <x:c r="AF59" s="20" t="str"/>
      <x:c r="AG59" s="20" t="str">
        <x:v>N/A</x:v>
      </x:c>
      <x:c r="AH59" s="20" t="str"/>
      <x:c r="AI59" s="20" t="str">
        <x:v>N</x:v>
      </x:c>
      <x:c r="AJ59" s="20" t="str">
        <x:v>N/A</x:v>
      </x:c>
      <x:c r="AK59" s="20" t="str">
        <x:v>N/A</x:v>
      </x:c>
      <x:c r="AL59" s="20" t="str">
        <x:v>N/A</x:v>
      </x:c>
      <x:c r="AM59" s="20" t="str">
        <x:v>N/A</x:v>
      </x:c>
      <x:c r="AN59" s="20" t="str">
        <x:v>N</x:v>
      </x:c>
      <x:c r="AO59" s="21" t="str"/>
    </x:row>
    <x:row r="60">
      <x:c r="A60" s="20" t="n">
        <x:v>56</x:v>
      </x:c>
      <x:c r="B60" s="20" t="str">
        <x:v>무역</x:v>
      </x:c>
      <x:c r="C60" s="20" t="str">
        <x:v>C14905</x:v>
      </x:c>
      <x:c r="D60" s="20" t="n">
        <x:v>1956</x:v>
      </x:c>
      <x:c r="E60" s="21" t="str">
        <x:v>트럼프 “철강·알루미늄 관세 25→50% 인상”…韓 철강 수출 직격</x:v>
      </x:c>
      <x:c r="F60" s="21" t="str">
        <x:v>2025-05-31</x:v>
      </x:c>
      <x:c r="G60" s="21" t="str">
        <x:v>그는 “철강·알루미늄에 대한 관세를 25%에서 50%로 인상하게 돼 큰 영광”이라며 “이는 6월 4일 수요일부터 시행된다”고 말했다.</x:v>
      </x:c>
      <x:c r="H60" s="21" t="str">
        <x:v>https://www.chosun.com/economy/industry-company/2025/05/31/5W5XKLXZKBBIVM2GUETPA5UT7U</x:v>
      </x:c>
      <x:c r="I60" s="20" t="str">
        <x:v>수준값재검토</x:v>
      </x:c>
      <x:c r="J60" s="20" t="str">
        <x:v>N</x:v>
      </x:c>
      <x:c r="K60" s="20" t="str">
        <x:v>KOSIS 미제공</x:v>
      </x:c>
      <x:c r="L60" s="20" t="str"/>
      <x:c r="M60" s="20" t="str"/>
      <x:c r="N60" s="20" t="str"/>
      <x:c r="O60" s="20" t="str"/>
      <x:c r="P60" s="20" t="str"/>
      <x:c r="Q60" s="22" t="str"/>
      <x:c r="R60" s="20" t="str"/>
      <x:c r="S60" s="20" t="str"/>
      <x:c r="T60" s="23" t="str"/>
      <x:c r="U60" s="20" t="str">
        <x:v>N/A</x:v>
      </x:c>
      <x:c r="V60" s="20" t="str">
        <x:v>판단불가</x:v>
      </x:c>
      <x:c r="W60" s="20" t="str">
        <x:v>보류</x:v>
      </x:c>
      <x:c r="X60" s="20" t="str"/>
      <x:c r="Y60" s="20" t="str"/>
      <x:c r="Z60" s="20" t="str"/>
      <x:c r="AA60" s="20" t="str"/>
      <x:c r="AB60" s="20" t="str"/>
      <x:c r="AC60" s="20" t="str"/>
      <x:c r="AD60" s="22" t="str"/>
      <x:c r="AE60" s="20" t="str"/>
      <x:c r="AF60" s="20" t="str"/>
      <x:c r="AG60" s="20" t="str">
        <x:v>N/A</x:v>
      </x:c>
      <x:c r="AH60" s="20" t="str"/>
      <x:c r="AI60" s="20" t="str">
        <x:v>N</x:v>
      </x:c>
      <x:c r="AJ60" s="20" t="str">
        <x:v>N/A</x:v>
      </x:c>
      <x:c r="AK60" s="20" t="str">
        <x:v>N/A</x:v>
      </x:c>
      <x:c r="AL60" s="20" t="str">
        <x:v>N/A</x:v>
      </x:c>
      <x:c r="AM60" s="20" t="str">
        <x:v>N/A</x:v>
      </x:c>
      <x:c r="AN60" s="20" t="str">
        <x:v>N</x:v>
      </x:c>
      <x:c r="AO60" s="21" t="str"/>
    </x:row>
    <x:row r="61">
      <x:c r="A61" s="20" t="n">
        <x:v>57</x:v>
      </x:c>
      <x:c r="B61" s="20" t="str">
        <x:v>무역</x:v>
      </x:c>
      <x:c r="C61" s="20" t="str">
        <x:v>C15896</x:v>
      </x:c>
      <x:c r="D61" s="20" t="n">
        <x:v>2082</x:v>
      </x:c>
      <x:c r="E61" s="21" t="str">
        <x:v>관세폭탄 영향 현실화… BMW도 美 판매가격 올린다</x:v>
      </x:c>
      <x:c r="F61" s="21" t="str">
        <x:v>2025-06-10</x:v>
      </x:c>
      <x:c r="G61" s="21" t="str">
        <x:v>관세가 부과되기 전인 지난 3월 기준 미국 내 자동차 딜러들의 재고 일수는 평균 70일 안팎이었다.</x:v>
      </x:c>
      <x:c r="H61" s="21" t="str">
        <x:v>https://www.chosun.com/economy/auto/2025/06/10/2UYXD3X23ZHCNI5KV4NJEI7PEE</x:v>
      </x:c>
      <x:c r="I61" s="20" t="str">
        <x:v>판단불가</x:v>
      </x:c>
      <x:c r="J61" s="20" t="str">
        <x:v>N</x:v>
      </x:c>
      <x:c r="K61" s="20" t="str">
        <x:v>KOSIS 미제공</x:v>
      </x:c>
      <x:c r="L61" s="20" t="str"/>
      <x:c r="M61" s="20" t="str"/>
      <x:c r="N61" s="20" t="str"/>
      <x:c r="O61" s="20" t="str"/>
      <x:c r="P61" s="20" t="str"/>
      <x:c r="Q61" s="22" t="str"/>
      <x:c r="R61" s="20" t="str"/>
      <x:c r="S61" s="20" t="str"/>
      <x:c r="T61" s="23" t="str"/>
      <x:c r="U61" s="20" t="str">
        <x:v>N/A</x:v>
      </x:c>
      <x:c r="V61" s="20" t="str">
        <x:v>판단불가</x:v>
      </x:c>
      <x:c r="W61" s="20" t="str">
        <x:v>보류</x:v>
      </x:c>
      <x:c r="X61" s="20" t="str"/>
      <x:c r="Y61" s="20" t="str"/>
      <x:c r="Z61" s="20" t="str"/>
      <x:c r="AA61" s="20" t="str"/>
      <x:c r="AB61" s="20" t="str"/>
      <x:c r="AC61" s="20" t="str"/>
      <x:c r="AD61" s="22" t="str"/>
      <x:c r="AE61" s="20" t="str"/>
      <x:c r="AF61" s="20" t="str"/>
      <x:c r="AG61" s="20" t="str">
        <x:v>N/A</x:v>
      </x:c>
      <x:c r="AH61" s="20" t="str"/>
      <x:c r="AI61" s="20" t="str">
        <x:v>N</x:v>
      </x:c>
      <x:c r="AJ61" s="20" t="str">
        <x:v>N/A</x:v>
      </x:c>
      <x:c r="AK61" s="20" t="str">
        <x:v>N/A</x:v>
      </x:c>
      <x:c r="AL61" s="20" t="str">
        <x:v>N/A</x:v>
      </x:c>
      <x:c r="AM61" s="20" t="str">
        <x:v>N/A</x:v>
      </x:c>
      <x:c r="AN61" s="20" t="str">
        <x:v>N</x:v>
      </x:c>
      <x:c r="AO61" s="21" t="str"/>
    </x:row>
    <x:row r="62">
      <x:c r="A62" s="20" t="n">
        <x:v>58</x:v>
      </x:c>
      <x:c r="B62" s="20" t="str">
        <x:v>무역</x:v>
      </x:c>
      <x:c r="C62" s="20" t="str">
        <x:v>C16196</x:v>
      </x:c>
      <x:c r="D62" s="20" t="n">
        <x:v>2128</x:v>
      </x:c>
      <x:c r="E62" s="21" t="str">
        <x:v>美 첨단제품 공급망서 한국 비율 4%에 불과</x:v>
      </x:c>
      <x:c r="F62" s="21" t="str">
        <x:v>2025-06-13</x:v>
      </x:c>
      <x:c r="G62" s="21" t="str">
        <x:v>12일 한국무역협회가 발표한 ‘글로벌 첨단 기술 제품 공급망 구조 변화 및 시사점’ 보고서에 따르면, 2014년부터 지난해까지 미국 첨단 기술 제품 수입 시장에서 한국산이 차지하는 비율은 약 2.25%에서 1.73%p 늘어난 3.98%에 머물렀다.</x:v>
      </x:c>
      <x:c r="H62" s="21" t="str">
        <x:v>https://www.chosun.com/economy/industry-company/2025/06/13/EPSKDEVXFVDHJPVRLJCUNKF4YE</x:v>
      </x:c>
      <x:c r="I62" s="20" t="str">
        <x:v>증감률재검토</x:v>
      </x:c>
      <x:c r="J62" s="20" t="str">
        <x:v>N</x:v>
      </x:c>
      <x:c r="K62" s="20" t="str">
        <x:v>KOSIS 미제공</x:v>
      </x:c>
      <x:c r="L62" s="20" t="str"/>
      <x:c r="M62" s="20" t="str"/>
      <x:c r="N62" s="20" t="str"/>
      <x:c r="O62" s="20" t="str"/>
      <x:c r="P62" s="20" t="str"/>
      <x:c r="Q62" s="22" t="str"/>
      <x:c r="R62" s="20" t="str"/>
      <x:c r="S62" s="20" t="str"/>
      <x:c r="T62" s="23" t="str"/>
      <x:c r="U62" s="20" t="str">
        <x:v>N/A</x:v>
      </x:c>
      <x:c r="V62" s="20" t="str">
        <x:v>판단불가</x:v>
      </x:c>
      <x:c r="W62" s="20" t="str">
        <x:v>보류</x:v>
      </x:c>
      <x:c r="X62" s="20" t="str"/>
      <x:c r="Y62" s="20" t="str"/>
      <x:c r="Z62" s="20" t="str"/>
      <x:c r="AA62" s="20" t="str"/>
      <x:c r="AB62" s="20" t="str"/>
      <x:c r="AC62" s="20" t="str"/>
      <x:c r="AD62" s="22" t="str"/>
      <x:c r="AE62" s="20" t="str"/>
      <x:c r="AF62" s="20" t="str"/>
      <x:c r="AG62" s="20" t="str">
        <x:v>N/A</x:v>
      </x:c>
      <x:c r="AH62" s="20" t="str"/>
      <x:c r="AI62" s="20" t="str">
        <x:v>N</x:v>
      </x:c>
      <x:c r="AJ62" s="20" t="str">
        <x:v>N/A</x:v>
      </x:c>
      <x:c r="AK62" s="20" t="str">
        <x:v>N/A</x:v>
      </x:c>
      <x:c r="AL62" s="20" t="str">
        <x:v>N/A</x:v>
      </x:c>
      <x:c r="AM62" s="20" t="str">
        <x:v>N/A</x:v>
      </x:c>
      <x:c r="AN62" s="20" t="str">
        <x:v>N</x:v>
      </x:c>
      <x:c r="AO62" s="21" t="str"/>
    </x:row>
    <x:row r="63">
      <x:c r="A63" s="20" t="n">
        <x:v>59</x:v>
      </x:c>
      <x:c r="B63" s="20" t="str">
        <x:v>무역</x:v>
      </x:c>
      <x:c r="C63" s="20" t="str">
        <x:v>C18761</x:v>
      </x:c>
      <x:c r="D63" s="20" t="n">
        <x:v>2457</x:v>
      </x:c>
      <x:c r="E63" s="21" t="str">
        <x:v>비관세 장벽 이슈가 협상 교착점...트럼프 “자동차 관세 완화는 없다는 뜻”</x:v>
      </x:c>
      <x:c r="F63" s="21" t="str">
        <x:v>2025-07-08</x:v>
      </x:c>
      <x:c r="G63" s="21" t="str">
        <x:v>한국의 경우 대미 관세가 이미 0%이기 때문에, 미국으로선 이를 통해 무역 적자를 줄이겠다는 것이다.</x:v>
      </x:c>
      <x:c r="H63" s="21" t="str">
        <x:v>https://www.chosun.com/economy/industry-company/2025/07/08/SPO7FYHZUVGNBH7I2CWWWZ76CI</x:v>
      </x:c>
      <x:c r="I63" s="20" t="str">
        <x:v>수준값재검토</x:v>
      </x:c>
      <x:c r="J63" s="20" t="str">
        <x:v>N</x:v>
      </x:c>
      <x:c r="K63" s="20" t="str">
        <x:v>KOSIS 미제공</x:v>
      </x:c>
      <x:c r="L63" s="20" t="str"/>
      <x:c r="M63" s="20" t="str"/>
      <x:c r="N63" s="20" t="str"/>
      <x:c r="O63" s="20" t="str"/>
      <x:c r="P63" s="20" t="str"/>
      <x:c r="Q63" s="22" t="str"/>
      <x:c r="R63" s="20" t="str"/>
      <x:c r="S63" s="20" t="str"/>
      <x:c r="T63" s="23" t="str"/>
      <x:c r="U63" s="20" t="str">
        <x:v>N/A</x:v>
      </x:c>
      <x:c r="V63" s="20" t="str">
        <x:v>판단불가</x:v>
      </x:c>
      <x:c r="W63" s="20" t="str">
        <x:v>보류</x:v>
      </x:c>
      <x:c r="X63" s="20" t="str"/>
      <x:c r="Y63" s="20" t="str"/>
      <x:c r="Z63" s="20" t="str"/>
      <x:c r="AA63" s="20" t="str"/>
      <x:c r="AB63" s="20" t="str"/>
      <x:c r="AC63" s="20" t="str"/>
      <x:c r="AD63" s="22" t="str"/>
      <x:c r="AE63" s="20" t="str"/>
      <x:c r="AF63" s="20" t="str"/>
      <x:c r="AG63" s="20" t="str">
        <x:v>N/A</x:v>
      </x:c>
      <x:c r="AH63" s="20" t="str"/>
      <x:c r="AI63" s="20" t="str">
        <x:v>N</x:v>
      </x:c>
      <x:c r="AJ63" s="20" t="str">
        <x:v>N/A</x:v>
      </x:c>
      <x:c r="AK63" s="20" t="str">
        <x:v>N/A</x:v>
      </x:c>
      <x:c r="AL63" s="20" t="str">
        <x:v>N/A</x:v>
      </x:c>
      <x:c r="AM63" s="20" t="str">
        <x:v>N/A</x:v>
      </x:c>
      <x:c r="AN63" s="20" t="str">
        <x:v>N</x:v>
      </x:c>
      <x:c r="AO63" s="21" t="str"/>
    </x:row>
    <x:row r="64">
      <x:c r="A64" s="20" t="n">
        <x:v>60</x:v>
      </x:c>
      <x:c r="B64" s="20" t="str">
        <x:v>무역</x:v>
      </x:c>
      <x:c r="C64" s="20" t="str">
        <x:v>C20443</x:v>
      </x:c>
      <x:c r="D64" s="20" t="n">
        <x:v>2702</x:v>
      </x:c>
      <x:c r="E64" s="21" t="str">
        <x:v>KDI “소비 회복에 경기 다소 개선”…석 달째 같은 진단, 현실은?</x:v>
      </x:c>
      <x:c r="F64" s="21" t="str">
        <x:v>2025-11-09</x:v>
      </x:c>
      <x:c r="G64" s="21" t="str">
        <x:v>10월 수출은 전년 동월 대비 3.6% 증가에 그쳤다.</x:v>
      </x:c>
      <x:c r="H64" s="21" t="str">
        <x:v>https://www.chosun.com/economy/economy_general/2025/11/09/PU2BGMNE3JEOBM3XGQRSWQLMP4/</x:v>
      </x:c>
      <x:c r="I64" s="20" t="str">
        <x:v>증감률재검토</x:v>
      </x:c>
      <x:c r="J64" s="20" t="str">
        <x:v>Y</x:v>
      </x:c>
      <x:c r="K64" s="20" t="str"/>
      <x:c r="L64" s="20" t="str">
        <x:v>DT_1R11001_FRM101</x:v>
      </x:c>
      <x:c r="M64" s="20" t="str">
        <x:v>13102112831A.A</x:v>
      </x:c>
      <x:c r="N64" s="20" t="str"/>
      <x:c r="O64" s="20" t="str">
        <x:v>13103112831T1</x:v>
      </x:c>
      <x:c r="P64" s="20" t="str">
        <x:v>M</x:v>
      </x:c>
      <x:c r="Q64" s="22" t="n">
        <x:v>3.6</x:v>
      </x:c>
      <x:c r="R64" s="20" t="str">
        <x:v>202510</x:v>
      </x:c>
      <x:c r="S64" s="20" t="str">
        <x:v>202410</x:v>
      </x:c>
      <x:c r="T64" s="23" t="n">
        <x:v>3.498050928247335</x:v>
      </x:c>
      <x:c r="U64" s="20" t="str">
        <x:v>Y</x:v>
      </x:c>
      <x:c r="V64" s="20" t="str">
        <x:v>일치</x:v>
      </x:c>
      <x:c r="W64" s="20" t="str">
        <x:v>보류</x:v>
      </x:c>
      <x:c r="X64" s="20" t="str"/>
      <x:c r="Y64" s="20" t="str"/>
      <x:c r="Z64" s="20" t="str"/>
      <x:c r="AA64" s="20" t="str"/>
      <x:c r="AB64" s="20" t="str"/>
      <x:c r="AC64" s="20" t="str"/>
      <x:c r="AD64" s="22" t="str"/>
      <x:c r="AE64" s="20" t="str"/>
      <x:c r="AF64" s="20" t="str"/>
      <x:c r="AG64" s="20" t="str">
        <x:v>N/A</x:v>
      </x:c>
      <x:c r="AH64" s="20" t="str"/>
      <x:c r="AI64" s="20" t="str">
        <x:v>N</x:v>
      </x:c>
      <x:c r="AJ64" s="20" t="str">
        <x:v>N</x:v>
      </x:c>
      <x:c r="AK64" s="20" t="str">
        <x:v>N</x:v>
      </x:c>
      <x:c r="AL64" s="20" t="str">
        <x:v>N</x:v>
      </x:c>
      <x:c r="AM64" s="20" t="str">
        <x:v>N</x:v>
      </x:c>
      <x:c r="AN64" s="20" t="str">
        <x:v>N</x:v>
      </x:c>
      <x:c r="AO64" s="21" t="str"/>
    </x:row>
    <x:row r="65">
      <x:c r="A65" s="20" t="n">
        <x:v>61</x:v>
      </x:c>
      <x:c r="B65" s="20" t="str">
        <x:v>인구</x:v>
      </x:c>
      <x:c r="C65" s="20" t="str">
        <x:v>C03660</x:v>
      </x:c>
      <x:c r="D65" s="20" t="n">
        <x:v>462</x:v>
      </x:c>
      <x:c r="E65" s="21" t="str">
        <x:v>美 노동자 630만명이 펜타닐에 빠져… 사망자만 연 7만명 넘어</x:v>
      </x:c>
      <x:c r="F65" s="21" t="str">
        <x:v>2025-02-05</x:v>
      </x:c>
      <x:c r="G65" s="21" t="str">
        <x:v>이 중 60% 이상은 한창 일할 나이인 25~54세였다.</x:v>
      </x:c>
      <x:c r="H65" s="21" t="str">
        <x:v>https://www.chosun.com/economy/economy_general/2025/02/05/UWBH26Z6L5CABIVFXZPJDQWX3A</x:v>
      </x:c>
      <x:c r="I65" s="20" t="str">
        <x:v>수준값재검토</x:v>
      </x:c>
      <x:c r="J65" s="20" t="str">
        <x:v>N</x:v>
      </x:c>
      <x:c r="K65" s="20" t="str">
        <x:v>KOSIS 미제공</x:v>
      </x:c>
      <x:c r="L65" s="20" t="str"/>
      <x:c r="M65" s="20" t="str"/>
      <x:c r="N65" s="20" t="str"/>
      <x:c r="O65" s="20" t="str"/>
      <x:c r="P65" s="20" t="str"/>
      <x:c r="Q65" s="22" t="str"/>
      <x:c r="R65" s="20" t="str"/>
      <x:c r="S65" s="20" t="str"/>
      <x:c r="T65" s="23" t="str"/>
      <x:c r="U65" s="20" t="str">
        <x:v>N/A</x:v>
      </x:c>
      <x:c r="V65" s="20" t="str">
        <x:v>판단불가</x:v>
      </x:c>
      <x:c r="W65" s="20" t="str">
        <x:v>보류</x:v>
      </x:c>
      <x:c r="X65" s="20" t="str"/>
      <x:c r="Y65" s="20" t="str"/>
      <x:c r="Z65" s="20" t="str"/>
      <x:c r="AA65" s="20" t="str"/>
      <x:c r="AB65" s="20" t="str"/>
      <x:c r="AC65" s="20" t="str"/>
      <x:c r="AD65" s="22" t="str"/>
      <x:c r="AE65" s="20" t="str"/>
      <x:c r="AF65" s="20" t="str"/>
      <x:c r="AG65" s="20" t="str">
        <x:v>N/A</x:v>
      </x:c>
      <x:c r="AH65" s="20" t="str"/>
      <x:c r="AI65" s="20" t="str">
        <x:v>N</x:v>
      </x:c>
      <x:c r="AJ65" s="20" t="str">
        <x:v>N/A</x:v>
      </x:c>
      <x:c r="AK65" s="20" t="str">
        <x:v>N/A</x:v>
      </x:c>
      <x:c r="AL65" s="20" t="str">
        <x:v>N/A</x:v>
      </x:c>
      <x:c r="AM65" s="20" t="str">
        <x:v>N/A</x:v>
      </x:c>
      <x:c r="AN65" s="20" t="str">
        <x:v>N</x:v>
      </x:c>
      <x:c r="AO65" s="21" t="str"/>
    </x:row>
    <x:row r="66">
      <x:c r="A66" s="20" t="n">
        <x:v>62</x:v>
      </x:c>
      <x:c r="B66" s="20" t="str">
        <x:v>인구</x:v>
      </x:c>
      <x:c r="C66" s="20" t="str">
        <x:v>C05295</x:v>
      </x:c>
      <x:c r="D66" s="20" t="n">
        <x:v>675</x:v>
      </x:c>
      <x:c r="E66" s="21" t="str">
        <x:v>울릉군, 전국 고용률 1위 83.5%… 2위에는 청송군</x:v>
      </x:c>
      <x:c r="F66" s="21" t="str">
        <x:v>2025-02-21</x:v>
      </x:c>
      <x:c r="G66" s="21" t="str">
        <x:v>대표적으로 서울 중구는 지난해 하반기 거주 인구가 12만명이었지만, 지역활동인구는 40만1000명으로 3배(333.9%) 이상 많았다.</x:v>
      </x:c>
      <x:c r="H66" s="21" t="str">
        <x:v>https://www.chosun.com/economy/economy_general/2025/02/21/WTMGCNUZRFBDBEF3XXSEMSPMXA</x:v>
      </x:c>
      <x:c r="I66" s="20" t="str">
        <x:v>판단불가</x:v>
      </x:c>
      <x:c r="J66" s="20" t="str">
        <x:v>N</x:v>
      </x:c>
      <x:c r="K66" s="20" t="str">
        <x:v>정보 부족</x:v>
      </x:c>
      <x:c r="L66" s="20" t="str"/>
      <x:c r="M66" s="20" t="str"/>
      <x:c r="N66" s="20" t="str"/>
      <x:c r="O66" s="20" t="str"/>
      <x:c r="P66" s="20" t="str"/>
      <x:c r="Q66" s="22" t="str"/>
      <x:c r="R66" s="20" t="str"/>
      <x:c r="S66" s="20" t="str"/>
      <x:c r="T66" s="23" t="str"/>
      <x:c r="U66" s="20" t="str">
        <x:v>N/A</x:v>
      </x:c>
      <x:c r="V66" s="20" t="str">
        <x:v>판단불가</x:v>
      </x:c>
      <x:c r="W66" s="20" t="str">
        <x:v>보류</x:v>
      </x:c>
      <x:c r="X66" s="20" t="str"/>
      <x:c r="Y66" s="20" t="str"/>
      <x:c r="Z66" s="20" t="str"/>
      <x:c r="AA66" s="20" t="str"/>
      <x:c r="AB66" s="20" t="str"/>
      <x:c r="AC66" s="20" t="str"/>
      <x:c r="AD66" s="22" t="str"/>
      <x:c r="AE66" s="20" t="str"/>
      <x:c r="AF66" s="20" t="str"/>
      <x:c r="AG66" s="20" t="str">
        <x:v>N/A</x:v>
      </x:c>
      <x:c r="AH66" s="20" t="str"/>
      <x:c r="AI66" s="20" t="str">
        <x:v>N</x:v>
      </x:c>
      <x:c r="AJ66" s="20" t="str">
        <x:v>N/A</x:v>
      </x:c>
      <x:c r="AK66" s="20" t="str">
        <x:v>N/A</x:v>
      </x:c>
      <x:c r="AL66" s="20" t="str">
        <x:v>N/A</x:v>
      </x:c>
      <x:c r="AM66" s="20" t="str">
        <x:v>N/A</x:v>
      </x:c>
      <x:c r="AN66" s="20" t="str">
        <x:v>N</x:v>
      </x:c>
      <x:c r="AO66" s="21" t="str"/>
    </x:row>
    <x:row r="67">
      <x:c r="A67" s="20" t="n">
        <x:v>63</x:v>
      </x:c>
      <x:c r="B67" s="20" t="str">
        <x:v>인구</x:v>
      </x:c>
      <x:c r="C67" s="20" t="str">
        <x:v>C06917</x:v>
      </x:c>
      <x:c r="D67" s="20" t="n">
        <x:v>872</x:v>
      </x:c>
      <x:c r="E67" s="21" t="str">
        <x:v>“아이 낳으면 1억 드립니다”… 인구 증가 ‘전국 1위’ 찍은 이 도시</x:v>
      </x:c>
      <x:c r="F67" s="21" t="str">
        <x:v>2025-03-09</x:v>
      </x:c>
      <x:c r="G67" s="21" t="str">
        <x:v>작년 출생아 수는 1만5242명으로 전년보다 11.6% 증가한 것으로 나타났다.</x:v>
      </x:c>
      <x:c r="H67" s="21" t="str">
        <x:v>https://www.chosun.com/national/national_general/2025/03/09/2FUPCN2GEBEJBF4V7LWZ7PD62I</x:v>
      </x:c>
      <x:c r="I67" s="20" t="str">
        <x:v>증감률재검토</x:v>
      </x:c>
      <x:c r="J67" s="20" t="str">
        <x:v>Y</x:v>
      </x:c>
      <x:c r="K67" s="20" t="str"/>
      <x:c r="L67" s="20" t="str">
        <x:v>DT_1B81A01</x:v>
      </x:c>
      <x:c r="M67" s="20" t="str">
        <x:v>23</x:v>
      </x:c>
      <x:c r="N67" s="20" t="str"/>
      <x:c r="O67" s="20" t="str">
        <x:v>T1</x:v>
      </x:c>
      <x:c r="P67" s="20" t="str">
        <x:v>M</x:v>
      </x:c>
      <x:c r="Q67" s="22" t="n">
        <x:v>11.6</x:v>
      </x:c>
      <x:c r="R67" s="20" t="str">
        <x:v>2024</x:v>
      </x:c>
      <x:c r="S67" s="20" t="str"/>
      <x:c r="T67" s="23" t="n">
        <x:v>11.545501134782928</x:v>
      </x:c>
      <x:c r="U67" s="20" t="str">
        <x:v>Y</x:v>
      </x:c>
      <x:c r="V67" s="20" t="str">
        <x:v>일치</x:v>
      </x:c>
      <x:c r="W67" s="20" t="str">
        <x:v>보류</x:v>
      </x:c>
      <x:c r="X67" s="20" t="str"/>
      <x:c r="Y67" s="20" t="str"/>
      <x:c r="Z67" s="20" t="str"/>
      <x:c r="AA67" s="20" t="str"/>
      <x:c r="AB67" s="20" t="str"/>
      <x:c r="AC67" s="20" t="str"/>
      <x:c r="AD67" s="22" t="str"/>
      <x:c r="AE67" s="20" t="str"/>
      <x:c r="AF67" s="20" t="str"/>
      <x:c r="AG67" s="20" t="str">
        <x:v>N/A</x:v>
      </x:c>
      <x:c r="AH67" s="20" t="str"/>
      <x:c r="AI67" s="20" t="str">
        <x:v>N</x:v>
      </x:c>
      <x:c r="AJ67" s="20" t="str">
        <x:v>N</x:v>
      </x:c>
      <x:c r="AK67" s="20" t="str">
        <x:v>N</x:v>
      </x:c>
      <x:c r="AL67" s="20" t="str">
        <x:v>N</x:v>
      </x:c>
      <x:c r="AM67" s="20" t="str">
        <x:v>N</x:v>
      </x:c>
      <x:c r="AN67" s="20" t="str">
        <x:v>N</x:v>
      </x:c>
      <x:c r="AO67" s="21" t="str"/>
    </x:row>
    <x:row r="68">
      <x:c r="A68" s="20" t="n">
        <x:v>64</x:v>
      </x:c>
      <x:c r="B68" s="20" t="str">
        <x:v>인구</x:v>
      </x:c>
      <x:c r="C68" s="20" t="str">
        <x:v>C07959</x:v>
      </x:c>
      <x:c r="D68" s="20" t="n">
        <x:v>1022</x:v>
      </x:c>
      <x:c r="E68" s="21" t="str">
        <x:v>‘연상녀·연하남’ 초혼 부부 비중 19.9% 역대 최대</x:v>
      </x:c>
      <x:c r="F68" s="21" t="str">
        <x:v>2025-03-20</x:v>
      </x:c>
      <x:c r="G68" s="21" t="str">
        <x:v>5 작년 초혼인 신혼부부 가운데 연상인 아내와 연하 남편이 만난 경우가 20%에 육박했다.</x:v>
      </x:c>
      <x:c r="H68" s="21" t="str">
        <x:v>https://www.chosun.com/economy/economy_general/2025/03/20/KH26XILK7FGYPGUVBBDUA2B3OU</x:v>
      </x:c>
      <x:c r="I68" s="20" t="str">
        <x:v>판단불가</x:v>
      </x:c>
      <x:c r="J68" s="20" t="str">
        <x:v>N</x:v>
      </x:c>
      <x:c r="K68" s="20" t="str">
        <x:v>지역·분류 불일치</x:v>
      </x:c>
      <x:c r="L68" s="20" t="str"/>
      <x:c r="M68" s="20" t="str"/>
      <x:c r="N68" s="20" t="str"/>
      <x:c r="O68" s="20" t="str"/>
      <x:c r="P68" s="20" t="str"/>
      <x:c r="Q68" s="22" t="str"/>
      <x:c r="R68" s="20" t="str"/>
      <x:c r="S68" s="20" t="str"/>
      <x:c r="T68" s="23" t="str"/>
      <x:c r="U68" s="20" t="str">
        <x:v>N/A</x:v>
      </x:c>
      <x:c r="V68" s="20" t="str">
        <x:v>판단불가</x:v>
      </x:c>
      <x:c r="W68" s="20" t="str">
        <x:v>보류</x:v>
      </x:c>
      <x:c r="X68" s="20" t="str"/>
      <x:c r="Y68" s="20" t="str"/>
      <x:c r="Z68" s="20" t="str"/>
      <x:c r="AA68" s="20" t="str"/>
      <x:c r="AB68" s="20" t="str"/>
      <x:c r="AC68" s="20" t="str"/>
      <x:c r="AD68" s="22" t="str"/>
      <x:c r="AE68" s="20" t="str"/>
      <x:c r="AF68" s="20" t="str"/>
      <x:c r="AG68" s="20" t="str">
        <x:v>N/A</x:v>
      </x:c>
      <x:c r="AH68" s="20" t="str"/>
      <x:c r="AI68" s="20" t="str">
        <x:v>N</x:v>
      </x:c>
      <x:c r="AJ68" s="20" t="str">
        <x:v>N/A</x:v>
      </x:c>
      <x:c r="AK68" s="20" t="str">
        <x:v>N/A</x:v>
      </x:c>
      <x:c r="AL68" s="20" t="str">
        <x:v>N/A</x:v>
      </x:c>
      <x:c r="AM68" s="20" t="str">
        <x:v>N/A</x:v>
      </x:c>
      <x:c r="AN68" s="20" t="str">
        <x:v>N</x:v>
      </x:c>
      <x:c r="AO68" s="21" t="str"/>
    </x:row>
    <x:row r="69">
      <x:c r="A69" s="20" t="n">
        <x:v>65</x:v>
      </x:c>
      <x:c r="B69" s="20" t="str">
        <x:v>인구</x:v>
      </x:c>
      <x:c r="C69" s="20" t="str">
        <x:v>C07961</x:v>
      </x:c>
      <x:c r="D69" s="20" t="n">
        <x:v>1022</x:v>
      </x:c>
      <x:c r="E69" s="21" t="str">
        <x:v>‘연상녀·연하남’ 초혼 부부 비중 19.9% 역대 최대</x:v>
      </x:c>
      <x:c r="F69" s="21" t="str">
        <x:v>2025-03-20</x:v>
      </x:c>
      <x:c r="G69" s="21" t="str">
        <x:v>20일 통계청이 발표한 ‘2024년 혼인·이혼 통계’에 따르면, 작년 전체 혼인 건수는 22만2400건으로, 지난 2020년 21만3500건 이후 4년 만에 20만건을 넘어섰다.</x:v>
      </x:c>
      <x:c r="H69" s="21" t="str">
        <x:v>https://www.chosun.com/economy/economy_general/2025/03/20/KH26XILK7FGYPGUVBBDUA2B3OU</x:v>
      </x:c>
      <x:c r="I69" s="20" t="str">
        <x:v>판단불가</x:v>
      </x:c>
      <x:c r="J69" s="20" t="str">
        <x:v>Y</x:v>
      </x:c>
      <x:c r="K69" s="20" t="str"/>
      <x:c r="L69" s="20" t="str">
        <x:v>DT_1B8000F</x:v>
      </x:c>
      <x:c r="M69" s="20" t="str">
        <x:v>41</x:v>
      </x:c>
      <x:c r="N69" s="20" t="str"/>
      <x:c r="O69" s="20" t="str">
        <x:v>T1</x:v>
      </x:c>
      <x:c r="P69" s="20" t="str">
        <x:v>Y</x:v>
      </x:c>
      <x:c r="Q69" s="22" t="n">
        <x:v>222400</x:v>
      </x:c>
      <x:c r="R69" s="20" t="str">
        <x:v>2024</x:v>
      </x:c>
      <x:c r="S69" s="20" t="str"/>
      <x:c r="T69" s="23" t="n">
        <x:v>222412</x:v>
      </x:c>
      <x:c r="U69" s="20" t="str">
        <x:v>Y</x:v>
      </x:c>
      <x:c r="V69" s="20" t="str">
        <x:v>일치</x:v>
      </x:c>
      <x:c r="W69" s="20" t="str">
        <x:v>보류</x:v>
      </x:c>
      <x:c r="X69" s="20" t="str"/>
      <x:c r="Y69" s="20" t="str"/>
      <x:c r="Z69" s="20" t="str"/>
      <x:c r="AA69" s="20" t="str"/>
      <x:c r="AB69" s="20" t="str"/>
      <x:c r="AC69" s="20" t="str"/>
      <x:c r="AD69" s="22" t="str"/>
      <x:c r="AE69" s="20" t="str"/>
      <x:c r="AF69" s="20" t="str"/>
      <x:c r="AG69" s="20" t="str">
        <x:v>N/A</x:v>
      </x:c>
      <x:c r="AH69" s="20" t="str"/>
      <x:c r="AI69" s="20" t="str">
        <x:v>N</x:v>
      </x:c>
      <x:c r="AJ69" s="20" t="str">
        <x:v>N</x:v>
      </x:c>
      <x:c r="AK69" s="20" t="str">
        <x:v>N</x:v>
      </x:c>
      <x:c r="AL69" s="20" t="str">
        <x:v>N</x:v>
      </x:c>
      <x:c r="AM69" s="20" t="str">
        <x:v>N</x:v>
      </x:c>
      <x:c r="AN69" s="20" t="str">
        <x:v>N</x:v>
      </x:c>
      <x:c r="AO69" s="21" t="str"/>
    </x:row>
    <x:row r="70">
      <x:c r="A70" s="20" t="n">
        <x:v>66</x:v>
      </x:c>
      <x:c r="B70" s="20" t="str">
        <x:v>인구</x:v>
      </x:c>
      <x:c r="C70" s="20" t="str">
        <x:v>C07962</x:v>
      </x:c>
      <x:c r="D70" s="20" t="n">
        <x:v>1022</x:v>
      </x:c>
      <x:c r="E70" s="21" t="str">
        <x:v>‘연상녀·연하남’ 초혼 부부 비중 19.9% 역대 최대</x:v>
      </x:c>
      <x:c r="F70" s="21" t="str">
        <x:v>2025-03-20</x:v>
      </x:c>
      <x:c r="G70" s="21" t="str">
        <x:v>이 가운데 아내와 남편 모두 초혼인 건수는 17만8700건(80.4%)으로, 지난 2000년(81.9%) 이후 24년 만에 80%선을넘었다.</x:v>
      </x:c>
      <x:c r="H70" s="21" t="str">
        <x:v>https://www.chosun.com/economy/economy_general/2025/03/20/KH26XILK7FGYPGUVBBDUA2B3OU</x:v>
      </x:c>
      <x:c r="I70" s="20" t="str">
        <x:v>판단불가</x:v>
      </x:c>
      <x:c r="J70" s="20" t="str">
        <x:v>N</x:v>
      </x:c>
      <x:c r="K70" s="20" t="str">
        <x:v>정보 부족</x:v>
      </x:c>
      <x:c r="L70" s="20" t="str"/>
      <x:c r="M70" s="20" t="str"/>
      <x:c r="N70" s="20" t="str"/>
      <x:c r="O70" s="20" t="str"/>
      <x:c r="P70" s="20" t="str"/>
      <x:c r="Q70" s="22" t="str"/>
      <x:c r="R70" s="20" t="str"/>
      <x:c r="S70" s="20" t="str"/>
      <x:c r="T70" s="23" t="str"/>
      <x:c r="U70" s="20" t="str">
        <x:v>N/A</x:v>
      </x:c>
      <x:c r="V70" s="20" t="str">
        <x:v>판단불가</x:v>
      </x:c>
      <x:c r="W70" s="20" t="str">
        <x:v>보류</x:v>
      </x:c>
      <x:c r="X70" s="20" t="str"/>
      <x:c r="Y70" s="20" t="str"/>
      <x:c r="Z70" s="20" t="str"/>
      <x:c r="AA70" s="20" t="str"/>
      <x:c r="AB70" s="20" t="str"/>
      <x:c r="AC70" s="20" t="str"/>
      <x:c r="AD70" s="22" t="str"/>
      <x:c r="AE70" s="20" t="str"/>
      <x:c r="AF70" s="20" t="str"/>
      <x:c r="AG70" s="20" t="str">
        <x:v>N/A</x:v>
      </x:c>
      <x:c r="AH70" s="20" t="str"/>
      <x:c r="AI70" s="20" t="str">
        <x:v>N</x:v>
      </x:c>
      <x:c r="AJ70" s="20" t="str">
        <x:v>N/A</x:v>
      </x:c>
      <x:c r="AK70" s="20" t="str">
        <x:v>N/A</x:v>
      </x:c>
      <x:c r="AL70" s="20" t="str">
        <x:v>N/A</x:v>
      </x:c>
      <x:c r="AM70" s="20" t="str">
        <x:v>N/A</x:v>
      </x:c>
      <x:c r="AN70" s="20" t="str">
        <x:v>N</x:v>
      </x:c>
      <x:c r="AO70" s="21" t="str"/>
    </x:row>
    <x:row r="71">
      <x:c r="A71" s="20" t="n">
        <x:v>67</x:v>
      </x:c>
      <x:c r="B71" s="20" t="str">
        <x:v>인구</x:v>
      </x:c>
      <x:c r="C71" s="20" t="str">
        <x:v>C11318</x:v>
      </x:c>
      <x:c r="D71" s="20" t="n">
        <x:v>1464</x:v>
      </x:c>
      <x:c r="E71" s="21" t="str">
        <x:v>2월 혼인 14.3% 증가...11개월 연속 늘어 ‘통계 집계 이래 최장’</x:v>
      </x:c>
      <x:c r="F71" s="21" t="str">
        <x:v>2025-04-23</x:v>
      </x:c>
      <x:c r="G71" s="21" t="str">
        <x:v>0 지난 2월 혼인 건수가 1만9370건으로 지난해 같은달 대비 14.3%가 늘었다.</x:v>
      </x:c>
      <x:c r="H71" s="21" t="str">
        <x:v>https://www.chosun.com/economy/economy_general/2025/04/23/7YEGSLKLSVAFNI3AVZCTZ5HYH4</x:v>
      </x:c>
      <x:c r="I71" s="20" t="str">
        <x:v>판단불가</x:v>
      </x:c>
      <x:c r="J71" s="20" t="str">
        <x:v>Y</x:v>
      </x:c>
      <x:c r="K71" s="20" t="str"/>
      <x:c r="L71" s="20" t="str">
        <x:v>DT_1B83A35</x:v>
      </x:c>
      <x:c r="M71" s="20" t="str">
        <x:v>00</x:v>
      </x:c>
      <x:c r="N71" s="20" t="str"/>
      <x:c r="O71" s="20" t="str">
        <x:v>T3</x:v>
      </x:c>
      <x:c r="P71" s="20" t="str">
        <x:v>M</x:v>
      </x:c>
      <x:c r="Q71" s="22" t="n">
        <x:v>14.3</x:v>
      </x:c>
      <x:c r="R71" s="20" t="str">
        <x:v>202502</x:v>
      </x:c>
      <x:c r="S71" s="20" t="str">
        <x:v>202402</x:v>
      </x:c>
      <x:c r="T71" s="23" t="n">
        <x:v>14.278970970025961</x:v>
      </x:c>
      <x:c r="U71" s="20" t="str">
        <x:v>Y</x:v>
      </x:c>
      <x:c r="V71" s="20" t="str">
        <x:v>일치</x:v>
      </x:c>
      <x:c r="W71" s="20" t="str">
        <x:v>검증가능</x:v>
      </x:c>
      <x:c r="X71" s="20" t="str"/>
      <x:c r="Y71" s="20" t="str">
        <x:v>DT_1B83A35</x:v>
      </x:c>
      <x:c r="Z71" s="20" t="str">
        <x:v>00</x:v>
      </x:c>
      <x:c r="AA71" s="20" t="str"/>
      <x:c r="AB71" s="20" t="str">
        <x:v>T3</x:v>
      </x:c>
      <x:c r="AC71" s="20" t="str">
        <x:v>M</x:v>
      </x:c>
      <x:c r="AD71" s="22" t="n">
        <x:v>14.3</x:v>
      </x:c>
      <x:c r="AE71" s="20" t="str">
        <x:v>202502</x:v>
      </x:c>
      <x:c r="AF71" s="20" t="str">
        <x:v>202402</x:v>
      </x:c>
      <x:c r="AG71" s="20" t="str">
        <x:v>Y</x:v>
      </x:c>
      <x:c r="AH71" s="20" t="str">
        <x:v>일치</x:v>
      </x:c>
      <x:c r="AI71" s="20" t="str">
        <x:v>Y</x:v>
      </x:c>
      <x:c r="AJ71" s="20" t="str">
        <x:v>Y</x:v>
      </x:c>
      <x:c r="AK71" s="20" t="str">
        <x:v>Y</x:v>
      </x:c>
      <x:c r="AL71" s="20" t="str">
        <x:v>Y</x:v>
      </x:c>
      <x:c r="AM71" s="20" t="str">
        <x:v>Y</x:v>
      </x:c>
      <x:c r="AN71" s="20" t="str">
        <x:v>Y</x:v>
      </x:c>
      <x:c r="AO71" s="21" t="str"/>
    </x:row>
    <x:row r="72">
      <x:c r="A72" s="20" t="n">
        <x:v>68</x:v>
      </x:c>
      <x:c r="B72" s="20" t="str">
        <x:v>인구</x:v>
      </x:c>
      <x:c r="C72" s="20" t="str">
        <x:v>C11321</x:v>
      </x:c>
      <x:c r="D72" s="20" t="n">
        <x:v>1464</x:v>
      </x:c>
      <x:c r="E72" s="21" t="str">
        <x:v>2월 혼인 14.3% 증가...11개월 연속 늘어 ‘통계 집계 이래 최장’</x:v>
      </x:c>
      <x:c r="F72" s="21" t="str">
        <x:v>2025-04-23</x:v>
      </x:c>
      <x:c r="G72" s="21" t="str">
        <x:v>이는 지난해 같은 달(1만6948건) 대비 14.3% 증가한 수치다.</x:v>
      </x:c>
      <x:c r="H72" s="21" t="str">
        <x:v>https://www.chosun.com/economy/economy_general/2025/04/23/7YEGSLKLSVAFNI3AVZCTZ5HYH4</x:v>
      </x:c>
      <x:c r="I72" s="20" t="str">
        <x:v>판단불가</x:v>
      </x:c>
      <x:c r="J72" s="20" t="str">
        <x:v>Y</x:v>
      </x:c>
      <x:c r="K72" s="20" t="str"/>
      <x:c r="L72" s="20" t="str">
        <x:v>DT_1B83A35</x:v>
      </x:c>
      <x:c r="M72" s="20" t="str">
        <x:v>00</x:v>
      </x:c>
      <x:c r="N72" s="20" t="str"/>
      <x:c r="O72" s="20" t="str">
        <x:v>T3</x:v>
      </x:c>
      <x:c r="P72" s="20" t="str">
        <x:v>M</x:v>
      </x:c>
      <x:c r="Q72" s="22" t="n">
        <x:v>14.3</x:v>
      </x:c>
      <x:c r="R72" s="20" t="str">
        <x:v>202502</x:v>
      </x:c>
      <x:c r="S72" s="20" t="str">
        <x:v>202402</x:v>
      </x:c>
      <x:c r="T72" s="23" t="n">
        <x:v>14.278970970025961</x:v>
      </x:c>
      <x:c r="U72" s="20" t="str">
        <x:v>Y</x:v>
      </x:c>
      <x:c r="V72" s="20" t="str">
        <x:v>일치</x:v>
      </x:c>
      <x:c r="W72" s="20" t="str">
        <x:v>보류</x:v>
      </x:c>
      <x:c r="X72" s="20" t="str"/>
      <x:c r="Y72" s="20" t="str"/>
      <x:c r="Z72" s="20" t="str"/>
      <x:c r="AA72" s="20" t="str"/>
      <x:c r="AB72" s="20" t="str"/>
      <x:c r="AC72" s="20" t="str"/>
      <x:c r="AD72" s="22" t="str"/>
      <x:c r="AE72" s="20" t="str"/>
      <x:c r="AF72" s="20" t="str"/>
      <x:c r="AG72" s="20" t="str">
        <x:v>N/A</x:v>
      </x:c>
      <x:c r="AH72" s="20" t="str"/>
      <x:c r="AI72" s="20" t="str">
        <x:v>N</x:v>
      </x:c>
      <x:c r="AJ72" s="20" t="str">
        <x:v>N</x:v>
      </x:c>
      <x:c r="AK72" s="20" t="str">
        <x:v>N</x:v>
      </x:c>
      <x:c r="AL72" s="20" t="str">
        <x:v>N</x:v>
      </x:c>
      <x:c r="AM72" s="20" t="str">
        <x:v>N</x:v>
      </x:c>
      <x:c r="AN72" s="20" t="str">
        <x:v>N</x:v>
      </x:c>
      <x:c r="AO72" s="21" t="str"/>
    </x:row>
    <x:row r="73">
      <x:c r="A73" s="20" t="n">
        <x:v>69</x:v>
      </x:c>
      <x:c r="B73" s="20" t="str">
        <x:v>인구</x:v>
      </x:c>
      <x:c r="C73" s="20" t="str">
        <x:v>C11329</x:v>
      </x:c>
      <x:c r="D73" s="20" t="n">
        <x:v>1464</x:v>
      </x:c>
      <x:c r="E73" s="21" t="str">
        <x:v>2월 혼인 14.3% 증가...11개월 연속 늘어 ‘통계 집계 이래 최장’</x:v>
      </x:c>
      <x:c r="F73" s="21" t="str">
        <x:v>2025-04-23</x:v>
      </x:c>
      <x:c r="G73" s="21" t="str">
        <x:v>2월 출생아 수는 2만35명으로 지난해 같은 달 대비 3.2% 늘었다.</x:v>
      </x:c>
      <x:c r="H73" s="21" t="str">
        <x:v>https://www.chosun.com/economy/economy_general/2025/04/23/7YEGSLKLSVAFNI3AVZCTZ5HYH4</x:v>
      </x:c>
      <x:c r="I73" s="20" t="str">
        <x:v>증감률재검토</x:v>
      </x:c>
      <x:c r="J73" s="20" t="str">
        <x:v>Y</x:v>
      </x:c>
      <x:c r="K73" s="20" t="str"/>
      <x:c r="L73" s="20" t="str">
        <x:v>DT_1B81A01</x:v>
      </x:c>
      <x:c r="M73" s="20" t="str">
        <x:v>00</x:v>
      </x:c>
      <x:c r="N73" s="20" t="str"/>
      <x:c r="O73" s="20" t="str">
        <x:v>T1</x:v>
      </x:c>
      <x:c r="P73" s="20" t="str">
        <x:v>M</x:v>
      </x:c>
      <x:c r="Q73" s="22" t="n">
        <x:v>3.2</x:v>
      </x:c>
      <x:c r="R73" s="20" t="str">
        <x:v>202502</x:v>
      </x:c>
      <x:c r="S73" s="20" t="str">
        <x:v>202402</x:v>
      </x:c>
      <x:c r="T73" s="23" t="str"/>
      <x:c r="U73" s="20" t="str">
        <x:v>N</x:v>
      </x:c>
      <x:c r="V73" s="20" t="str">
        <x:v>판단불가</x:v>
      </x:c>
      <x:c r="W73" s="20" t="str">
        <x:v>검증가능</x:v>
      </x:c>
      <x:c r="X73" s="20" t="str"/>
      <x:c r="Y73" s="20" t="str">
        <x:v>DT_1B81A01</x:v>
      </x:c>
      <x:c r="Z73" s="20" t="str">
        <x:v>00</x:v>
      </x:c>
      <x:c r="AA73" s="20" t="str"/>
      <x:c r="AB73" s="20" t="str">
        <x:v>T1</x:v>
      </x:c>
      <x:c r="AC73" s="20" t="str">
        <x:v>M</x:v>
      </x:c>
      <x:c r="AD73" s="22" t="n">
        <x:v>3.2</x:v>
      </x:c>
      <x:c r="AE73" s="20" t="str">
        <x:v>202502</x:v>
      </x:c>
      <x:c r="AF73" s="20" t="str">
        <x:v>202402</x:v>
      </x:c>
      <x:c r="AG73" s="20" t="str">
        <x:v>N</x:v>
      </x:c>
      <x:c r="AH73" s="20" t="str">
        <x:v>판단불가</x:v>
      </x:c>
      <x:c r="AI73" s="20" t="str">
        <x:v>Y</x:v>
      </x:c>
      <x:c r="AJ73" s="20" t="str">
        <x:v>Y</x:v>
      </x:c>
      <x:c r="AK73" s="20" t="str">
        <x:v>Y</x:v>
      </x:c>
      <x:c r="AL73" s="20" t="str">
        <x:v>Y</x:v>
      </x:c>
      <x:c r="AM73" s="20" t="str">
        <x:v>Y</x:v>
      </x:c>
      <x:c r="AN73" s="20" t="str">
        <x:v>Y</x:v>
      </x:c>
      <x:c r="AO73" s="21" t="str"/>
    </x:row>
    <x:row r="74">
      <x:c r="A74" s="20" t="n">
        <x:v>70</x:v>
      </x:c>
      <x:c r="B74" s="20" t="str">
        <x:v>인구</x:v>
      </x:c>
      <x:c r="C74" s="20" t="str">
        <x:v>C11415</x:v>
      </x:c>
      <x:c r="D74" s="20" t="n">
        <x:v>1478</x:v>
      </x:c>
      <x:c r="E74" s="21" t="str">
        <x:v>그래도 결혼은 11개월째 늘어</x:v>
      </x:c>
      <x:c r="F74" s="21" t="str">
        <x:v>2025-04-24</x:v>
      </x:c>
      <x:c r="G74" s="21" t="str">
        <x:v>통계청이 23일 발표한 ‘2월 인구 동향’에 따르면, 지난 2월 혼인 건수는 1만9370건으로 지난해 같은 달(1만6948건)보다 14.3% 증가했다.</x:v>
      </x:c>
      <x:c r="H74" s="21" t="str">
        <x:v>https://www.chosun.com/economy/economy_general/2025/04/24/LVTPH6GRPJHYTDZKQLARLSAKYU</x:v>
      </x:c>
      <x:c r="I74" s="20" t="str">
        <x:v>판단불가</x:v>
      </x:c>
      <x:c r="J74" s="20" t="str">
        <x:v>Y</x:v>
      </x:c>
      <x:c r="K74" s="20" t="str"/>
      <x:c r="L74" s="20" t="str">
        <x:v>DT_1B83A35</x:v>
      </x:c>
      <x:c r="M74" s="20" t="str">
        <x:v>00</x:v>
      </x:c>
      <x:c r="N74" s="20" t="str"/>
      <x:c r="O74" s="20" t="str">
        <x:v>T3</x:v>
      </x:c>
      <x:c r="P74" s="20" t="str">
        <x:v>M</x:v>
      </x:c>
      <x:c r="Q74" s="22" t="n">
        <x:v>14.3</x:v>
      </x:c>
      <x:c r="R74" s="20" t="str">
        <x:v>202502</x:v>
      </x:c>
      <x:c r="S74" s="20" t="str">
        <x:v>202402</x:v>
      </x:c>
      <x:c r="T74" s="23" t="n">
        <x:v>14.278970970025961</x:v>
      </x:c>
      <x:c r="U74" s="20" t="str">
        <x:v>Y</x:v>
      </x:c>
      <x:c r="V74" s="20" t="str">
        <x:v>일치</x:v>
      </x:c>
      <x:c r="W74" s="20" t="str">
        <x:v>검증가능</x:v>
      </x:c>
      <x:c r="X74" s="20" t="str"/>
      <x:c r="Y74" s="20" t="str">
        <x:v>DT_1B83A35</x:v>
      </x:c>
      <x:c r="Z74" s="20" t="str">
        <x:v>00</x:v>
      </x:c>
      <x:c r="AA74" s="20" t="str"/>
      <x:c r="AB74" s="20" t="str">
        <x:v>T3</x:v>
      </x:c>
      <x:c r="AC74" s="20" t="str">
        <x:v>M</x:v>
      </x:c>
      <x:c r="AD74" s="22" t="n">
        <x:v>14.3</x:v>
      </x:c>
      <x:c r="AE74" s="20" t="str">
        <x:v>202502</x:v>
      </x:c>
      <x:c r="AF74" s="20" t="str">
        <x:v>202402</x:v>
      </x:c>
      <x:c r="AG74" s="20" t="str">
        <x:v>Y</x:v>
      </x:c>
      <x:c r="AH74" s="20" t="str">
        <x:v>일치</x:v>
      </x:c>
      <x:c r="AI74" s="20" t="str">
        <x:v>Y</x:v>
      </x:c>
      <x:c r="AJ74" s="20" t="str">
        <x:v>Y</x:v>
      </x:c>
      <x:c r="AK74" s="20" t="str">
        <x:v>Y</x:v>
      </x:c>
      <x:c r="AL74" s="20" t="str">
        <x:v>Y</x:v>
      </x:c>
      <x:c r="AM74" s="20" t="str">
        <x:v>Y</x:v>
      </x:c>
      <x:c r="AN74" s="20" t="str">
        <x:v>Y</x:v>
      </x:c>
      <x:c r="AO74" s="21" t="str"/>
    </x:row>
    <x:row r="75">
      <x:c r="A75" s="20" t="n">
        <x:v>71</x:v>
      </x:c>
      <x:c r="B75" s="20" t="str">
        <x:v>인구</x:v>
      </x:c>
      <x:c r="C75" s="20" t="str">
        <x:v>C11421</x:v>
      </x:c>
      <x:c r="D75" s="20" t="n">
        <x:v>1478</x:v>
      </x:c>
      <x:c r="E75" s="21" t="str">
        <x:v>그래도 결혼은 11개월째 늘어</x:v>
      </x:c>
      <x:c r="F75" s="21" t="str">
        <x:v>2025-04-24</x:v>
      </x:c>
      <x:c r="G75" s="21" t="str">
        <x:v>특히 ‘결혼 장려금 500만원 일시불 지급’을 시행하고 있는 대전의 경우 지난해 같은 달 대비 혼인 증가율이 32.2%로 1위였다.</x:v>
      </x:c>
      <x:c r="H75" s="21" t="str">
        <x:v>https://www.chosun.com/economy/economy_general/2025/04/24/LVTPH6GRPJHYTDZKQLARLSAKYU</x:v>
      </x:c>
      <x:c r="I75" s="20" t="str">
        <x:v>판단불가</x:v>
      </x:c>
      <x:c r="J75" s="20" t="str">
        <x:v>Y</x:v>
      </x:c>
      <x:c r="K75" s="20" t="str"/>
      <x:c r="L75" s="20" t="str">
        <x:v>DT_1B83A35</x:v>
      </x:c>
      <x:c r="M75" s="20" t="str">
        <x:v>25</x:v>
      </x:c>
      <x:c r="N75" s="20" t="str"/>
      <x:c r="O75" s="20" t="str">
        <x:v>T3</x:v>
      </x:c>
      <x:c r="P75" s="20" t="str">
        <x:v>M</x:v>
      </x:c>
      <x:c r="Q75" s="22" t="n">
        <x:v>32.2</x:v>
      </x:c>
      <x:c r="R75" s="20" t="str">
        <x:v>202502</x:v>
      </x:c>
      <x:c r="S75" s="20" t="str">
        <x:v>202402</x:v>
      </x:c>
      <x:c r="T75" s="23" t="n">
        <x:v>32.20675944333996</x:v>
      </x:c>
      <x:c r="U75" s="20" t="str">
        <x:v>Y</x:v>
      </x:c>
      <x:c r="V75" s="20" t="str">
        <x:v>일치</x:v>
      </x:c>
      <x:c r="W75" s="20" t="str">
        <x:v>보류</x:v>
      </x:c>
      <x:c r="X75" s="20" t="str"/>
      <x:c r="Y75" s="20" t="str"/>
      <x:c r="Z75" s="20" t="str"/>
      <x:c r="AA75" s="20" t="str"/>
      <x:c r="AB75" s="20" t="str"/>
      <x:c r="AC75" s="20" t="str"/>
      <x:c r="AD75" s="22" t="str"/>
      <x:c r="AE75" s="20" t="str"/>
      <x:c r="AF75" s="20" t="str"/>
      <x:c r="AG75" s="20" t="str">
        <x:v>N/A</x:v>
      </x:c>
      <x:c r="AH75" s="20" t="str"/>
      <x:c r="AI75" s="20" t="str">
        <x:v>N</x:v>
      </x:c>
      <x:c r="AJ75" s="20" t="str">
        <x:v>N</x:v>
      </x:c>
      <x:c r="AK75" s="20" t="str">
        <x:v>N</x:v>
      </x:c>
      <x:c r="AL75" s="20" t="str">
        <x:v>N</x:v>
      </x:c>
      <x:c r="AM75" s="20" t="str">
        <x:v>N</x:v>
      </x:c>
      <x:c r="AN75" s="20" t="str">
        <x:v>N</x:v>
      </x:c>
      <x:c r="AO75" s="21" t="str"/>
    </x:row>
    <x:row r="76">
      <x:c r="A76" s="20" t="n">
        <x:v>72</x:v>
      </x:c>
      <x:c r="B76" s="20" t="str">
        <x:v>인구</x:v>
      </x:c>
      <x:c r="C76" s="20" t="str">
        <x:v>C11423</x:v>
      </x:c>
      <x:c r="D76" s="20" t="n">
        <x:v>1478</x:v>
      </x:c>
      <x:c r="E76" s="21" t="str">
        <x:v>그래도 결혼은 11개월째 늘어</x:v>
      </x:c>
      <x:c r="F76" s="21" t="str">
        <x:v>2025-04-24</x:v>
      </x:c>
      <x:c r="G76" s="21" t="str">
        <x:v>혼인 건수가 늘면서 지난 2월 출생아 수도 2만35명으로 지난해 같은 달 대비 3.2%(622명) 늘었다.</x:v>
      </x:c>
      <x:c r="H76" s="21" t="str">
        <x:v>https://www.chosun.com/economy/economy_general/2025/04/24/LVTPH6GRPJHYTDZKQLARLSAKYU</x:v>
      </x:c>
      <x:c r="I76" s="20" t="str">
        <x:v>증감률재검토</x:v>
      </x:c>
      <x:c r="J76" s="20" t="str">
        <x:v>Y</x:v>
      </x:c>
      <x:c r="K76" s="20" t="str"/>
      <x:c r="L76" s="20" t="str">
        <x:v>DT_1B81A01</x:v>
      </x:c>
      <x:c r="M76" s="20" t="str">
        <x:v>00</x:v>
      </x:c>
      <x:c r="N76" s="20" t="str"/>
      <x:c r="O76" s="20" t="str">
        <x:v>T1</x:v>
      </x:c>
      <x:c r="P76" s="20" t="str">
        <x:v>M</x:v>
      </x:c>
      <x:c r="Q76" s="22" t="n">
        <x:v>3.2</x:v>
      </x:c>
      <x:c r="R76" s="20" t="str">
        <x:v>202502</x:v>
      </x:c>
      <x:c r="S76" s="20" t="str">
        <x:v>202402</x:v>
      </x:c>
      <x:c r="T76" s="23" t="str"/>
      <x:c r="U76" s="20" t="str">
        <x:v>N</x:v>
      </x:c>
      <x:c r="V76" s="20" t="str">
        <x:v>판단불가</x:v>
      </x:c>
      <x:c r="W76" s="20" t="str">
        <x:v>보류</x:v>
      </x:c>
      <x:c r="X76" s="20" t="str"/>
      <x:c r="Y76" s="20" t="str"/>
      <x:c r="Z76" s="20" t="str"/>
      <x:c r="AA76" s="20" t="str"/>
      <x:c r="AB76" s="20" t="str"/>
      <x:c r="AC76" s="20" t="str"/>
      <x:c r="AD76" s="22" t="str"/>
      <x:c r="AE76" s="20" t="str"/>
      <x:c r="AF76" s="20" t="str"/>
      <x:c r="AG76" s="20" t="str">
        <x:v>N/A</x:v>
      </x:c>
      <x:c r="AH76" s="20" t="str"/>
      <x:c r="AI76" s="20" t="str">
        <x:v>N</x:v>
      </x:c>
      <x:c r="AJ76" s="20" t="str">
        <x:v>N</x:v>
      </x:c>
      <x:c r="AK76" s="20" t="str">
        <x:v>N</x:v>
      </x:c>
      <x:c r="AL76" s="20" t="str">
        <x:v>N</x:v>
      </x:c>
      <x:c r="AM76" s="20" t="str">
        <x:v>N</x:v>
      </x:c>
      <x:c r="AN76" s="20" t="str">
        <x:v>N</x:v>
      </x:c>
      <x:c r="AO76" s="21" t="str"/>
    </x:row>
    <x:row r="77">
      <x:c r="A77" s="20" t="n">
        <x:v>73</x:v>
      </x:c>
      <x:c r="B77" s="20" t="str">
        <x:v>인구</x:v>
      </x:c>
      <x:c r="C77" s="20" t="str">
        <x:v>C11427</x:v>
      </x:c>
      <x:c r="D77" s="20" t="n">
        <x:v>1478</x:v>
      </x:c>
      <x:c r="E77" s="21" t="str">
        <x:v>그래도 결혼은 11개월째 늘어</x:v>
      </x:c>
      <x:c r="F77" s="21" t="str">
        <x:v>2025-04-24</x:v>
      </x:c>
      <x:c r="G77" s="21" t="str">
        <x:v>합계출산율은 여성 1명이 가임 기간(15~49세)에 낳을 것으로 기대되는 평균 출생아 수를 말한다.</x:v>
      </x:c>
      <x:c r="H77" s="21" t="str">
        <x:v>https://www.chosun.com/economy/economy_general/2025/04/24/LVTPH6GRPJHYTDZKQLARLSAKYU</x:v>
      </x:c>
      <x:c r="I77" s="20" t="str">
        <x:v>수준값재검토</x:v>
      </x:c>
      <x:c r="J77" s="20" t="str">
        <x:v>N</x:v>
      </x:c>
      <x:c r="K77" s="20" t="str">
        <x:v>정보 부족</x:v>
      </x:c>
      <x:c r="L77" s="20" t="str"/>
      <x:c r="M77" s="20" t="str"/>
      <x:c r="N77" s="20" t="str"/>
      <x:c r="O77" s="20" t="str"/>
      <x:c r="P77" s="20" t="str"/>
      <x:c r="Q77" s="22" t="str"/>
      <x:c r="R77" s="20" t="str"/>
      <x:c r="S77" s="20" t="str"/>
      <x:c r="T77" s="23" t="str"/>
      <x:c r="U77" s="20" t="str">
        <x:v>N/A</x:v>
      </x:c>
      <x:c r="V77" s="20" t="str">
        <x:v>판단불가</x:v>
      </x:c>
      <x:c r="W77" s="20" t="str">
        <x:v>보류</x:v>
      </x:c>
      <x:c r="X77" s="20" t="str"/>
      <x:c r="Y77" s="20" t="str"/>
      <x:c r="Z77" s="20" t="str"/>
      <x:c r="AA77" s="20" t="str"/>
      <x:c r="AB77" s="20" t="str"/>
      <x:c r="AC77" s="20" t="str"/>
      <x:c r="AD77" s="22" t="str"/>
      <x:c r="AE77" s="20" t="str"/>
      <x:c r="AF77" s="20" t="str"/>
      <x:c r="AG77" s="20" t="str">
        <x:v>N/A</x:v>
      </x:c>
      <x:c r="AH77" s="20" t="str"/>
      <x:c r="AI77" s="20" t="str">
        <x:v>N</x:v>
      </x:c>
      <x:c r="AJ77" s="20" t="str">
        <x:v>N/A</x:v>
      </x:c>
      <x:c r="AK77" s="20" t="str">
        <x:v>N/A</x:v>
      </x:c>
      <x:c r="AL77" s="20" t="str">
        <x:v>N/A</x:v>
      </x:c>
      <x:c r="AM77" s="20" t="str">
        <x:v>N/A</x:v>
      </x:c>
      <x:c r="AN77" s="20" t="str">
        <x:v>N</x:v>
      </x:c>
      <x:c r="AO77" s="21" t="str"/>
    </x:row>
    <x:row r="78">
      <x:c r="A78" s="20" t="n">
        <x:v>74</x:v>
      </x:c>
      <x:c r="B78" s="20" t="str">
        <x:v>인구</x:v>
      </x:c>
      <x:c r="C78" s="20" t="str">
        <x:v>C17364</x:v>
      </x:c>
      <x:c r="D78" s="20" t="n">
        <x:v>2282</x:v>
      </x:c>
      <x:c r="E78" s="21" t="str">
        <x:v>혼인·출생 10개월 연속 동반 상승...33년 반 만에 처음</x:v>
      </x:c>
      <x:c r="F78" s="21" t="str">
        <x:v>2025-06-25</x:v>
      </x:c>
      <x:c r="G78" s="21" t="str">
        <x:v>출생아 수 증가율로 보면 1991년(8.7%) 이후 4월 기준 34년 만에 가장 높았다.</x:v>
      </x:c>
      <x:c r="H78" s="21" t="str">
        <x:v>https://www.chosun.com/economy/economy_general/2025/06/25/J4AIHVS7QBB7VHAJLWWLM3WXCI</x:v>
      </x:c>
      <x:c r="I78" s="20" t="str">
        <x:v>증감률재검토</x:v>
      </x:c>
      <x:c r="J78" s="20" t="str">
        <x:v>Y</x:v>
      </x:c>
      <x:c r="K78" s="20" t="str"/>
      <x:c r="L78" s="20" t="str">
        <x:v>DT_1B81A01</x:v>
      </x:c>
      <x:c r="M78" s="20" t="str">
        <x:v>00</x:v>
      </x:c>
      <x:c r="N78" s="20" t="str"/>
      <x:c r="O78" s="20" t="str">
        <x:v>T1</x:v>
      </x:c>
      <x:c r="P78" s="20" t="str">
        <x:v>M</x:v>
      </x:c>
      <x:c r="Q78" s="22" t="n">
        <x:v>8.7</x:v>
      </x:c>
      <x:c r="R78" s="20" t="str">
        <x:v>202504</x:v>
      </x:c>
      <x:c r="S78" s="20" t="str">
        <x:v>202404</x:v>
      </x:c>
      <x:c r="T78" s="23" t="str"/>
      <x:c r="U78" s="20" t="str">
        <x:v>N</x:v>
      </x:c>
      <x:c r="V78" s="20" t="str">
        <x:v>판단불가</x:v>
      </x:c>
      <x:c r="W78" s="20" t="str">
        <x:v>보류</x:v>
      </x:c>
      <x:c r="X78" s="20" t="str"/>
      <x:c r="Y78" s="20" t="str"/>
      <x:c r="Z78" s="20" t="str"/>
      <x:c r="AA78" s="20" t="str"/>
      <x:c r="AB78" s="20" t="str"/>
      <x:c r="AC78" s="20" t="str"/>
      <x:c r="AD78" s="22" t="str"/>
      <x:c r="AE78" s="20" t="str"/>
      <x:c r="AF78" s="20" t="str"/>
      <x:c r="AG78" s="20" t="str">
        <x:v>N/A</x:v>
      </x:c>
      <x:c r="AH78" s="20" t="str"/>
      <x:c r="AI78" s="20" t="str">
        <x:v>N</x:v>
      </x:c>
      <x:c r="AJ78" s="20" t="str">
        <x:v>N</x:v>
      </x:c>
      <x:c r="AK78" s="20" t="str">
        <x:v>N</x:v>
      </x:c>
      <x:c r="AL78" s="20" t="str">
        <x:v>N</x:v>
      </x:c>
      <x:c r="AM78" s="20" t="str">
        <x:v>N</x:v>
      </x:c>
      <x:c r="AN78" s="20" t="str">
        <x:v>N</x:v>
      </x:c>
      <x:c r="AO78" s="21" t="str"/>
    </x:row>
    <x:row r="79">
      <x:c r="A79" s="20" t="n">
        <x:v>75</x:v>
      </x:c>
      <x:c r="B79" s="20" t="str">
        <x:v>인구</x:v>
      </x:c>
      <x:c r="C79" s="20" t="str">
        <x:v>C17366</x:v>
      </x:c>
      <x:c r="D79" s="20" t="n">
        <x:v>2282</x:v>
      </x:c>
      <x:c r="E79" s="21" t="str">
        <x:v>혼인·출생 10개월 연속 동반 상승...33년 반 만에 처음</x:v>
      </x:c>
      <x:c r="F79" s="21" t="str">
        <x:v>2025-06-25</x:v>
      </x:c>
      <x:c r="G79" s="21" t="str">
        <x:v>4월 합계출산율(가임 여성 한 명당 낳을 것으로 예상되는 아이 수)도 0.79명으로 전월(0.77명) 대비 0.02명 늘었다.</x:v>
      </x:c>
      <x:c r="H79" s="21" t="str">
        <x:v>https://www.chosun.com/economy/economy_general/2025/06/25/J4AIHVS7QBB7VHAJLWWLM3WXCI</x:v>
      </x:c>
      <x:c r="I79" s="20" t="str">
        <x:v>증감률재검토</x:v>
      </x:c>
      <x:c r="J79" s="20" t="str">
        <x:v>N</x:v>
      </x:c>
      <x:c r="K79" s="20" t="str">
        <x:v>KOSIS 미제공</x:v>
      </x:c>
      <x:c r="L79" s="20" t="str"/>
      <x:c r="M79" s="20" t="str"/>
      <x:c r="N79" s="20" t="str"/>
      <x:c r="O79" s="20" t="str"/>
      <x:c r="P79" s="20" t="str"/>
      <x:c r="Q79" s="22" t="str"/>
      <x:c r="R79" s="20" t="str"/>
      <x:c r="S79" s="20" t="str"/>
      <x:c r="T79" s="23" t="str"/>
      <x:c r="U79" s="20" t="str">
        <x:v>N/A</x:v>
      </x:c>
      <x:c r="V79" s="20" t="str">
        <x:v>판단불가</x:v>
      </x:c>
      <x:c r="W79" s="20" t="str">
        <x:v>검증불가</x:v>
      </x:c>
      <x:c r="X79" s="20" t="str">
        <x:v>정보 부족</x:v>
      </x:c>
      <x:c r="Y79" s="20" t="str"/>
      <x:c r="Z79" s="20" t="str"/>
      <x:c r="AA79" s="20" t="str"/>
      <x:c r="AB79" s="20" t="str"/>
      <x:c r="AC79" s="20" t="str"/>
      <x:c r="AD79" s="22" t="str"/>
      <x:c r="AE79" s="20" t="str"/>
      <x:c r="AF79" s="20" t="str"/>
      <x:c r="AG79" s="20" t="str">
        <x:v>N/A</x:v>
      </x:c>
      <x:c r="AH79" s="20" t="str">
        <x:v>판단불가</x:v>
      </x:c>
      <x:c r="AI79" s="20" t="str">
        <x:v>Y</x:v>
      </x:c>
      <x:c r="AJ79" s="20" t="str">
        <x:v>N/A</x:v>
      </x:c>
      <x:c r="AK79" s="20" t="str">
        <x:v>N/A</x:v>
      </x:c>
      <x:c r="AL79" s="20" t="str">
        <x:v>N/A</x:v>
      </x:c>
      <x:c r="AM79" s="20" t="str">
        <x:v>N/A</x:v>
      </x:c>
      <x:c r="AN79" s="20" t="str">
        <x:v>Y</x:v>
      </x:c>
      <x:c r="AO79" s="21" t="str"/>
    </x:row>
    <x:row r="80">
      <x:c r="A80" s="20" t="n">
        <x:v>76</x:v>
      </x:c>
      <x:c r="B80" s="20" t="str">
        <x:v>인구</x:v>
      </x:c>
      <x:c r="C80" s="20" t="str">
        <x:v>C17367</x:v>
      </x:c>
      <x:c r="D80" s="20" t="n">
        <x:v>2282</x:v>
      </x:c>
      <x:c r="E80" s="21" t="str">
        <x:v>혼인·출생 10개월 연속 동반 상승...33년 반 만에 처음</x:v>
      </x:c>
      <x:c r="F80" s="21" t="str">
        <x:v>2025-06-25</x:v>
      </x:c>
      <x:c r="G80" s="21" t="str">
        <x:v>4월 혼인 건수 역시 1만8921건으로 집계돼 전년 같은 달 대비 4.9%가 늘었다.</x:v>
      </x:c>
      <x:c r="H80" s="21" t="str">
        <x:v>https://www.chosun.com/economy/economy_general/2025/06/25/J4AIHVS7QBB7VHAJLWWLM3WXCI</x:v>
      </x:c>
      <x:c r="I80" s="20" t="str">
        <x:v>판단불가</x:v>
      </x:c>
      <x:c r="J80" s="20" t="str">
        <x:v>Y</x:v>
      </x:c>
      <x:c r="K80" s="20" t="str"/>
      <x:c r="L80" s="20" t="str">
        <x:v>DT_1B83A35</x:v>
      </x:c>
      <x:c r="M80" s="20" t="str">
        <x:v>00</x:v>
      </x:c>
      <x:c r="N80" s="20" t="str"/>
      <x:c r="O80" s="20" t="str">
        <x:v>T3</x:v>
      </x:c>
      <x:c r="P80" s="20" t="str">
        <x:v>M</x:v>
      </x:c>
      <x:c r="Q80" s="22" t="n">
        <x:v>4.9</x:v>
      </x:c>
      <x:c r="R80" s="20" t="str">
        <x:v>202504</x:v>
      </x:c>
      <x:c r="S80" s="20" t="str">
        <x:v>202404</x:v>
      </x:c>
      <x:c r="T80" s="23" t="n">
        <x:v>4.889948439319177</x:v>
      </x:c>
      <x:c r="U80" s="20" t="str">
        <x:v>Y</x:v>
      </x:c>
      <x:c r="V80" s="20" t="str">
        <x:v>일치</x:v>
      </x:c>
      <x:c r="W80" s="20" t="str">
        <x:v>검증가능</x:v>
      </x:c>
      <x:c r="X80" s="20" t="str"/>
      <x:c r="Y80" s="20" t="str">
        <x:v>DT_1B83A35</x:v>
      </x:c>
      <x:c r="Z80" s="20" t="str">
        <x:v>00</x:v>
      </x:c>
      <x:c r="AA80" s="20" t="str"/>
      <x:c r="AB80" s="20" t="str">
        <x:v>T3</x:v>
      </x:c>
      <x:c r="AC80" s="20" t="str">
        <x:v>M</x:v>
      </x:c>
      <x:c r="AD80" s="22" t="n">
        <x:v>4.9</x:v>
      </x:c>
      <x:c r="AE80" s="20" t="str">
        <x:v>202504</x:v>
      </x:c>
      <x:c r="AF80" s="20" t="str">
        <x:v>202404</x:v>
      </x:c>
      <x:c r="AG80" s="20" t="str">
        <x:v>Y</x:v>
      </x:c>
      <x:c r="AH80" s="20" t="str">
        <x:v>일치</x:v>
      </x:c>
      <x:c r="AI80" s="20" t="str">
        <x:v>Y</x:v>
      </x:c>
      <x:c r="AJ80" s="20" t="str">
        <x:v>Y</x:v>
      </x:c>
      <x:c r="AK80" s="20" t="str">
        <x:v>Y</x:v>
      </x:c>
      <x:c r="AL80" s="20" t="str">
        <x:v>Y</x:v>
      </x:c>
      <x:c r="AM80" s="20" t="str">
        <x:v>Y</x:v>
      </x:c>
      <x:c r="AN80" s="20" t="str">
        <x:v>Y</x:v>
      </x:c>
      <x:c r="AO80" s="21" t="str"/>
    </x:row>
    <x:row r="81">
      <x:c r="A81" s="20" t="n">
        <x:v>77</x:v>
      </x:c>
      <x:c r="B81" s="20" t="str">
        <x:v>인구</x:v>
      </x:c>
      <x:c r="C81" s="20" t="str">
        <x:v>C17453</x:v>
      </x:c>
      <x:c r="D81" s="20" t="n">
        <x:v>2293</x:v>
      </x:c>
      <x:c r="E81" s="21" t="str">
        <x:v>결혼·출산은 33년 만에 10개월 연속 증가</x:v>
      </x:c>
      <x:c r="F81" s="21" t="str">
        <x:v>2025-06-26</x:v>
      </x:c>
      <x:c r="G81" s="21" t="str">
        <x:v>0 지난 4월 혼인 건수와 출생아 수가 전년 같은 달 대비 각각 4.9%, 8.7% 늘면서 10개월 연속 동반 증가했다.</x:v>
      </x:c>
      <x:c r="H81" s="21" t="str">
        <x:v>https://www.chosun.com/economy/economy_general/2025/06/26/GDQ3PEJNV5H3RGFRU6KZAZ6BSE</x:v>
      </x:c>
      <x:c r="I81" s="20" t="str">
        <x:v>증감률재검토</x:v>
      </x:c>
      <x:c r="J81" s="20" t="str">
        <x:v>N</x:v>
      </x:c>
      <x:c r="K81" s="20" t="str">
        <x:v>정보 부족</x:v>
      </x:c>
      <x:c r="L81" s="20" t="str"/>
      <x:c r="M81" s="20" t="str"/>
      <x:c r="N81" s="20" t="str"/>
      <x:c r="O81" s="20" t="str"/>
      <x:c r="P81" s="20" t="str"/>
      <x:c r="Q81" s="22" t="str"/>
      <x:c r="R81" s="20" t="str"/>
      <x:c r="S81" s="20" t="str"/>
      <x:c r="T81" s="23" t="str"/>
      <x:c r="U81" s="20" t="str">
        <x:v>N/A</x:v>
      </x:c>
      <x:c r="V81" s="20" t="str">
        <x:v>판단불가</x:v>
      </x:c>
      <x:c r="W81" s="20" t="str">
        <x:v>보류</x:v>
      </x:c>
      <x:c r="X81" s="20" t="str"/>
      <x:c r="Y81" s="20" t="str"/>
      <x:c r="Z81" s="20" t="str"/>
      <x:c r="AA81" s="20" t="str"/>
      <x:c r="AB81" s="20" t="str"/>
      <x:c r="AC81" s="20" t="str"/>
      <x:c r="AD81" s="22" t="str"/>
      <x:c r="AE81" s="20" t="str"/>
      <x:c r="AF81" s="20" t="str"/>
      <x:c r="AG81" s="20" t="str">
        <x:v>N/A</x:v>
      </x:c>
      <x:c r="AH81" s="20" t="str"/>
      <x:c r="AI81" s="20" t="str">
        <x:v>N</x:v>
      </x:c>
      <x:c r="AJ81" s="20" t="str">
        <x:v>N/A</x:v>
      </x:c>
      <x:c r="AK81" s="20" t="str">
        <x:v>N/A</x:v>
      </x:c>
      <x:c r="AL81" s="20" t="str">
        <x:v>N/A</x:v>
      </x:c>
      <x:c r="AM81" s="20" t="str">
        <x:v>N/A</x:v>
      </x:c>
      <x:c r="AN81" s="20" t="str">
        <x:v>N</x:v>
      </x:c>
      <x:c r="AO81" s="21" t="str"/>
    </x:row>
    <x:row r="82">
      <x:c r="A82" s="20" t="n">
        <x:v>78</x:v>
      </x:c>
      <x:c r="B82" s="20" t="str">
        <x:v>인구</x:v>
      </x:c>
      <x:c r="C82" s="20" t="str">
        <x:v>C17456</x:v>
      </x:c>
      <x:c r="D82" s="20" t="n">
        <x:v>2293</x:v>
      </x:c>
      <x:c r="E82" s="21" t="str">
        <x:v>결혼·출산은 33년 만에 10개월 연속 증가</x:v>
      </x:c>
      <x:c r="F82" s="21" t="str">
        <x:v>2025-06-26</x:v>
      </x:c>
      <x:c r="G82" s="21" t="str">
        <x:v>25일 통계청은 ‘4월 인구 동향’에서 4월 출생아 수가 2만717명으로 전년 같은 달보다 8.7% 증가했다고 밝혔다.</x:v>
      </x:c>
      <x:c r="H82" s="21" t="str">
        <x:v>https://www.chosun.com/economy/economy_general/2025/06/26/GDQ3PEJNV5H3RGFRU6KZAZ6BSE</x:v>
      </x:c>
      <x:c r="I82" s="20" t="str">
        <x:v>수준값재검토</x:v>
      </x:c>
      <x:c r="J82" s="20" t="str">
        <x:v>Y</x:v>
      </x:c>
      <x:c r="K82" s="20" t="str"/>
      <x:c r="L82" s="20" t="str">
        <x:v>DT_1B81A01</x:v>
      </x:c>
      <x:c r="M82" s="20" t="str">
        <x:v>00</x:v>
      </x:c>
      <x:c r="N82" s="20" t="str"/>
      <x:c r="O82" s="20" t="str">
        <x:v>T1</x:v>
      </x:c>
      <x:c r="P82" s="20" t="str">
        <x:v>M</x:v>
      </x:c>
      <x:c r="Q82" s="22" t="n">
        <x:v>8.7</x:v>
      </x:c>
      <x:c r="R82" s="20" t="str">
        <x:v>202504</x:v>
      </x:c>
      <x:c r="S82" s="20" t="str">
        <x:v>202404</x:v>
      </x:c>
      <x:c r="T82" s="23" t="str"/>
      <x:c r="U82" s="20" t="str">
        <x:v>N</x:v>
      </x:c>
      <x:c r="V82" s="20" t="str">
        <x:v>판단불가</x:v>
      </x:c>
      <x:c r="W82" s="20" t="str">
        <x:v>검증가능</x:v>
      </x:c>
      <x:c r="X82" s="20" t="str"/>
      <x:c r="Y82" s="20" t="str">
        <x:v>DT_1B81A01</x:v>
      </x:c>
      <x:c r="Z82" s="20" t="str">
        <x:v>00</x:v>
      </x:c>
      <x:c r="AA82" s="20" t="str"/>
      <x:c r="AB82" s="20" t="str">
        <x:v>T1</x:v>
      </x:c>
      <x:c r="AC82" s="20" t="str">
        <x:v>M</x:v>
      </x:c>
      <x:c r="AD82" s="22" t="n">
        <x:v>8.7</x:v>
      </x:c>
      <x:c r="AE82" s="20" t="str">
        <x:v>202504</x:v>
      </x:c>
      <x:c r="AF82" s="20" t="str">
        <x:v>202404</x:v>
      </x:c>
      <x:c r="AG82" s="20" t="str">
        <x:v>N</x:v>
      </x:c>
      <x:c r="AH82" s="20" t="str">
        <x:v>판단불가</x:v>
      </x:c>
      <x:c r="AI82" s="20" t="str">
        <x:v>Y</x:v>
      </x:c>
      <x:c r="AJ82" s="20" t="str">
        <x:v>Y</x:v>
      </x:c>
      <x:c r="AK82" s="20" t="str">
        <x:v>Y</x:v>
      </x:c>
      <x:c r="AL82" s="20" t="str">
        <x:v>Y</x:v>
      </x:c>
      <x:c r="AM82" s="20" t="str">
        <x:v>Y</x:v>
      </x:c>
      <x:c r="AN82" s="20" t="str">
        <x:v>Y</x:v>
      </x:c>
      <x:c r="AO82" s="21" t="str"/>
    </x:row>
    <x:row r="83">
      <x:c r="A83" s="20" t="n">
        <x:v>79</x:v>
      </x:c>
      <x:c r="B83" s="20" t="str">
        <x:v>인구</x:v>
      </x:c>
      <x:c r="C83" s="20" t="str">
        <x:v>C17458</x:v>
      </x:c>
      <x:c r="D83" s="20" t="n">
        <x:v>2293</x:v>
      </x:c>
      <x:c r="E83" s="21" t="str">
        <x:v>결혼·출산은 33년 만에 10개월 연속 증가</x:v>
      </x:c>
      <x:c r="F83" s="21" t="str">
        <x:v>2025-06-26</x:v>
      </x:c>
      <x:c r="G83" s="21" t="str">
        <x:v>월별 출생아 수는 지난해 7월(7.8%) 이후 10개월째 증가세를 보이고 있다.</x:v>
      </x:c>
      <x:c r="H83" s="21" t="str">
        <x:v>https://www.chosun.com/economy/economy_general/2025/06/26/GDQ3PEJNV5H3RGFRU6KZAZ6BSE</x:v>
      </x:c>
      <x:c r="I83" s="20" t="str">
        <x:v>증감률재검토</x:v>
      </x:c>
      <x:c r="J83" s="20" t="str">
        <x:v>Y</x:v>
      </x:c>
      <x:c r="K83" s="20" t="str"/>
      <x:c r="L83" s="20" t="str">
        <x:v>DT_1B81A01</x:v>
      </x:c>
      <x:c r="M83" s="20" t="str">
        <x:v>00</x:v>
      </x:c>
      <x:c r="N83" s="20" t="str"/>
      <x:c r="O83" s="20" t="str">
        <x:v>T1</x:v>
      </x:c>
      <x:c r="P83" s="20" t="str">
        <x:v>M</x:v>
      </x:c>
      <x:c r="Q83" s="22" t="n">
        <x:v>7.8</x:v>
      </x:c>
      <x:c r="R83" s="20" t="str">
        <x:v>202407</x:v>
      </x:c>
      <x:c r="S83" s="20" t="str">
        <x:v>202307</x:v>
      </x:c>
      <x:c r="T83" s="23" t="n">
        <x:v>7.8333769976421275</x:v>
      </x:c>
      <x:c r="U83" s="20" t="str">
        <x:v>Y</x:v>
      </x:c>
      <x:c r="V83" s="20" t="str">
        <x:v>일치</x:v>
      </x:c>
      <x:c r="W83" s="20" t="str">
        <x:v>검증가능</x:v>
      </x:c>
      <x:c r="X83" s="20" t="str"/>
      <x:c r="Y83" s="20" t="str">
        <x:v>DT_1B81A01</x:v>
      </x:c>
      <x:c r="Z83" s="20" t="str">
        <x:v>00</x:v>
      </x:c>
      <x:c r="AA83" s="20" t="str"/>
      <x:c r="AB83" s="20" t="str">
        <x:v>T1</x:v>
      </x:c>
      <x:c r="AC83" s="20" t="str">
        <x:v>M</x:v>
      </x:c>
      <x:c r="AD83" s="22" t="n">
        <x:v>7.8</x:v>
      </x:c>
      <x:c r="AE83" s="20" t="str">
        <x:v>202407</x:v>
      </x:c>
      <x:c r="AF83" s="20" t="str">
        <x:v>202307</x:v>
      </x:c>
      <x:c r="AG83" s="20" t="str">
        <x:v>Y</x:v>
      </x:c>
      <x:c r="AH83" s="20" t="str">
        <x:v>일치</x:v>
      </x:c>
      <x:c r="AI83" s="20" t="str">
        <x:v>Y</x:v>
      </x:c>
      <x:c r="AJ83" s="20" t="str">
        <x:v>Y</x:v>
      </x:c>
      <x:c r="AK83" s="20" t="str">
        <x:v>Y</x:v>
      </x:c>
      <x:c r="AL83" s="20" t="str">
        <x:v>Y</x:v>
      </x:c>
      <x:c r="AM83" s="20" t="str">
        <x:v>Y</x:v>
      </x:c>
      <x:c r="AN83" s="20" t="str">
        <x:v>Y</x:v>
      </x:c>
      <x:c r="AO83" s="21" t="str"/>
    </x:row>
    <x:row r="84">
      <x:c r="A84" s="20" t="n">
        <x:v>80</x:v>
      </x:c>
      <x:c r="B84" s="20" t="str">
        <x:v>인구</x:v>
      </x:c>
      <x:c r="C84" s="20" t="str">
        <x:v>C17459</x:v>
      </x:c>
      <x:c r="D84" s="20" t="n">
        <x:v>2293</x:v>
      </x:c>
      <x:c r="E84" s="21" t="str">
        <x:v>결혼·출산은 33년 만에 10개월 연속 증가</x:v>
      </x:c>
      <x:c r="F84" s="21" t="str">
        <x:v>2025-06-26</x:v>
      </x:c>
      <x:c r="G84" s="21" t="str">
        <x:v>4월 합계 출산율(가임 여성 한 명이 평생 낳으리라 기대되는 아이 수)도 0.79명으로 전년 같은 달(0.73명)보다 0.06명 늘었다.</x:v>
      </x:c>
      <x:c r="H84" s="21" t="str">
        <x:v>https://www.chosun.com/economy/economy_general/2025/06/26/GDQ3PEJNV5H3RGFRU6KZAZ6BSE</x:v>
      </x:c>
      <x:c r="I84" s="20" t="str">
        <x:v>증감률재검토</x:v>
      </x:c>
      <x:c r="J84" s="20" t="str">
        <x:v>N</x:v>
      </x:c>
      <x:c r="K84" s="20" t="str">
        <x:v>KOSIS 미제공</x:v>
      </x:c>
      <x:c r="L84" s="20" t="str"/>
      <x:c r="M84" s="20" t="str"/>
      <x:c r="N84" s="20" t="str"/>
      <x:c r="O84" s="20" t="str"/>
      <x:c r="P84" s="20" t="str"/>
      <x:c r="Q84" s="22" t="str"/>
      <x:c r="R84" s="20" t="str"/>
      <x:c r="S84" s="20" t="str"/>
      <x:c r="T84" s="23" t="str"/>
      <x:c r="U84" s="20" t="str">
        <x:v>N/A</x:v>
      </x:c>
      <x:c r="V84" s="20" t="str">
        <x:v>판단불가</x:v>
      </x:c>
      <x:c r="W84" s="20" t="str">
        <x:v>보류</x:v>
      </x:c>
      <x:c r="X84" s="20" t="str"/>
      <x:c r="Y84" s="20" t="str"/>
      <x:c r="Z84" s="20" t="str"/>
      <x:c r="AA84" s="20" t="str"/>
      <x:c r="AB84" s="20" t="str"/>
      <x:c r="AC84" s="20" t="str"/>
      <x:c r="AD84" s="22" t="str"/>
      <x:c r="AE84" s="20" t="str"/>
      <x:c r="AF84" s="20" t="str"/>
      <x:c r="AG84" s="20" t="str">
        <x:v>N/A</x:v>
      </x:c>
      <x:c r="AH84" s="20" t="str"/>
      <x:c r="AI84" s="20" t="str">
        <x:v>N</x:v>
      </x:c>
      <x:c r="AJ84" s="20" t="str">
        <x:v>N/A</x:v>
      </x:c>
      <x:c r="AK84" s="20" t="str">
        <x:v>N/A</x:v>
      </x:c>
      <x:c r="AL84" s="20" t="str">
        <x:v>N/A</x:v>
      </x:c>
      <x:c r="AM84" s="20" t="str">
        <x:v>N/A</x:v>
      </x:c>
      <x:c r="AN84" s="20" t="str">
        <x:v>N</x:v>
      </x:c>
      <x:c r="AO84" s="21" t="str"/>
    </x:row>
    <x:row r="85">
      <x:c r="A85" s="20" t="n">
        <x:v>81</x:v>
      </x:c>
      <x:c r="B85" s="20" t="str">
        <x:v>소매</x:v>
      </x:c>
      <x:c r="C85" s="20" t="str">
        <x:v>C00617</x:v>
      </x:c>
      <x:c r="D85" s="20" t="n">
        <x:v>72</x:v>
      </x:c>
      <x:c r="E85" s="21" t="str">
        <x:v>계엄 이후 얼어붙은 내수... 덜 먹고 덜 놀러갔다</x:v>
      </x:c>
      <x:c r="F85" s="21" t="str">
        <x:v>2025-01-06</x:v>
      </x:c>
      <x:c r="G85" s="21" t="str">
        <x:v>대표적인 내수경기 지표인 소매판매액지수는 2024년 3분기 100.6으로 1년 전보다 1.9% 감소했는데, 2022년 2분기(-0.2%) 이래 10개 분기 연속으로 감소세가 이어지는 중이다.</x:v>
      </x:c>
      <x:c r="H85" s="21" t="str">
        <x:v>https://www.chosun.com/economy/economy_general/2025/01/06/UNEVPXHOQFFWRGCMGJ72EICGC4</x:v>
      </x:c>
      <x:c r="I85" s="20" t="str">
        <x:v>판단불가</x:v>
      </x:c>
      <x:c r="J85" s="20" t="str">
        <x:v>Y</x:v>
      </x:c>
      <x:c r="K85" s="20" t="str"/>
      <x:c r="L85" s="20" t="str">
        <x:v>DT_1K41012</x:v>
      </x:c>
      <x:c r="M85" s="20" t="str">
        <x:v>G0</x:v>
      </x:c>
      <x:c r="N85" s="20" t="str"/>
      <x:c r="O85" s="20" t="str">
        <x:v>T2</x:v>
      </x:c>
      <x:c r="P85" s="20" t="str">
        <x:v>Q</x:v>
      </x:c>
      <x:c r="Q85" s="22" t="n">
        <x:v>-1.9</x:v>
      </x:c>
      <x:c r="R85" s="20" t="str">
        <x:v>202403</x:v>
      </x:c>
      <x:c r="S85" s="20" t="str">
        <x:v>202303</x:v>
      </x:c>
      <x:c r="T85" s="23" t="n">
        <x:v>-1.3618677042801473</x:v>
      </x:c>
      <x:c r="U85" s="20" t="str">
        <x:v>Y</x:v>
      </x:c>
      <x:c r="V85" s="20" t="str">
        <x:v>불일치</x:v>
      </x:c>
      <x:c r="W85" s="20" t="str">
        <x:v>보류</x:v>
      </x:c>
      <x:c r="X85" s="20" t="str"/>
      <x:c r="Y85" s="20" t="str"/>
      <x:c r="Z85" s="20" t="str"/>
      <x:c r="AA85" s="20" t="str"/>
      <x:c r="AB85" s="20" t="str"/>
      <x:c r="AC85" s="20" t="str"/>
      <x:c r="AD85" s="22" t="str"/>
      <x:c r="AE85" s="20" t="str"/>
      <x:c r="AF85" s="20" t="str"/>
      <x:c r="AG85" s="20" t="str">
        <x:v>N/A</x:v>
      </x:c>
      <x:c r="AH85" s="20" t="str"/>
      <x:c r="AI85" s="20" t="str">
        <x:v>N</x:v>
      </x:c>
      <x:c r="AJ85" s="20" t="str">
        <x:v>N</x:v>
      </x:c>
      <x:c r="AK85" s="20" t="str">
        <x:v>N</x:v>
      </x:c>
      <x:c r="AL85" s="20" t="str">
        <x:v>N</x:v>
      </x:c>
      <x:c r="AM85" s="20" t="str">
        <x:v>N</x:v>
      </x:c>
      <x:c r="AN85" s="20" t="str">
        <x:v>N</x:v>
      </x:c>
      <x:c r="AO85" s="21" t="str"/>
    </x:row>
    <x:row r="86">
      <x:c r="A86" s="20" t="n">
        <x:v>82</x:v>
      </x:c>
      <x:c r="B86" s="20" t="str">
        <x:v>소매</x:v>
      </x:c>
      <x:c r="C86" s="20" t="str">
        <x:v>C01370</x:v>
      </x:c>
      <x:c r="D86" s="20" t="n">
        <x:v>190</x:v>
      </x:c>
      <x:c r="E86" s="21" t="str">
        <x:v>너무 오른 ‘국민 반찬’… 김 한 장에 150원</x:v>
      </x:c>
      <x:c r="F86" s="21" t="str">
        <x:v>2025-01-15</x:v>
      </x:c>
      <x:c r="G86" s="21" t="str">
        <x:v>14일 한국농수산식품유통공사에 따르면 마른 김 10장 평균 소매가격은 14일 기준 1492원으로 전년보다 42.5% 올랐다.</x:v>
      </x:c>
      <x:c r="H86" s="21" t="str">
        <x:v>https://www.chosun.com/economy/economy_general/2025/01/15/CL265Q4QEZGRBMHGA4VSUMNTLM</x:v>
      </x:c>
      <x:c r="I86" s="20" t="str">
        <x:v>판단불가</x:v>
      </x:c>
      <x:c r="J86" s="20" t="str">
        <x:v>N</x:v>
      </x:c>
      <x:c r="K86" s="20" t="str">
        <x:v>KOSIS 미제공</x:v>
      </x:c>
      <x:c r="L86" s="20" t="str"/>
      <x:c r="M86" s="20" t="str"/>
      <x:c r="N86" s="20" t="str"/>
      <x:c r="O86" s="20" t="str"/>
      <x:c r="P86" s="20" t="str"/>
      <x:c r="Q86" s="22" t="str"/>
      <x:c r="R86" s="20" t="str"/>
      <x:c r="S86" s="20" t="str"/>
      <x:c r="T86" s="23" t="str"/>
      <x:c r="U86" s="20" t="str">
        <x:v>N/A</x:v>
      </x:c>
      <x:c r="V86" s="20" t="str">
        <x:v>판단불가</x:v>
      </x:c>
      <x:c r="W86" s="20" t="str">
        <x:v>검증불가</x:v>
      </x:c>
      <x:c r="X86" s="20" t="str">
        <x:v>KOSIS 미제공</x:v>
      </x:c>
      <x:c r="Y86" s="20" t="str"/>
      <x:c r="Z86" s="20" t="str"/>
      <x:c r="AA86" s="20" t="str"/>
      <x:c r="AB86" s="20" t="str"/>
      <x:c r="AC86" s="20" t="str"/>
      <x:c r="AD86" s="22" t="str"/>
      <x:c r="AE86" s="20" t="str"/>
      <x:c r="AF86" s="20" t="str"/>
      <x:c r="AG86" s="20" t="str">
        <x:v>N/A</x:v>
      </x:c>
      <x:c r="AH86" s="20" t="str">
        <x:v>판단불가</x:v>
      </x:c>
      <x:c r="AI86" s="20" t="str">
        <x:v>Y</x:v>
      </x:c>
      <x:c r="AJ86" s="20" t="str">
        <x:v>N/A</x:v>
      </x:c>
      <x:c r="AK86" s="20" t="str">
        <x:v>N/A</x:v>
      </x:c>
      <x:c r="AL86" s="20" t="str">
        <x:v>N/A</x:v>
      </x:c>
      <x:c r="AM86" s="20" t="str">
        <x:v>N/A</x:v>
      </x:c>
      <x:c r="AN86" s="20" t="str">
        <x:v>Y</x:v>
      </x:c>
      <x:c r="AO86" s="21" t="str"/>
    </x:row>
    <x:row r="87">
      <x:c r="A87" s="20" t="n">
        <x:v>83</x:v>
      </x:c>
      <x:c r="B87" s="20" t="str">
        <x:v>소매</x:v>
      </x:c>
      <x:c r="C87" s="20" t="str">
        <x:v>C01459</x:v>
      </x:c>
      <x:c r="D87" s="20" t="n">
        <x:v>201</x:v>
      </x:c>
      <x:c r="E87" s="21" t="str">
        <x:v>환율이 먼저…경기 둔화 우려에도 금리 동결 택한 한은</x:v>
      </x:c>
      <x:c r="F87" s="21" t="str">
        <x:v>2025-01-16</x:v>
      </x:c>
      <x:c r="G87" s="21" t="str">
        <x:v>전산업 생산은 9~11월 석 달 연속 전기대비 마이너스를 기록했고, 작년 1~11월 소매판매액 지수는 전년 동기 대비 2.1% 감소했다.</x:v>
      </x:c>
      <x:c r="H87" s="21" t="str">
        <x:v>https://www.chosun.com/economy/economy_general/2025/01/16/GYTUJFPBEVAUFP6S4QBQ3RYSDQ</x:v>
      </x:c>
      <x:c r="I87" s="20" t="str">
        <x:v>판단불가</x:v>
      </x:c>
      <x:c r="J87" s="20" t="str">
        <x:v>Y</x:v>
      </x:c>
      <x:c r="K87" s="20" t="str"/>
      <x:c r="L87" s="20" t="str">
        <x:v>DT_1K41012</x:v>
      </x:c>
      <x:c r="M87" s="20" t="str">
        <x:v>G0</x:v>
      </x:c>
      <x:c r="N87" s="20" t="str"/>
      <x:c r="O87" s="20" t="str">
        <x:v>T2</x:v>
      </x:c>
      <x:c r="P87" s="20" t="str">
        <x:v>M</x:v>
      </x:c>
      <x:c r="Q87" s="22" t="n">
        <x:v>-2.1</x:v>
      </x:c>
      <x:c r="R87" s="20" t="str">
        <x:v>202401-202411</x:v>
      </x:c>
      <x:c r="S87" s="20" t="str"/>
      <x:c r="T87" s="23" t="n">
        <x:v>-1.9200420831141447</x:v>
      </x:c>
      <x:c r="U87" s="20" t="str">
        <x:v>Y</x:v>
      </x:c>
      <x:c r="V87" s="20" t="str">
        <x:v>일치</x:v>
      </x:c>
      <x:c r="W87" s="20" t="str">
        <x:v>보류</x:v>
      </x:c>
      <x:c r="X87" s="20" t="str"/>
      <x:c r="Y87" s="20" t="str"/>
      <x:c r="Z87" s="20" t="str"/>
      <x:c r="AA87" s="20" t="str"/>
      <x:c r="AB87" s="20" t="str"/>
      <x:c r="AC87" s="20" t="str"/>
      <x:c r="AD87" s="22" t="str"/>
      <x:c r="AE87" s="20" t="str"/>
      <x:c r="AF87" s="20" t="str"/>
      <x:c r="AG87" s="20" t="str">
        <x:v>N/A</x:v>
      </x:c>
      <x:c r="AH87" s="20" t="str"/>
      <x:c r="AI87" s="20" t="str">
        <x:v>N</x:v>
      </x:c>
      <x:c r="AJ87" s="20" t="str">
        <x:v>N</x:v>
      </x:c>
      <x:c r="AK87" s="20" t="str">
        <x:v>N</x:v>
      </x:c>
      <x:c r="AL87" s="20" t="str">
        <x:v>N</x:v>
      </x:c>
      <x:c r="AM87" s="20" t="str">
        <x:v>N</x:v>
      </x:c>
      <x:c r="AN87" s="20" t="str">
        <x:v>N</x:v>
      </x:c>
      <x:c r="AO87" s="21" t="str"/>
    </x:row>
    <x:row r="88">
      <x:c r="A88" s="20" t="n">
        <x:v>84</x:v>
      </x:c>
      <x:c r="B88" s="20" t="str">
        <x:v>소매</x:v>
      </x:c>
      <x:c r="C88" s="20" t="str">
        <x:v>C06577</x:v>
      </x:c>
      <x:c r="D88" s="20" t="n">
        <x:v>828</x:v>
      </x:c>
      <x:c r="E88" s="21" t="str">
        <x:v>생산도, 소비도, 투자도… 1월 경제지표 모두 내렸다</x:v>
      </x:c>
      <x:c r="F88" s="21" t="str">
        <x:v>2025-03-05</x:v>
      </x:c>
      <x:c r="G88" s="21" t="str">
        <x:v>소매 판매는 작년 10월, 11월 각각 0.7%씩 감소했다가 12월(0.2%) 소폭 늘었지만, 다시 감소세로 돌아섰다.</x:v>
      </x:c>
      <x:c r="H88" s="21" t="str">
        <x:v>https://www.chosun.com/economy/economy_general/2025/03/05/LZV322K34BAJLPJWLMSSO3DZYQ</x:v>
      </x:c>
      <x:c r="I88" s="20" t="str">
        <x:v>증감률재검토</x:v>
      </x:c>
      <x:c r="J88" s="20" t="str">
        <x:v>N</x:v>
      </x:c>
      <x:c r="K88" s="20" t="str">
        <x:v>정보 부족</x:v>
      </x:c>
      <x:c r="L88" s="20" t="str"/>
      <x:c r="M88" s="20" t="str"/>
      <x:c r="N88" s="20" t="str"/>
      <x:c r="O88" s="20" t="str"/>
      <x:c r="P88" s="20" t="str"/>
      <x:c r="Q88" s="22" t="str"/>
      <x:c r="R88" s="20" t="str"/>
      <x:c r="S88" s="20" t="str"/>
      <x:c r="T88" s="23" t="str"/>
      <x:c r="U88" s="20" t="str">
        <x:v>N/A</x:v>
      </x:c>
      <x:c r="V88" s="20" t="str">
        <x:v>판단불가</x:v>
      </x:c>
      <x:c r="W88" s="20" t="str">
        <x:v>보류</x:v>
      </x:c>
      <x:c r="X88" s="20" t="str"/>
      <x:c r="Y88" s="20" t="str"/>
      <x:c r="Z88" s="20" t="str"/>
      <x:c r="AA88" s="20" t="str"/>
      <x:c r="AB88" s="20" t="str"/>
      <x:c r="AC88" s="20" t="str"/>
      <x:c r="AD88" s="22" t="str"/>
      <x:c r="AE88" s="20" t="str"/>
      <x:c r="AF88" s="20" t="str"/>
      <x:c r="AG88" s="20" t="str">
        <x:v>N/A</x:v>
      </x:c>
      <x:c r="AH88" s="20" t="str"/>
      <x:c r="AI88" s="20" t="str">
        <x:v>N</x:v>
      </x:c>
      <x:c r="AJ88" s="20" t="str">
        <x:v>N/A</x:v>
      </x:c>
      <x:c r="AK88" s="20" t="str">
        <x:v>N/A</x:v>
      </x:c>
      <x:c r="AL88" s="20" t="str">
        <x:v>N/A</x:v>
      </x:c>
      <x:c r="AM88" s="20" t="str">
        <x:v>N/A</x:v>
      </x:c>
      <x:c r="AN88" s="20" t="str">
        <x:v>N</x:v>
      </x:c>
      <x:c r="AO88" s="21" t="str"/>
    </x:row>
    <x:row r="89">
      <x:c r="A89" s="20" t="n">
        <x:v>85</x:v>
      </x:c>
      <x:c r="B89" s="20" t="str">
        <x:v>소매</x:v>
      </x:c>
      <x:c r="C89" s="20" t="str">
        <x:v>C07771</x:v>
      </x:c>
      <x:c r="D89" s="20" t="n">
        <x:v>985</x:v>
      </x:c>
      <x:c r="E89" s="21" t="str">
        <x:v>경기 침체로 음식점·유원지 손님 ‘뚝’... 매출 급감</x:v>
      </x:c>
      <x:c r="F89" s="21" t="str">
        <x:v>2025-03-17</x:v>
      </x:c>
      <x:c r="G89" s="21" t="str">
        <x:v>◇해안 관광 무너지자 탕·구이용 가리비 가격 반 토막 실제 유원지·놀이공원 서비스업 생산지수는 지난 1월 낙폭이 8.2%에 달해 지난 2021년 1월(-78%) 이후 낙폭이 역대 최대치를 기록했다.</x:v>
      </x:c>
      <x:c r="H89" s="21" t="str">
        <x:v>https://www.chosun.com/economy/economy_general/2025/03/17/MHBMUOYKGBHQFIXQFRTZUVKWYI</x:v>
      </x:c>
      <x:c r="I89" s="20" t="str">
        <x:v>수준값재검토</x:v>
      </x:c>
      <x:c r="J89" s="20" t="str">
        <x:v>Y</x:v>
      </x:c>
      <x:c r="K89" s="20" t="str"/>
      <x:c r="L89" s="20" t="str">
        <x:v>DT_1KC2020</x:v>
      </x:c>
      <x:c r="M89" s="20" t="str">
        <x:v>R9121</x:v>
      </x:c>
      <x:c r="N89" s="20" t="str"/>
      <x:c r="O89" s="20" t="str">
        <x:v>T2</x:v>
      </x:c>
      <x:c r="P89" s="20" t="str">
        <x:v>M</x:v>
      </x:c>
      <x:c r="Q89" s="22" t="n">
        <x:v>-8.2</x:v>
      </x:c>
      <x:c r="R89" s="20" t="str">
        <x:v>202501</x:v>
      </x:c>
      <x:c r="S89" s="20" t="str">
        <x:v>202401</x:v>
      </x:c>
      <x:c r="T89" s="23" t="n">
        <x:v>4.2066027689030765</x:v>
      </x:c>
      <x:c r="U89" s="20" t="str">
        <x:v>Y</x:v>
      </x:c>
      <x:c r="V89" s="20" t="str">
        <x:v>불일치</x:v>
      </x:c>
      <x:c r="W89" s="20" t="str">
        <x:v>보류</x:v>
      </x:c>
      <x:c r="X89" s="20" t="str"/>
      <x:c r="Y89" s="20" t="str"/>
      <x:c r="Z89" s="20" t="str"/>
      <x:c r="AA89" s="20" t="str"/>
      <x:c r="AB89" s="20" t="str"/>
      <x:c r="AC89" s="20" t="str"/>
      <x:c r="AD89" s="22" t="str"/>
      <x:c r="AE89" s="20" t="str"/>
      <x:c r="AF89" s="20" t="str"/>
      <x:c r="AG89" s="20" t="str">
        <x:v>N/A</x:v>
      </x:c>
      <x:c r="AH89" s="20" t="str"/>
      <x:c r="AI89" s="20" t="str">
        <x:v>N</x:v>
      </x:c>
      <x:c r="AJ89" s="20" t="str">
        <x:v>N</x:v>
      </x:c>
      <x:c r="AK89" s="20" t="str">
        <x:v>N</x:v>
      </x:c>
      <x:c r="AL89" s="20" t="str">
        <x:v>N</x:v>
      </x:c>
      <x:c r="AM89" s="20" t="str">
        <x:v>N</x:v>
      </x:c>
      <x:c r="AN89" s="20" t="str">
        <x:v>N</x:v>
      </x:c>
      <x:c r="AO89" s="21" t="str"/>
    </x:row>
    <x:row r="90">
      <x:c r="A90" s="20" t="n">
        <x:v>86</x:v>
      </x:c>
      <x:c r="B90" s="20" t="str">
        <x:v>소매</x:v>
      </x:c>
      <x:c r="C90" s="20" t="str">
        <x:v>C08297</x:v>
      </x:c>
      <x:c r="D90" s="20" t="n">
        <x:v>1071</x:v>
      </x:c>
      <x:c r="E90" s="21" t="str">
        <x:v>[모닝] ‘금배추’ 위에 양배추… 한 포기 6000원 넘어</x:v>
      </x:c>
      <x:c r="F90" s="21" t="str">
        <x:v>2025-03-24</x:v>
      </x:c>
      <x:c r="G90" s="21" t="str">
        <x:v>23일 한국농수산식품유통공사에 따르면, 이달 양배추 한 포기당 평균 소매 가격은 6121원으로 전년 같은 달(4095원)보다 49.5% 뛰었다.</x:v>
      </x:c>
      <x:c r="H90" s="21" t="str">
        <x:v>https://www.chosun.com/economy/economy_general/2025/03/24/D42NUVUXYVHPHMA2DEYTGZ44ME</x:v>
      </x:c>
      <x:c r="I90" s="20" t="str">
        <x:v>판단불가</x:v>
      </x:c>
      <x:c r="J90" s="20" t="str">
        <x:v>N</x:v>
      </x:c>
      <x:c r="K90" s="20" t="str">
        <x:v>KOSIS 미제공</x:v>
      </x:c>
      <x:c r="L90" s="20" t="str"/>
      <x:c r="M90" s="20" t="str"/>
      <x:c r="N90" s="20" t="str"/>
      <x:c r="O90" s="20" t="str"/>
      <x:c r="P90" s="20" t="str"/>
      <x:c r="Q90" s="22" t="str"/>
      <x:c r="R90" s="20" t="str"/>
      <x:c r="S90" s="20" t="str"/>
      <x:c r="T90" s="23" t="str"/>
      <x:c r="U90" s="20" t="str">
        <x:v>N/A</x:v>
      </x:c>
      <x:c r="V90" s="20" t="str">
        <x:v>판단불가</x:v>
      </x:c>
      <x:c r="W90" s="20" t="str">
        <x:v>검증불가</x:v>
      </x:c>
      <x:c r="X90" s="20" t="str">
        <x:v>KOSIS 미제공</x:v>
      </x:c>
      <x:c r="Y90" s="20" t="str"/>
      <x:c r="Z90" s="20" t="str"/>
      <x:c r="AA90" s="20" t="str"/>
      <x:c r="AB90" s="20" t="str"/>
      <x:c r="AC90" s="20" t="str"/>
      <x:c r="AD90" s="22" t="str"/>
      <x:c r="AE90" s="20" t="str"/>
      <x:c r="AF90" s="20" t="str"/>
      <x:c r="AG90" s="20" t="str">
        <x:v>N/A</x:v>
      </x:c>
      <x:c r="AH90" s="20" t="str">
        <x:v>판단불가</x:v>
      </x:c>
      <x:c r="AI90" s="20" t="str">
        <x:v>Y</x:v>
      </x:c>
      <x:c r="AJ90" s="20" t="str">
        <x:v>N/A</x:v>
      </x:c>
      <x:c r="AK90" s="20" t="str">
        <x:v>N/A</x:v>
      </x:c>
      <x:c r="AL90" s="20" t="str">
        <x:v>N/A</x:v>
      </x:c>
      <x:c r="AM90" s="20" t="str">
        <x:v>N/A</x:v>
      </x:c>
      <x:c r="AN90" s="20" t="str">
        <x:v>Y</x:v>
      </x:c>
      <x:c r="AO90" s="21" t="str"/>
    </x:row>
    <x:row r="91">
      <x:c r="A91" s="20" t="n">
        <x:v>87</x:v>
      </x:c>
      <x:c r="B91" s="20" t="str">
        <x:v>소매</x:v>
      </x:c>
      <x:c r="C91" s="20" t="str">
        <x:v>C09080</x:v>
      </x:c>
      <x:c r="D91" s="20" t="n">
        <x:v>1176</x:v>
      </x:c>
      <x:c r="E91" s="21" t="str">
        <x:v>의성 마늘·청송 사과… 먹거리 물가도 비상</x:v>
      </x:c>
      <x:c r="F91" s="21" t="str">
        <x:v>2025-04-01</x:v>
      </x:c>
      <x:c r="G91" s="21" t="str">
        <x:v>상당수가 사과를 키우는 과수원으로, 경북 지역은 전국 사과 생산량의 62%를 차지하는 사과 주산지다.</x:v>
      </x:c>
      <x:c r="H91" s="21" t="str">
        <x:v>https://www.chosun.com/economy/economy_general/2025/04/01/OCXI4WN3PBCMBAAWAGM2HDZ34U</x:v>
      </x:c>
      <x:c r="I91" s="20" t="str">
        <x:v>판단불가</x:v>
      </x:c>
      <x:c r="J91" s="20" t="str">
        <x:v>N</x:v>
      </x:c>
      <x:c r="K91" s="20" t="str">
        <x:v>지역·분류 불일치</x:v>
      </x:c>
      <x:c r="L91" s="20" t="str"/>
      <x:c r="M91" s="20" t="str"/>
      <x:c r="N91" s="20" t="str"/>
      <x:c r="O91" s="20" t="str"/>
      <x:c r="P91" s="20" t="str"/>
      <x:c r="Q91" s="22" t="str"/>
      <x:c r="R91" s="20" t="str"/>
      <x:c r="S91" s="20" t="str"/>
      <x:c r="T91" s="23" t="str"/>
      <x:c r="U91" s="20" t="str">
        <x:v>N/A</x:v>
      </x:c>
      <x:c r="V91" s="20" t="str">
        <x:v>판단불가</x:v>
      </x:c>
      <x:c r="W91" s="20" t="str">
        <x:v>보류</x:v>
      </x:c>
      <x:c r="X91" s="20" t="str"/>
      <x:c r="Y91" s="20" t="str"/>
      <x:c r="Z91" s="20" t="str"/>
      <x:c r="AA91" s="20" t="str"/>
      <x:c r="AB91" s="20" t="str"/>
      <x:c r="AC91" s="20" t="str"/>
      <x:c r="AD91" s="22" t="str"/>
      <x:c r="AE91" s="20" t="str"/>
      <x:c r="AF91" s="20" t="str"/>
      <x:c r="AG91" s="20" t="str">
        <x:v>N/A</x:v>
      </x:c>
      <x:c r="AH91" s="20" t="str"/>
      <x:c r="AI91" s="20" t="str">
        <x:v>N</x:v>
      </x:c>
      <x:c r="AJ91" s="20" t="str">
        <x:v>N/A</x:v>
      </x:c>
      <x:c r="AK91" s="20" t="str">
        <x:v>N/A</x:v>
      </x:c>
      <x:c r="AL91" s="20" t="str">
        <x:v>N/A</x:v>
      </x:c>
      <x:c r="AM91" s="20" t="str">
        <x:v>N/A</x:v>
      </x:c>
      <x:c r="AN91" s="20" t="str">
        <x:v>N</x:v>
      </x:c>
      <x:c r="AO91" s="21" t="str"/>
    </x:row>
    <x:row r="92">
      <x:c r="A92" s="20" t="n">
        <x:v>88</x:v>
      </x:c>
      <x:c r="B92" s="20" t="str">
        <x:v>소매</x:v>
      </x:c>
      <x:c r="C92" s="20" t="str">
        <x:v>C09084</x:v>
      </x:c>
      <x:c r="D92" s="20" t="n">
        <x:v>1176</x:v>
      </x:c>
      <x:c r="E92" s="21" t="str">
        <x:v>의성 마늘·청송 사과… 먹거리 물가도 비상</x:v>
      </x:c>
      <x:c r="F92" s="21" t="str">
        <x:v>2025-04-01</x:v>
      </x:c>
      <x:c r="G92" s="21" t="str">
        <x:v>영덕과 청송 두 곳에서만 전국 송이 생산량의 28%를 담당하는데, 이번 산불로 소나무가 타버리면서 오는 10월 송이 채취는 사실상 물 건너갔다.</x:v>
      </x:c>
      <x:c r="H92" s="21" t="str">
        <x:v>https://www.chosun.com/economy/economy_general/2025/04/01/OCXI4WN3PBCMBAAWAGM2HDZ34U</x:v>
      </x:c>
      <x:c r="I92" s="20" t="str">
        <x:v>수준값재검토</x:v>
      </x:c>
      <x:c r="J92" s="20" t="str">
        <x:v>N</x:v>
      </x:c>
      <x:c r="K92" s="20" t="str">
        <x:v>지역·분류 불일치</x:v>
      </x:c>
      <x:c r="L92" s="20" t="str"/>
      <x:c r="M92" s="20" t="str"/>
      <x:c r="N92" s="20" t="str"/>
      <x:c r="O92" s="20" t="str"/>
      <x:c r="P92" s="20" t="str"/>
      <x:c r="Q92" s="22" t="str"/>
      <x:c r="R92" s="20" t="str"/>
      <x:c r="S92" s="20" t="str"/>
      <x:c r="T92" s="23" t="str"/>
      <x:c r="U92" s="20" t="str">
        <x:v>N/A</x:v>
      </x:c>
      <x:c r="V92" s="20" t="str">
        <x:v>판단불가</x:v>
      </x:c>
      <x:c r="W92" s="20" t="str">
        <x:v>보류</x:v>
      </x:c>
      <x:c r="X92" s="20" t="str"/>
      <x:c r="Y92" s="20" t="str"/>
      <x:c r="Z92" s="20" t="str"/>
      <x:c r="AA92" s="20" t="str"/>
      <x:c r="AB92" s="20" t="str"/>
      <x:c r="AC92" s="20" t="str"/>
      <x:c r="AD92" s="22" t="str"/>
      <x:c r="AE92" s="20" t="str"/>
      <x:c r="AF92" s="20" t="str"/>
      <x:c r="AG92" s="20" t="str">
        <x:v>N/A</x:v>
      </x:c>
      <x:c r="AH92" s="20" t="str"/>
      <x:c r="AI92" s="20" t="str">
        <x:v>N</x:v>
      </x:c>
      <x:c r="AJ92" s="20" t="str">
        <x:v>N/A</x:v>
      </x:c>
      <x:c r="AK92" s="20" t="str">
        <x:v>N/A</x:v>
      </x:c>
      <x:c r="AL92" s="20" t="str">
        <x:v>N/A</x:v>
      </x:c>
      <x:c r="AM92" s="20" t="str">
        <x:v>N/A</x:v>
      </x:c>
      <x:c r="AN92" s="20" t="str">
        <x:v>N</x:v>
      </x:c>
      <x:c r="AO92" s="21" t="str"/>
    </x:row>
    <x:row r="93">
      <x:c r="A93" s="20" t="n">
        <x:v>89</x:v>
      </x:c>
      <x:c r="B93" s="20" t="str">
        <x:v>소매</x:v>
      </x:c>
      <x:c r="C93" s="20" t="str">
        <x:v>C10732</x:v>
      </x:c>
      <x:c r="D93" s="20" t="n">
        <x:v>1386</x:v>
      </x:c>
      <x:c r="E93" s="21" t="str">
        <x:v>中, 1분기 GDP 5.4% 성장</x:v>
      </x:c>
      <x:c r="F93" s="21" t="str">
        <x:v>2025-04-17</x:v>
      </x:c>
      <x:c r="G93" s="21" t="str">
        <x:v>1분기 중국 소매 판매는 작년 동기 대비 4.6% 증가했다.</x:v>
      </x:c>
      <x:c r="H93" s="21" t="str">
        <x:v>https://www.chosun.com/economy/economy_general/2025/04/17/4RX6KCDJQJBLVONFUYFLKCTDXU</x:v>
      </x:c>
      <x:c r="I93" s="20" t="str">
        <x:v>증감률재검토</x:v>
      </x:c>
      <x:c r="J93" s="20" t="str">
        <x:v>N</x:v>
      </x:c>
      <x:c r="K93" s="20" t="str">
        <x:v>KOSIS 미제공</x:v>
      </x:c>
      <x:c r="L93" s="20" t="str"/>
      <x:c r="M93" s="20" t="str"/>
      <x:c r="N93" s="20" t="str"/>
      <x:c r="O93" s="20" t="str"/>
      <x:c r="P93" s="20" t="str"/>
      <x:c r="Q93" s="22" t="str"/>
      <x:c r="R93" s="20" t="str"/>
      <x:c r="S93" s="20" t="str"/>
      <x:c r="T93" s="23" t="str"/>
      <x:c r="U93" s="20" t="str">
        <x:v>N/A</x:v>
      </x:c>
      <x:c r="V93" s="20" t="str">
        <x:v>판단불가</x:v>
      </x:c>
      <x:c r="W93" s="20" t="str">
        <x:v>검증불가</x:v>
      </x:c>
      <x:c r="X93" s="20" t="str">
        <x:v>KOSIS 미제공</x:v>
      </x:c>
      <x:c r="Y93" s="20" t="str"/>
      <x:c r="Z93" s="20" t="str"/>
      <x:c r="AA93" s="20" t="str"/>
      <x:c r="AB93" s="20" t="str"/>
      <x:c r="AC93" s="20" t="str"/>
      <x:c r="AD93" s="22" t="str"/>
      <x:c r="AE93" s="20" t="str"/>
      <x:c r="AF93" s="20" t="str"/>
      <x:c r="AG93" s="20" t="str">
        <x:v>N/A</x:v>
      </x:c>
      <x:c r="AH93" s="20" t="str">
        <x:v>판단불가</x:v>
      </x:c>
      <x:c r="AI93" s="20" t="str">
        <x:v>Y</x:v>
      </x:c>
      <x:c r="AJ93" s="20" t="str">
        <x:v>N/A</x:v>
      </x:c>
      <x:c r="AK93" s="20" t="str">
        <x:v>N/A</x:v>
      </x:c>
      <x:c r="AL93" s="20" t="str">
        <x:v>N/A</x:v>
      </x:c>
      <x:c r="AM93" s="20" t="str">
        <x:v>N/A</x:v>
      </x:c>
      <x:c r="AN93" s="20" t="str">
        <x:v>Y</x:v>
      </x:c>
      <x:c r="AO93" s="21" t="str"/>
    </x:row>
    <x:row r="94">
      <x:c r="A94" s="20" t="n">
        <x:v>90</x:v>
      </x:c>
      <x:c r="B94" s="20" t="str">
        <x:v>소매</x:v>
      </x:c>
      <x:c r="C94" s="20" t="str">
        <x:v>C12459</x:v>
      </x:c>
      <x:c r="D94" s="20" t="n">
        <x:v>1629</x:v>
      </x:c>
      <x:c r="E94" s="21" t="str">
        <x:v>라면·과자값까지 또 일제히 올렸다</x:v>
      </x:c>
      <x:c r="F94" s="21" t="str">
        <x:v>2025-05-06</x:v>
      </x:c>
      <x:c r="G94" s="21" t="str">
        <x:v>통계청이 집계하는 음식료품 소매 판매 지수는 2022년(-2.5%)부터 작년(-1.5%)까지 3년 연속 줄어든 데 이어 올해 1분기에도 1년 전보다 0.3% 감소했다.</x:v>
      </x:c>
      <x:c r="H94" s="21" t="str">
        <x:v>https://www.chosun.com/economy/economy_general/2025/05/06/L2KYU63QXRDO5NCG5CHSMKG24Y</x:v>
      </x:c>
      <x:c r="I94" s="20" t="str">
        <x:v>증감률재검토</x:v>
      </x:c>
      <x:c r="J94" s="20" t="str">
        <x:v>Y</x:v>
      </x:c>
      <x:c r="K94" s="20" t="str"/>
      <x:c r="L94" s="20" t="str">
        <x:v>DT_1K41012</x:v>
      </x:c>
      <x:c r="M94" s="20" t="str">
        <x:v>G31</x:v>
      </x:c>
      <x:c r="N94" s="20" t="str"/>
      <x:c r="O94" s="20" t="str">
        <x:v>T2</x:v>
      </x:c>
      <x:c r="P94" s="20" t="str">
        <x:v>Q</x:v>
      </x:c>
      <x:c r="Q94" s="22" t="n">
        <x:v>-0.3</x:v>
      </x:c>
      <x:c r="R94" s="20" t="str">
        <x:v>202501</x:v>
      </x:c>
      <x:c r="S94" s="20" t="str">
        <x:v>202401</x:v>
      </x:c>
      <x:c r="T94" s="23" t="n">
        <x:v>-0.8519701810436755</x:v>
      </x:c>
      <x:c r="U94" s="20" t="str">
        <x:v>Y</x:v>
      </x:c>
      <x:c r="V94" s="20" t="str">
        <x:v>불일치</x:v>
      </x:c>
      <x:c r="W94" s="20" t="str">
        <x:v>보류</x:v>
      </x:c>
      <x:c r="X94" s="20" t="str"/>
      <x:c r="Y94" s="20" t="str"/>
      <x:c r="Z94" s="20" t="str"/>
      <x:c r="AA94" s="20" t="str"/>
      <x:c r="AB94" s="20" t="str"/>
      <x:c r="AC94" s="20" t="str"/>
      <x:c r="AD94" s="22" t="str"/>
      <x:c r="AE94" s="20" t="str"/>
      <x:c r="AF94" s="20" t="str"/>
      <x:c r="AG94" s="20" t="str">
        <x:v>N/A</x:v>
      </x:c>
      <x:c r="AH94" s="20" t="str"/>
      <x:c r="AI94" s="20" t="str">
        <x:v>N</x:v>
      </x:c>
      <x:c r="AJ94" s="20" t="str">
        <x:v>N</x:v>
      </x:c>
      <x:c r="AK94" s="20" t="str">
        <x:v>N</x:v>
      </x:c>
      <x:c r="AL94" s="20" t="str">
        <x:v>N</x:v>
      </x:c>
      <x:c r="AM94" s="20" t="str">
        <x:v>N</x:v>
      </x:c>
      <x:c r="AN94" s="20" t="str">
        <x:v>N</x:v>
      </x:c>
      <x:c r="AO94" s="21" t="str"/>
    </x:row>
    <x:row r="95">
      <x:c r="A95" s="20" t="n">
        <x:v>91</x:v>
      </x:c>
      <x:c r="B95" s="20" t="str">
        <x:v>소매</x:v>
      </x:c>
      <x:c r="C95" s="20" t="str">
        <x:v>C12462</x:v>
      </x:c>
      <x:c r="D95" s="20" t="n">
        <x:v>1629</x:v>
      </x:c>
      <x:c r="E95" s="21" t="str">
        <x:v>라면·과자값까지 또 일제히 올렸다</x:v>
      </x:c>
      <x:c r="F95" s="21" t="str">
        <x:v>2025-05-06</x:v>
      </x:c>
      <x:c r="G95" s="21" t="str">
        <x:v>당시 음식점 생산은 16.0% 줄었지만 음식료품 소매 판매는 4.6% 늘었다.</x:v>
      </x:c>
      <x:c r="H95" s="21" t="str">
        <x:v>https://www.chosun.com/economy/economy_general/2025/05/06/L2KYU63QXRDO5NCG5CHSMKG24Y</x:v>
      </x:c>
      <x:c r="I95" s="20" t="str">
        <x:v>증감률재검토</x:v>
      </x:c>
      <x:c r="J95" s="20" t="str">
        <x:v>N</x:v>
      </x:c>
      <x:c r="K95" s="20" t="str">
        <x:v>정보 부족</x:v>
      </x:c>
      <x:c r="L95" s="20" t="str"/>
      <x:c r="M95" s="20" t="str"/>
      <x:c r="N95" s="20" t="str"/>
      <x:c r="O95" s="20" t="str"/>
      <x:c r="P95" s="20" t="str"/>
      <x:c r="Q95" s="22" t="str"/>
      <x:c r="R95" s="20" t="str"/>
      <x:c r="S95" s="20" t="str"/>
      <x:c r="T95" s="23" t="str"/>
      <x:c r="U95" s="20" t="str">
        <x:v>N/A</x:v>
      </x:c>
      <x:c r="V95" s="20" t="str">
        <x:v>판단불가</x:v>
      </x:c>
      <x:c r="W95" s="20" t="str">
        <x:v>보류</x:v>
      </x:c>
      <x:c r="X95" s="20" t="str"/>
      <x:c r="Y95" s="20" t="str"/>
      <x:c r="Z95" s="20" t="str"/>
      <x:c r="AA95" s="20" t="str"/>
      <x:c r="AB95" s="20" t="str"/>
      <x:c r="AC95" s="20" t="str"/>
      <x:c r="AD95" s="22" t="str"/>
      <x:c r="AE95" s="20" t="str"/>
      <x:c r="AF95" s="20" t="str"/>
      <x:c r="AG95" s="20" t="str">
        <x:v>N/A</x:v>
      </x:c>
      <x:c r="AH95" s="20" t="str"/>
      <x:c r="AI95" s="20" t="str">
        <x:v>N</x:v>
      </x:c>
      <x:c r="AJ95" s="20" t="str">
        <x:v>N/A</x:v>
      </x:c>
      <x:c r="AK95" s="20" t="str">
        <x:v>N/A</x:v>
      </x:c>
      <x:c r="AL95" s="20" t="str">
        <x:v>N/A</x:v>
      </x:c>
      <x:c r="AM95" s="20" t="str">
        <x:v>N/A</x:v>
      </x:c>
      <x:c r="AN95" s="20" t="str">
        <x:v>N</x:v>
      </x:c>
      <x:c r="AO95" s="21" t="str"/>
    </x:row>
    <x:row r="96">
      <x:c r="A96" s="20" t="n">
        <x:v>92</x:v>
      </x:c>
      <x:c r="B96" s="20" t="str">
        <x:v>소매</x:v>
      </x:c>
      <x:c r="C96" s="20" t="str">
        <x:v>C13081</x:v>
      </x:c>
      <x:c r="D96" s="20" t="n">
        <x:v>1710</x:v>
      </x:c>
      <x:c r="E96" s="21" t="str">
        <x:v>KDI “대외 여건 급격 악화... 경기 둔화 시사 지표 나와”</x:v>
      </x:c>
      <x:c r="F96" s="21" t="str">
        <x:v>2025-05-12</x:v>
      </x:c>
      <x:c r="G96" s="21" t="str">
        <x:v>개별소비세 인하 효과로 소비가 늘어난 승용차를 제외한 3월 소매 판매는 전달 대비 0.5% 늘어나는 데 그쳤다.</x:v>
      </x:c>
      <x:c r="H96" s="21" t="str">
        <x:v>https://www.chosun.com/economy/economy_general/2025/05/12/OV4FYY2JTVFNVDVBRW6GAPBFNE</x:v>
      </x:c>
      <x:c r="I96" s="20" t="str">
        <x:v>판단불가</x:v>
      </x:c>
      <x:c r="J96" s="20" t="str">
        <x:v>N</x:v>
      </x:c>
      <x:c r="K96" s="20" t="str">
        <x:v>정보 부족</x:v>
      </x:c>
      <x:c r="L96" s="20" t="str"/>
      <x:c r="M96" s="20" t="str"/>
      <x:c r="N96" s="20" t="str"/>
      <x:c r="O96" s="20" t="str"/>
      <x:c r="P96" s="20" t="str"/>
      <x:c r="Q96" s="22" t="str"/>
      <x:c r="R96" s="20" t="str"/>
      <x:c r="S96" s="20" t="str"/>
      <x:c r="T96" s="23" t="str"/>
      <x:c r="U96" s="20" t="str">
        <x:v>N/A</x:v>
      </x:c>
      <x:c r="V96" s="20" t="str">
        <x:v>판단불가</x:v>
      </x:c>
      <x:c r="W96" s="20" t="str">
        <x:v>보류</x:v>
      </x:c>
      <x:c r="X96" s="20" t="str"/>
      <x:c r="Y96" s="20" t="str"/>
      <x:c r="Z96" s="20" t="str"/>
      <x:c r="AA96" s="20" t="str"/>
      <x:c r="AB96" s="20" t="str"/>
      <x:c r="AC96" s="20" t="str"/>
      <x:c r="AD96" s="22" t="str"/>
      <x:c r="AE96" s="20" t="str"/>
      <x:c r="AF96" s="20" t="str"/>
      <x:c r="AG96" s="20" t="str">
        <x:v>N/A</x:v>
      </x:c>
      <x:c r="AH96" s="20" t="str"/>
      <x:c r="AI96" s="20" t="str">
        <x:v>N</x:v>
      </x:c>
      <x:c r="AJ96" s="20" t="str">
        <x:v>N/A</x:v>
      </x:c>
      <x:c r="AK96" s="20" t="str">
        <x:v>N/A</x:v>
      </x:c>
      <x:c r="AL96" s="20" t="str">
        <x:v>N/A</x:v>
      </x:c>
      <x:c r="AM96" s="20" t="str">
        <x:v>N/A</x:v>
      </x:c>
      <x:c r="AN96" s="20" t="str">
        <x:v>N</x:v>
      </x:c>
      <x:c r="AO96" s="21" t="str"/>
    </x:row>
    <x:row r="97">
      <x:c r="A97" s="20" t="n">
        <x:v>93</x:v>
      </x:c>
      <x:c r="B97" s="20" t="str">
        <x:v>소매</x:v>
      </x:c>
      <x:c r="C97" s="20" t="str">
        <x:v>C14872</x:v>
      </x:c>
      <x:c r="D97" s="20" t="n">
        <x:v>1952</x:v>
      </x:c>
      <x:c r="E97" s="21" t="str">
        <x:v>관세 충격에… 4월 생산·소비·투자 ‘트리플 감소’</x:v>
      </x:c>
      <x:c r="F97" s="21" t="str">
        <x:v>2025-05-31</x:v>
      </x:c>
      <x:c r="G97" s="21" t="str">
        <x:v>서비스 소비를 보여주는 서비스업 생산은 도소매 등에서 늘었으나, 전문·과학·기술, 금융·보험 등에서 줄어 전달보다 0.1% 감소했다.</x:v>
      </x:c>
      <x:c r="H97" s="21" t="str">
        <x:v>https://www.chosun.com/economy/economy_general/2025/05/31/3BPJ2QXR5ZAP7HSRL5H6XDK6Z4</x:v>
      </x:c>
      <x:c r="I97" s="20" t="str">
        <x:v>증감률재검토</x:v>
      </x:c>
      <x:c r="J97" s="20" t="str">
        <x:v>Y</x:v>
      </x:c>
      <x:c r="K97" s="20" t="str"/>
      <x:c r="L97" s="20" t="str">
        <x:v>DT_1KC2020</x:v>
      </x:c>
      <x:c r="M97" s="20" t="str">
        <x:v>T</x:v>
      </x:c>
      <x:c r="N97" s="20" t="str"/>
      <x:c r="O97" s="20" t="str">
        <x:v>T3</x:v>
      </x:c>
      <x:c r="P97" s="20" t="str">
        <x:v>M</x:v>
      </x:c>
      <x:c r="Q97" s="22" t="n">
        <x:v>-0.1</x:v>
      </x:c>
      <x:c r="R97" s="20" t="str">
        <x:v>202504</x:v>
      </x:c>
      <x:c r="S97" s="20" t="str">
        <x:v>202503</x:v>
      </x:c>
      <x:c r="T97" s="23" t="n">
        <x:v>0.25231286795626334</x:v>
      </x:c>
      <x:c r="U97" s="20" t="str">
        <x:v>Y</x:v>
      </x:c>
      <x:c r="V97" s="20" t="str">
        <x:v>불일치</x:v>
      </x:c>
      <x:c r="W97" s="20" t="str">
        <x:v>보류</x:v>
      </x:c>
      <x:c r="X97" s="20" t="str"/>
      <x:c r="Y97" s="20" t="str"/>
      <x:c r="Z97" s="20" t="str"/>
      <x:c r="AA97" s="20" t="str"/>
      <x:c r="AB97" s="20" t="str"/>
      <x:c r="AC97" s="20" t="str"/>
      <x:c r="AD97" s="22" t="str"/>
      <x:c r="AE97" s="20" t="str"/>
      <x:c r="AF97" s="20" t="str"/>
      <x:c r="AG97" s="20" t="str">
        <x:v>N/A</x:v>
      </x:c>
      <x:c r="AH97" s="20" t="str"/>
      <x:c r="AI97" s="20" t="str">
        <x:v>N</x:v>
      </x:c>
      <x:c r="AJ97" s="20" t="str">
        <x:v>N</x:v>
      </x:c>
      <x:c r="AK97" s="20" t="str">
        <x:v>N</x:v>
      </x:c>
      <x:c r="AL97" s="20" t="str">
        <x:v>N</x:v>
      </x:c>
      <x:c r="AM97" s="20" t="str">
        <x:v>N</x:v>
      </x:c>
      <x:c r="AN97" s="20" t="str">
        <x:v>N</x:v>
      </x:c>
      <x:c r="AO97" s="21" t="str"/>
    </x:row>
    <x:row r="98">
      <x:c r="A98" s="20" t="n">
        <x:v>94</x:v>
      </x:c>
      <x:c r="B98" s="20" t="str">
        <x:v>소매</x:v>
      </x:c>
      <x:c r="C98" s="20" t="str">
        <x:v>C14874</x:v>
      </x:c>
      <x:c r="D98" s="20" t="n">
        <x:v>1952</x:v>
      </x:c>
      <x:c r="E98" s="21" t="str">
        <x:v>관세 충격에… 4월 생산·소비·투자 ‘트리플 감소’</x:v>
      </x:c>
      <x:c r="F98" s="21" t="str">
        <x:v>2025-05-31</x:v>
      </x:c>
      <x:c r="G98" s="21" t="str">
        <x:v>재화 소비에 해당하는 소매 판매는 전달 대비 0.9% 감소하면서 지난 3월(-1.0%)부터 두 달 연속 감소했다.</x:v>
      </x:c>
      <x:c r="H98" s="21" t="str">
        <x:v>https://www.chosun.com/economy/economy_general/2025/05/31/3BPJ2QXR5ZAP7HSRL5H6XDK6Z4</x:v>
      </x:c>
      <x:c r="I98" s="20" t="str">
        <x:v>증감률재검토</x:v>
      </x:c>
      <x:c r="J98" s="20" t="str">
        <x:v>Y</x:v>
      </x:c>
      <x:c r="K98" s="20" t="str"/>
      <x:c r="L98" s="20" t="str">
        <x:v>DT_1K41012</x:v>
      </x:c>
      <x:c r="M98" s="20" t="str">
        <x:v>G0</x:v>
      </x:c>
      <x:c r="N98" s="20" t="str"/>
      <x:c r="O98" s="20" t="str">
        <x:v>T3</x:v>
      </x:c>
      <x:c r="P98" s="20" t="str">
        <x:v>M</x:v>
      </x:c>
      <x:c r="Q98" s="22" t="n">
        <x:v>-0.9</x:v>
      </x:c>
      <x:c r="R98" s="20" t="str">
        <x:v>202504</x:v>
      </x:c>
      <x:c r="S98" s="20" t="str">
        <x:v>202503</x:v>
      </x:c>
      <x:c r="T98" s="23" t="n">
        <x:v>-0.4897159647404506</x:v>
      </x:c>
      <x:c r="U98" s="20" t="str">
        <x:v>Y</x:v>
      </x:c>
      <x:c r="V98" s="20" t="str">
        <x:v>불일치</x:v>
      </x:c>
      <x:c r="W98" s="20" t="str">
        <x:v>보류</x:v>
      </x:c>
      <x:c r="X98" s="20" t="str"/>
      <x:c r="Y98" s="20" t="str"/>
      <x:c r="Z98" s="20" t="str"/>
      <x:c r="AA98" s="20" t="str"/>
      <x:c r="AB98" s="20" t="str"/>
      <x:c r="AC98" s="20" t="str"/>
      <x:c r="AD98" s="22" t="str"/>
      <x:c r="AE98" s="20" t="str"/>
      <x:c r="AF98" s="20" t="str"/>
      <x:c r="AG98" s="20" t="str">
        <x:v>N/A</x:v>
      </x:c>
      <x:c r="AH98" s="20" t="str"/>
      <x:c r="AI98" s="20" t="str">
        <x:v>N</x:v>
      </x:c>
      <x:c r="AJ98" s="20" t="str">
        <x:v>N</x:v>
      </x:c>
      <x:c r="AK98" s="20" t="str">
        <x:v>N</x:v>
      </x:c>
      <x:c r="AL98" s="20" t="str">
        <x:v>N</x:v>
      </x:c>
      <x:c r="AM98" s="20" t="str">
        <x:v>N</x:v>
      </x:c>
      <x:c r="AN98" s="20" t="str">
        <x:v>N</x:v>
      </x:c>
      <x:c r="AO98" s="21" t="str"/>
    </x:row>
    <x:row r="99">
      <x:c r="A99" s="20" t="n">
        <x:v>95</x:v>
      </x:c>
      <x:c r="B99" s="20" t="str">
        <x:v>소매</x:v>
      </x:c>
      <x:c r="C99" s="20" t="str">
        <x:v>C18210</x:v>
      </x:c>
      <x:c r="D99" s="20" t="n">
        <x:v>2385</x:v>
      </x:c>
      <x:c r="E99" s="21" t="str">
        <x:v>허리 휘겠네… 가공식품 73 품목 중 62개가 올랐다</x:v>
      </x:c>
      <x:c r="F99" s="21" t="str">
        <x:v>2025-07-03</x:v>
      </x:c>
      <x:c r="G99" s="21" t="str">
        <x:v>농수산식품유통공사에 따르면, 대파 1kg 평균 소매가격은 2일 2699원으로 한 달 전(1984원) 대비 36%나 뛰었다.</x:v>
      </x:c>
      <x:c r="H99" s="21" t="str">
        <x:v>https://www.chosun.com/economy/economy_general/2025/07/03/JEUGULFQ25DL7CC2HWSYW5VDUE</x:v>
      </x:c>
      <x:c r="I99" s="20" t="str">
        <x:v>판단불가</x:v>
      </x:c>
      <x:c r="J99" s="20" t="str">
        <x:v>N</x:v>
      </x:c>
      <x:c r="K99" s="20" t="str">
        <x:v>KOSIS 미제공</x:v>
      </x:c>
      <x:c r="L99" s="20" t="str"/>
      <x:c r="M99" s="20" t="str"/>
      <x:c r="N99" s="20" t="str"/>
      <x:c r="O99" s="20" t="str"/>
      <x:c r="P99" s="20" t="str"/>
      <x:c r="Q99" s="22" t="str"/>
      <x:c r="R99" s="20" t="str"/>
      <x:c r="S99" s="20" t="str"/>
      <x:c r="T99" s="23" t="str"/>
      <x:c r="U99" s="20" t="str">
        <x:v>N/A</x:v>
      </x:c>
      <x:c r="V99" s="20" t="str">
        <x:v>판단불가</x:v>
      </x:c>
      <x:c r="W99" s="20" t="str">
        <x:v>검증불가</x:v>
      </x:c>
      <x:c r="X99" s="20" t="str">
        <x:v>KOSIS 미제공</x:v>
      </x:c>
      <x:c r="Y99" s="20" t="str"/>
      <x:c r="Z99" s="20" t="str"/>
      <x:c r="AA99" s="20" t="str"/>
      <x:c r="AB99" s="20" t="str"/>
      <x:c r="AC99" s="20" t="str"/>
      <x:c r="AD99" s="22" t="str"/>
      <x:c r="AE99" s="20" t="str"/>
      <x:c r="AF99" s="20" t="str"/>
      <x:c r="AG99" s="20" t="str">
        <x:v>N/A</x:v>
      </x:c>
      <x:c r="AH99" s="20" t="str">
        <x:v>판단불가</x:v>
      </x:c>
      <x:c r="AI99" s="20" t="str">
        <x:v>Y</x:v>
      </x:c>
      <x:c r="AJ99" s="20" t="str">
        <x:v>N/A</x:v>
      </x:c>
      <x:c r="AK99" s="20" t="str">
        <x:v>N/A</x:v>
      </x:c>
      <x:c r="AL99" s="20" t="str">
        <x:v>N/A</x:v>
      </x:c>
      <x:c r="AM99" s="20" t="str">
        <x:v>N/A</x:v>
      </x:c>
      <x:c r="AN99" s="20" t="str">
        <x:v>Y</x:v>
      </x:c>
      <x:c r="AO99" s="21" t="str"/>
    </x:row>
    <x:row r="100">
      <x:c r="A100" s="20" t="n">
        <x:v>96</x:v>
      </x:c>
      <x:c r="B100" s="20" t="str">
        <x:v>소매</x:v>
      </x:c>
      <x:c r="C100" s="20" t="str">
        <x:v>C18301</x:v>
      </x:c>
      <x:c r="D100" s="20" t="n">
        <x:v>2396</x:v>
      </x:c>
      <x:c r="E100" s="21" t="str">
        <x:v>“국내 서비스업 생산성… 제조업의 40%에 그쳐”</x:v>
      </x:c>
      <x:c r="F100" s="21" t="str">
        <x:v>2025-07-04</x:v>
      </x:c>
      <x:c r="G100" s="21" t="str">
        <x:v>이런 이유로 지난 20여 년간 우리나라 서비스 산업의 생산성은 제조업의 40% 수준에 그쳐 있다.</x:v>
      </x:c>
      <x:c r="H100" s="21" t="str">
        <x:v>https://www.chosun.com/economy/economy_general/2025/07/04/425XTIBLWJFQZMOTOK4GZRNGKQ</x:v>
      </x:c>
      <x:c r="I100" s="20" t="str">
        <x:v>수준값재검토</x:v>
      </x:c>
      <x:c r="J100" s="20" t="str">
        <x:v>N</x:v>
      </x:c>
      <x:c r="K100" s="20" t="str">
        <x:v>KOSIS 미제공</x:v>
      </x:c>
      <x:c r="L100" s="20" t="str"/>
      <x:c r="M100" s="20" t="str"/>
      <x:c r="N100" s="20" t="str"/>
      <x:c r="O100" s="20" t="str"/>
      <x:c r="P100" s="20" t="str"/>
      <x:c r="Q100" s="22" t="str"/>
      <x:c r="R100" s="20" t="str"/>
      <x:c r="S100" s="20" t="str"/>
      <x:c r="T100" s="23" t="str"/>
      <x:c r="U100" s="20" t="str">
        <x:v>N/A</x:v>
      </x:c>
      <x:c r="V100" s="20" t="str">
        <x:v>판단불가</x:v>
      </x:c>
      <x:c r="W100" s="20" t="str">
        <x:v>보류</x:v>
      </x:c>
      <x:c r="X100" s="20" t="str"/>
      <x:c r="Y100" s="20" t="str"/>
      <x:c r="Z100" s="20" t="str"/>
      <x:c r="AA100" s="20" t="str"/>
      <x:c r="AB100" s="20" t="str"/>
      <x:c r="AC100" s="20" t="str"/>
      <x:c r="AD100" s="22" t="str"/>
      <x:c r="AE100" s="20" t="str"/>
      <x:c r="AF100" s="20" t="str"/>
      <x:c r="AG100" s="20" t="str">
        <x:v>N/A</x:v>
      </x:c>
      <x:c r="AH100" s="20" t="str"/>
      <x:c r="AI100" s="20" t="str">
        <x:v>N</x:v>
      </x:c>
      <x:c r="AJ100" s="20" t="str">
        <x:v>N/A</x:v>
      </x:c>
      <x:c r="AK100" s="20" t="str">
        <x:v>N/A</x:v>
      </x:c>
      <x:c r="AL100" s="20" t="str">
        <x:v>N/A</x:v>
      </x:c>
      <x:c r="AM100" s="20" t="str">
        <x:v>N/A</x:v>
      </x:c>
      <x:c r="AN100" s="20" t="str">
        <x:v>N</x:v>
      </x:c>
      <x:c r="AO100" s="21" t="str"/>
    </x:row>
    <x:row r="101">
      <x:c r="A101" s="20" t="n">
        <x:v>97</x:v>
      </x:c>
      <x:c r="B101" s="20" t="str">
        <x:v>소매</x:v>
      </x:c>
      <x:c r="C101" s="20" t="str">
        <x:v>C18305</x:v>
      </x:c>
      <x:c r="D101" s="20" t="n">
        <x:v>2396</x:v>
      </x:c>
      <x:c r="E101" s="21" t="str">
        <x:v>“국내 서비스업 생산성… 제조업의 40%에 그쳐”</x:v>
      </x:c>
      <x:c r="F101" s="21" t="str">
        <x:v>2025-07-04</x:v>
      </x:c>
      <x:c r="G101" s="21" t="str">
        <x:v>정보통신(ICT) 서비스업의 연구개발(R&amp;D) 투자 부문별 비율은 한국(5.3%)이 미국(28%)의 5분의 1 수준이다.</x:v>
      </x:c>
      <x:c r="H101" s="21" t="str">
        <x:v>https://www.chosun.com/economy/economy_general/2025/07/04/425XTIBLWJFQZMOTOK4GZRNGKQ</x:v>
      </x:c>
      <x:c r="I101" s="20" t="str">
        <x:v>수준값재검토</x:v>
      </x:c>
      <x:c r="J101" s="20" t="str">
        <x:v>N</x:v>
      </x:c>
      <x:c r="K101" s="20" t="str">
        <x:v>KOSIS 미제공</x:v>
      </x:c>
      <x:c r="L101" s="20" t="str"/>
      <x:c r="M101" s="20" t="str"/>
      <x:c r="N101" s="20" t="str"/>
      <x:c r="O101" s="20" t="str"/>
      <x:c r="P101" s="20" t="str"/>
      <x:c r="Q101" s="22" t="str"/>
      <x:c r="R101" s="20" t="str"/>
      <x:c r="S101" s="20" t="str"/>
      <x:c r="T101" s="23" t="str"/>
      <x:c r="U101" s="20" t="str">
        <x:v>N/A</x:v>
      </x:c>
      <x:c r="V101" s="20" t="str">
        <x:v>판단불가</x:v>
      </x:c>
      <x:c r="W101" s="20" t="str">
        <x:v>검증불가</x:v>
      </x:c>
      <x:c r="X101" s="20" t="str">
        <x:v>KOSIS 미제공</x:v>
      </x:c>
      <x:c r="Y101" s="20" t="str"/>
      <x:c r="Z101" s="20" t="str"/>
      <x:c r="AA101" s="20" t="str"/>
      <x:c r="AB101" s="20" t="str"/>
      <x:c r="AC101" s="20" t="str"/>
      <x:c r="AD101" s="22" t="str"/>
      <x:c r="AE101" s="20" t="str"/>
      <x:c r="AF101" s="20" t="str"/>
      <x:c r="AG101" s="20" t="str">
        <x:v>N/A</x:v>
      </x:c>
      <x:c r="AH101" s="20" t="str">
        <x:v>판단불가</x:v>
      </x:c>
      <x:c r="AI101" s="20" t="str">
        <x:v>Y</x:v>
      </x:c>
      <x:c r="AJ101" s="20" t="str">
        <x:v>N/A</x:v>
      </x:c>
      <x:c r="AK101" s="20" t="str">
        <x:v>N/A</x:v>
      </x:c>
      <x:c r="AL101" s="20" t="str">
        <x:v>N/A</x:v>
      </x:c>
      <x:c r="AM101" s="20" t="str">
        <x:v>N/A</x:v>
      </x:c>
      <x:c r="AN101" s="20" t="str">
        <x:v>Y</x:v>
      </x:c>
      <x:c r="AO101" s="21" t="str"/>
    </x:row>
    <x:row r="102">
      <x:c r="A102" s="20" t="n">
        <x:v>98</x:v>
      </x:c>
      <x:c r="B102" s="20" t="str">
        <x:v>소매</x:v>
      </x:c>
      <x:c r="C102" s="20" t="str">
        <x:v>C18306</x:v>
      </x:c>
      <x:c r="D102" s="20" t="n">
        <x:v>2396</x:v>
      </x:c>
      <x:c r="E102" s="21" t="str">
        <x:v>“국내 서비스업 생산성… 제조업의 40%에 그쳐”</x:v>
      </x:c>
      <x:c r="F102" s="21" t="str">
        <x:v>2025-07-04</x:v>
      </x:c>
      <x:c r="G102" s="21" t="str">
        <x:v>보고서는 작년 자영업자 중 60%가 저부가 서비스에 종사하고, 저부가 서비스 자영업자 중 73%가 1인 영업으로 집계돼 자영업자의 영세성이 고착화하고 있다고 봤다.</x:v>
      </x:c>
      <x:c r="H102" s="21" t="str">
        <x:v>https://www.chosun.com/economy/economy_general/2025/07/04/425XTIBLWJFQZMOTOK4GZRNGKQ</x:v>
      </x:c>
      <x:c r="I102" s="20" t="str">
        <x:v>수준값재검토</x:v>
      </x:c>
      <x:c r="J102" s="20" t="str">
        <x:v>N</x:v>
      </x:c>
      <x:c r="K102" s="20" t="str">
        <x:v>KOSIS 미제공</x:v>
      </x:c>
      <x:c r="L102" s="20" t="str"/>
      <x:c r="M102" s="20" t="str"/>
      <x:c r="N102" s="20" t="str"/>
      <x:c r="O102" s="20" t="str"/>
      <x:c r="P102" s="20" t="str"/>
      <x:c r="Q102" s="22" t="str"/>
      <x:c r="R102" s="20" t="str"/>
      <x:c r="S102" s="20" t="str"/>
      <x:c r="T102" s="23" t="str"/>
      <x:c r="U102" s="20" t="str">
        <x:v>N/A</x:v>
      </x:c>
      <x:c r="V102" s="20" t="str">
        <x:v>판단불가</x:v>
      </x:c>
      <x:c r="W102" s="20" t="str">
        <x:v>보류</x:v>
      </x:c>
      <x:c r="X102" s="20" t="str"/>
      <x:c r="Y102" s="20" t="str"/>
      <x:c r="Z102" s="20" t="str"/>
      <x:c r="AA102" s="20" t="str"/>
      <x:c r="AB102" s="20" t="str"/>
      <x:c r="AC102" s="20" t="str"/>
      <x:c r="AD102" s="22" t="str"/>
      <x:c r="AE102" s="20" t="str"/>
      <x:c r="AF102" s="20" t="str"/>
      <x:c r="AG102" s="20" t="str">
        <x:v>N/A</x:v>
      </x:c>
      <x:c r="AH102" s="20" t="str"/>
      <x:c r="AI102" s="20" t="str">
        <x:v>N</x:v>
      </x:c>
      <x:c r="AJ102" s="20" t="str">
        <x:v>N/A</x:v>
      </x:c>
      <x:c r="AK102" s="20" t="str">
        <x:v>N/A</x:v>
      </x:c>
      <x:c r="AL102" s="20" t="str">
        <x:v>N/A</x:v>
      </x:c>
      <x:c r="AM102" s="20" t="str">
        <x:v>N/A</x:v>
      </x:c>
      <x:c r="AN102" s="20" t="str">
        <x:v>N</x:v>
      </x:c>
      <x:c r="AO102" s="21" t="str"/>
    </x:row>
    <x:row r="103">
      <x:c r="A103" s="20" t="n">
        <x:v>99</x:v>
      </x:c>
      <x:c r="B103" s="20" t="str">
        <x:v>소매</x:v>
      </x:c>
      <x:c r="C103" s="20" t="str">
        <x:v>C19586</x:v>
      </x:c>
      <x:c r="D103" s="20" t="n">
        <x:v>2579</x:v>
      </x:c>
      <x:c r="E103" s="21" t="str">
        <x:v>트럼프는 그토록 원하는데... 美 금리 인하 더 늦춰질 수도</x:v>
      </x:c>
      <x:c r="F103" s="21" t="str">
        <x:v>2025-07-18</x:v>
      </x:c>
      <x:c r="G103" s="21" t="str">
        <x:v>17일 미 상무부는 지난달 미국의 소매 판매가 전월 대비 0.6% 증가한 7201억달러로 집계됐다고 밝혔다.</x:v>
      </x:c>
      <x:c r="H103" s="21" t="str">
        <x:v>https://www.chosun.com/economy/economy_general/2025/07/18/LNWIK6MO7JFCDC6QJK4RM4D23M</x:v>
      </x:c>
      <x:c r="I103" s="20" t="str">
        <x:v>증감률재검토</x:v>
      </x:c>
      <x:c r="J103" s="20" t="str">
        <x:v>N</x:v>
      </x:c>
      <x:c r="K103" s="20" t="str">
        <x:v>KOSIS 미제공</x:v>
      </x:c>
      <x:c r="L103" s="20" t="str"/>
      <x:c r="M103" s="20" t="str"/>
      <x:c r="N103" s="20" t="str"/>
      <x:c r="O103" s="20" t="str"/>
      <x:c r="P103" s="20" t="str"/>
      <x:c r="Q103" s="22" t="str"/>
      <x:c r="R103" s="20" t="str"/>
      <x:c r="S103" s="20" t="str"/>
      <x:c r="T103" s="23" t="str"/>
      <x:c r="U103" s="20" t="str">
        <x:v>N/A</x:v>
      </x:c>
      <x:c r="V103" s="20" t="str">
        <x:v>판단불가</x:v>
      </x:c>
      <x:c r="W103" s="20" t="str">
        <x:v>검증불가</x:v>
      </x:c>
      <x:c r="X103" s="20" t="str">
        <x:v>KOSIS 미제공</x:v>
      </x:c>
      <x:c r="Y103" s="20" t="str"/>
      <x:c r="Z103" s="20" t="str"/>
      <x:c r="AA103" s="20" t="str"/>
      <x:c r="AB103" s="20" t="str"/>
      <x:c r="AC103" s="20" t="str"/>
      <x:c r="AD103" s="22" t="str"/>
      <x:c r="AE103" s="20" t="str"/>
      <x:c r="AF103" s="20" t="str"/>
      <x:c r="AG103" s="20" t="str">
        <x:v>N/A</x:v>
      </x:c>
      <x:c r="AH103" s="20" t="str">
        <x:v>판단불가</x:v>
      </x:c>
      <x:c r="AI103" s="20" t="str">
        <x:v>Y</x:v>
      </x:c>
      <x:c r="AJ103" s="20" t="str">
        <x:v>N/A</x:v>
      </x:c>
      <x:c r="AK103" s="20" t="str">
        <x:v>N/A</x:v>
      </x:c>
      <x:c r="AL103" s="20" t="str">
        <x:v>N/A</x:v>
      </x:c>
      <x:c r="AM103" s="20" t="str">
        <x:v>N/A</x:v>
      </x:c>
      <x:c r="AN103" s="20" t="str">
        <x:v>Y</x:v>
      </x:c>
      <x:c r="AO103" s="21" t="str"/>
    </x:row>
    <x:row r="104">
      <x:c r="A104" s="20" t="n">
        <x:v>100</x:v>
      </x:c>
      <x:c r="B104" s="20" t="str">
        <x:v>소매</x:v>
      </x:c>
      <x:c r="C104" s="20" t="str">
        <x:v>C20191</x:v>
      </x:c>
      <x:c r="D104" s="20" t="n">
        <x:v>2671</x:v>
      </x:c>
      <x:c r="E104" s="21" t="str">
        <x:v>9월 생산·투자 늘었지만 소비 주춤… 3분기로 보면 소매판매 1.5% 증가(종합)</x:v>
      </x:c>
      <x:c r="F104" s="21" t="str">
        <x:v>2025-10-31</x:v>
      </x:c>
      <x:c r="G104" s="21" t="str">
        <x:v>1, 2차 민생회복 소비쿠폰 지급에도 소비가 감소한 건데, 다만 3분기만 놓고 보면 소비는 직전 분기보다 1.5% 증가했다.</x:v>
      </x:c>
      <x:c r="H104" s="21" t="str">
        <x:v>https://biz.chosun.com/policy/policy_sub/2025/10/31/R7S3HFKR2JAWZJE2LTIJ7WGS2A/</x:v>
      </x:c>
      <x:c r="I104" s="20" t="str">
        <x:v>증감률재검토</x:v>
      </x:c>
      <x:c r="J104" s="20" t="str">
        <x:v>Y</x:v>
      </x:c>
      <x:c r="K104" s="20" t="str"/>
      <x:c r="L104" s="20" t="str">
        <x:v>DT_1K41012</x:v>
      </x:c>
      <x:c r="M104" s="20" t="str">
        <x:v>G0</x:v>
      </x:c>
      <x:c r="N104" s="20" t="str"/>
      <x:c r="O104" s="20" t="str">
        <x:v>T3</x:v>
      </x:c>
      <x:c r="P104" s="20" t="str">
        <x:v>Q</x:v>
      </x:c>
      <x:c r="Q104" s="22" t="n">
        <x:v>1.5</x:v>
      </x:c>
      <x:c r="R104" s="20" t="str">
        <x:v>202503</x:v>
      </x:c>
      <x:c r="S104" s="20" t="str">
        <x:v>202502</x:v>
      </x:c>
      <x:c r="T104" s="23" t="n">
        <x:v>1.1799410029498554</x:v>
      </x:c>
      <x:c r="U104" s="20" t="str">
        <x:v>Y</x:v>
      </x:c>
      <x:c r="V104" s="20" t="str">
        <x:v>불일치</x:v>
      </x:c>
      <x:c r="W104" s="20" t="str">
        <x:v>검증불가</x:v>
      </x:c>
      <x:c r="X104" s="20" t="str">
        <x:v>KOSIS 미제공</x:v>
      </x:c>
      <x:c r="Y104" s="20" t="str"/>
      <x:c r="Z104" s="20" t="str"/>
      <x:c r="AA104" s="20" t="str"/>
      <x:c r="AB104" s="20" t="str"/>
      <x:c r="AC104" s="20" t="str"/>
      <x:c r="AD104" s="22" t="str"/>
      <x:c r="AE104" s="20" t="str"/>
      <x:c r="AF104" s="20" t="str"/>
      <x:c r="AG104" s="20" t="str">
        <x:v>N/A</x:v>
      </x:c>
      <x:c r="AH104" s="20" t="str">
        <x:v>판단불가</x:v>
      </x:c>
      <x:c r="AI104" s="20" t="str">
        <x:v>N</x:v>
      </x:c>
      <x:c r="AJ104" s="20" t="str">
        <x:v>N</x:v>
      </x:c>
      <x:c r="AK104" s="20" t="str">
        <x:v>N</x:v>
      </x:c>
      <x:c r="AL104" s="20" t="str">
        <x:v>N</x:v>
      </x:c>
      <x:c r="AM104" s="20" t="str">
        <x:v>N</x:v>
      </x:c>
      <x:c r="AN104" s="20" t="str">
        <x:v>N</x:v>
      </x:c>
      <x:c r="AO104" s="21" t="str"/>
    </x:row>
  </x:sheetData>
  <x:mergeCells>
    <x:mergeCell ref="A1:AO1"/>
    <x:mergeCell ref="A2:AO2"/>
  </x:mergeCells>
  <x:conditionalFormatting sqref="J5:J104">
    <x:cfRule type="containsText" dxfId="0" priority="1" operator="containsText" text="Y"/>
    <x:cfRule type="containsText" dxfId="1" priority="2" operator="containsText" text="N"/>
  </x:conditionalFormatting>
  <x:conditionalFormatting sqref="W5:W104">
    <x:cfRule type="containsText" dxfId="2" priority="3" operator="containsText" text="보류"/>
    <x:cfRule type="containsText" dxfId="3" priority="4" operator="containsText" text="검증가능"/>
  </x:conditionalFormatting>
  <x:conditionalFormatting sqref="AI5:AN104">
    <x:cfRule type="containsText" dxfId="4" priority="5" operator="containsText" text="N"/>
  </x:conditionalFormatting>
  <x:pageMargins left="0.7" right="0.7" top="0.75" bottom="0.75" header="0.3" footer="0.3"/>
  <x:tableParts count="1">
    <x:tablePart xmlns:r="http://schemas.openxmlformats.org/officeDocument/2006/relationships" r:id="R11c526cd075a41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46" hidden="0" customWidth="1"/>
  </x:cols>
  <x:sheetData>
    <x:row r="1" ht="30" customHeight="1">
      <x:c r="A1" s="3" t="str">
        <x:v>독립 평가 전체 지표</x:v>
      </x:c>
      <x:c r="B1" s="3"/>
      <x:c r="C1" s="3"/>
      <x:c r="D1" s="3"/>
      <x:c r="E1" s="3"/>
    </x:row>
    <x:row r="2" ht="26" customHeight="1">
      <x:c r="A2" s="7" t="str">
        <x:v>비율은 성공 건수 ÷ 분모로 계산되며 대시보드가 이 표를 직접 참조합니다.</x:v>
      </x:c>
      <x:c r="B2" s="7"/>
      <x:c r="C2" s="7"/>
      <x:c r="D2" s="7"/>
      <x:c r="E2" s="7"/>
    </x:row>
    <x:row r="4" ht="32" customHeight="1">
      <x:c r="A4" s="16" t="str">
        <x:v>지표</x:v>
      </x:c>
      <x:c r="B4" s="17" t="str">
        <x:v>성공·정답</x:v>
      </x:c>
      <x:c r="C4" s="17" t="str">
        <x:v>분모</x:v>
      </x:c>
      <x:c r="D4" s="17" t="str">
        <x:v>비율</x:v>
      </x:c>
      <x:c r="E4" s="18" t="str">
        <x:v>정의</x:v>
      </x:c>
    </x:row>
    <x:row r="5">
      <x:c r="A5" t="str">
        <x:v>홀드아웃 전체</x:v>
      </x:c>
      <x:c r="B5" s="24" t="n">
        <x:v>100</x:v>
      </x:c>
      <x:c r="C5" s="24" t="n">
        <x:v>100</x:v>
      </x:c>
      <x:c r="D5" s="25" t="n">
        <x:f>IF(C5=0,0,B5/C5)</x:f>
        <x:v>1</x:v>
      </x:c>
      <x:c r="E5" s="26" t="str">
        <x:v>기존 골드 claim/article 중복 0, 분야별 20건</x:v>
      </x:c>
    </x:row>
    <x:row r="6">
      <x:c r="A6" t="str">
        <x:v>자동결정 커버리지</x:v>
      </x:c>
      <x:c r="B6" s="24" t="n">
        <x:v>26</x:v>
      </x:c>
      <x:c r="C6" s="24" t="n">
        <x:v>100</x:v>
      </x:c>
      <x:c r="D6" s="25" t="n">
        <x:f>IF(C6=0,0,B6/C6)</x:f>
        <x:v>0.26</x:v>
      </x:c>
      <x:c r="E6" s="26" t="str">
        <x:v>검증가능 또는 검증불가를 자동 결정한 비율; 보류 제외</x:v>
      </x:c>
    </x:row>
    <x:row r="7">
      <x:c r="A7" t="str">
        <x:v>검증 가능 여부 엄격 정확도</x:v>
      </x:c>
      <x:c r="B7" s="24" t="n">
        <x:v>25</x:v>
      </x:c>
      <x:c r="C7" s="24" t="n">
        <x:v>100</x:v>
      </x:c>
      <x:c r="D7" s="25" t="n">
        <x:f>IF(C7=0,0,B7/C7)</x:f>
        <x:v>0.25</x:v>
      </x:c>
      <x:c r="E7" s="26" t="str">
        <x:v>보류를 오답으로 포함</x:v>
      </x:c>
    </x:row>
    <x:row r="8">
      <x:c r="A8" t="str">
        <x:v>검증 가능 여부 결정구간 정확도</x:v>
      </x:c>
      <x:c r="B8" s="24" t="n">
        <x:v>25</x:v>
      </x:c>
      <x:c r="C8" s="24" t="n">
        <x:v>26</x:v>
      </x:c>
      <x:c r="D8" s="25" t="n">
        <x:f>IF(C8=0,0,B8/C8)</x:f>
        <x:v>0.9615384615384616</x:v>
      </x:c>
      <x:c r="E8" s="26" t="str">
        <x:v>자동결정한 행만 평가</x:v>
      </x:c>
    </x:row>
    <x:row r="9">
      <x:c r="A9" t="str">
        <x:v>통계표 매핑 엄격 정확도</x:v>
      </x:c>
      <x:c r="B9" s="24" t="n">
        <x:v>6</x:v>
      </x:c>
      <x:c r="C9" s="24" t="n">
        <x:v>33</x:v>
      </x:c>
      <x:c r="D9" s="25" t="n">
        <x:f>IF(C9=0,0,B9/C9)</x:f>
        <x:v>0.18181818181818182</x:v>
      </x:c>
      <x:c r="E9" s="26" t="str">
        <x:v>골드 검증 가능 전체가 분모; 보류는 오답</x:v>
      </x:c>
    </x:row>
    <x:row r="10">
      <x:c r="A10" t="str">
        <x:v>항목 매핑 엄격 정확도</x:v>
      </x:c>
      <x:c r="B10" s="24" t="n">
        <x:v>6</x:v>
      </x:c>
      <x:c r="C10" s="24" t="n">
        <x:v>33</x:v>
      </x:c>
      <x:c r="D10" s="25" t="n">
        <x:f>IF(C10=0,0,B10/C10)</x:f>
        <x:v>0.18181818181818182</x:v>
      </x:c>
      <x:c r="E10" s="26" t="str">
        <x:v>obj_l1+obj_l2+itm_id</x:v>
      </x:c>
    </x:row>
    <x:row r="11">
      <x:c r="A11" t="str">
        <x:v>시점 매핑 엄격 정확도</x:v>
      </x:c>
      <x:c r="B11" s="24" t="n">
        <x:v>6</x:v>
      </x:c>
      <x:c r="C11" s="24" t="n">
        <x:v>33</x:v>
      </x:c>
      <x:c r="D11" s="25" t="n">
        <x:f>IF(C11=0,0,B11/C11)</x:f>
        <x:v>0.18181818181818182</x:v>
      </x:c>
      <x:c r="E11" s="26" t="str">
        <x:v>주기+목표 시점</x:v>
      </x:c>
    </x:row>
    <x:row r="12">
      <x:c r="A12" t="str">
        <x:v>항목·시점 결합 엄격 정확도</x:v>
      </x:c>
      <x:c r="B12" s="24" t="n">
        <x:v>6</x:v>
      </x:c>
      <x:c r="C12" s="24" t="n">
        <x:v>33</x:v>
      </x:c>
      <x:c r="D12" s="25" t="n">
        <x:f>IF(C12=0,0,B12/C12)</x:f>
        <x:v>0.18181818181818182</x:v>
      </x:c>
      <x:c r="E12" s="26" t="str">
        <x:v>80% 품질 게이트 기준</x:v>
      </x:c>
    </x:row>
    <x:row r="13">
      <x:c r="A13" t="str">
        <x:v>자동매핑 통계표 정밀도</x:v>
      </x:c>
      <x:c r="B13" s="24" t="n">
        <x:v>6</x:v>
      </x:c>
      <x:c r="C13" s="24" t="n">
        <x:v>6</x:v>
      </x:c>
      <x:c r="D13" s="25" t="n">
        <x:f>IF(C13=0,0,B13/C13)</x:f>
        <x:v>1</x:v>
      </x:c>
      <x:c r="E13" s="26" t="str">
        <x:v>자동 검증가능 판정 행 중 올바른 표</x:v>
      </x:c>
    </x:row>
    <x:row r="14">
      <x:c r="A14" t="str">
        <x:v>자동매핑 항목·시점 정밀도</x:v>
      </x:c>
      <x:c r="B14" s="24" t="n">
        <x:v>6</x:v>
      </x:c>
      <x:c r="C14" s="24" t="n">
        <x:v>6</x:v>
      </x:c>
      <x:c r="D14" s="25" t="n">
        <x:f>IF(C14=0,0,B14/C14)</x:f>
        <x:v>1</x:v>
      </x:c>
      <x:c r="E14" s="26" t="str">
        <x:v>자동 검증가능 판정 행 중 올바른 항목·시점</x:v>
      </x:c>
    </x:row>
    <x:row r="15">
      <x:c r="A15" t="str">
        <x:v>자동매핑 API 성공률</x:v>
      </x:c>
      <x:c r="B15" s="24" t="n">
        <x:v>4</x:v>
      </x:c>
      <x:c r="C15" s="24" t="n">
        <x:v>6</x:v>
      </x:c>
      <x:c r="D15" s="25" t="n">
        <x:f>IF(C15=0,0,B15/C15)</x:f>
        <x:v>0.6666666666666666</x:v>
      </x:c>
      <x:c r="E15" s="26" t="str">
        <x:v>자동 검증가능 판정 행 중 값 조회 성공</x:v>
      </x:c>
    </x:row>
    <x:row r="16">
      <x:c r="A16" t="str">
        <x:v>최종 판정 엄격 일치율</x:v>
      </x:c>
      <x:c r="B16" s="24" t="n">
        <x:v>25</x:v>
      </x:c>
      <x:c r="C16" s="24" t="n">
        <x:v>100</x:v>
      </x:c>
      <x:c r="D16" s="25" t="n">
        <x:f>IF(C16=0,0,B16/C16)</x:f>
        <x:v>0.25</x:v>
      </x:c>
      <x:c r="E16" s="26" t="str">
        <x:v>보류를 오답으로 포함한 100건 기준</x:v>
      </x:c>
    </x:row>
    <x:row r="17">
      <x:c r="A17" t="str">
        <x:v>자동결정 최종 판정 일치율</x:v>
      </x:c>
      <x:c r="B17" s="24" t="n">
        <x:v>25</x:v>
      </x:c>
      <x:c r="C17" s="24" t="n">
        <x:v>26</x:v>
      </x:c>
      <x:c r="D17" s="25" t="n">
        <x:f>IF(C17=0,0,B17/C17)</x:f>
        <x:v>0.9615384615384616</x:v>
      </x:c>
      <x:c r="E17" s="26" t="str">
        <x:v>자동결정한 행만 평가</x:v>
      </x:c>
    </x:row>
    <x:row r="18">
      <x:c r="A18" t="str">
        <x:v>골드 API 성공률</x:v>
      </x:c>
      <x:c r="B18" s="24" t="n">
        <x:v>29</x:v>
      </x:c>
      <x:c r="C18" s="24" t="n">
        <x:v>33</x:v>
      </x:c>
      <x:c r="D18" s="25" t="n">
        <x:f>IF(C18=0,0,B18/C18)</x:f>
        <x:v>0.8787878787878788</x:v>
      </x:c>
      <x:c r="E18" s="26" t="str">
        <x:v>수동 확정 매핑의 현재 KOSIS 값 조회</x:v>
      </x:c>
    </x:row>
  </x:sheetData>
  <x:mergeCells>
    <x:mergeCell ref="A1:E1"/>
    <x:mergeCell ref="A2:E2"/>
  </x:mergeCells>
  <x:conditionalFormatting sqref="D5:D18">
    <x:cfRule type="colorScale" priority="1">
      <x:colorScale>
        <x:cfvo type="min"/>
        <x:cfvo type="percentile" val="50"/>
        <x:cfvo type="max"/>
        <x:color rgb="FFFDE8E7"/>
        <x:color rgb="FFFFF1CC"/>
        <x:color rgb="FFDFF3E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c6f9b09ddbe48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3" t="str">
        <x:v>분야별 성능</x:v>
      </x:c>
      <x:c r="B1" s="3"/>
      <x:c r="C1" s="3"/>
      <x:c r="D1" s="3"/>
      <x:c r="E1" s="3"/>
      <x:c r="F1" s="3"/>
      <x:c r="G1" s="3"/>
      <x:c r="H1" s="3"/>
    </x:row>
    <x:row r="2" ht="26" customHeight="1">
      <x:c r="A2" s="7" t="str">
        <x:v>모든 값은 홀드아웃100 시트의 수동 라벨과 동결 코드북 결과에서 계산됩니다.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6" t="str">
        <x:v>분야</x:v>
      </x:c>
      <x:c r="B4" s="17" t="str">
        <x:v>표본</x:v>
      </x:c>
      <x:c r="C4" s="17" t="str">
        <x:v>골드 검증가능</x:v>
      </x:c>
      <x:c r="D4" s="17" t="str">
        <x:v>자동결정 커버리지</x:v>
      </x:c>
      <x:c r="E4" s="17" t="str">
        <x:v>검증가능 엄격 정확도</x:v>
      </x:c>
      <x:c r="F4" s="17" t="str">
        <x:v>통계표 엄격 정확도</x:v>
      </x:c>
      <x:c r="G4" s="17" t="str">
        <x:v>항목·시점 엄격 정확도</x:v>
      </x:c>
      <x:c r="H4" s="18" t="str">
        <x:v>자동매핑 정밀도</x:v>
      </x:c>
    </x:row>
    <x:row r="5">
      <x:c r="A5" t="str">
        <x:v>물가</x:v>
      </x:c>
      <x:c r="B5" s="24" t="n">
        <x:f>COUNTIF('홀드아웃100'!$B$5:$B$104,A5)</x:f>
        <x:v>20</x:v>
      </x:c>
      <x:c r="C5" s="24" t="n">
        <x:f>COUNTIFS('홀드아웃100'!$B$5:$B$104,A5,'홀드아웃100'!$J$5:$J$104,"Y")</x:f>
        <x:v>9</x:v>
      </x:c>
      <x:c r="D5" s="25" t="n">
        <x:f>(COUNTIFS('홀드아웃100'!$B$5:$B$104,A5,'홀드아웃100'!$W$5:$W$104,"검증가능")+COUNTIFS('홀드아웃100'!$B$5:$B$104,A5,'홀드아웃100'!$W$5:$W$104,"검증불가"))/B5</x:f>
        <x:v>0.3</x:v>
      </x:c>
      <x:c r="E5" s="25" t="n">
        <x:f>COUNTIFS('홀드아웃100'!$B$5:$B$104,A5,'홀드아웃100'!$AI$5:$AI$104,"Y")/B5</x:f>
        <x:v>0.3</x:v>
      </x:c>
      <x:c r="F5" s="25" t="n">
        <x:f>COUNTIFS('홀드아웃100'!$B$5:$B$104,A5,'홀드아웃100'!$AJ$5:$AJ$104,"Y")/C5</x:f>
        <x:v>0</x:v>
      </x:c>
      <x:c r="G5" s="25" t="n">
        <x:f>COUNTIFS('홀드아웃100'!$B$5:$B$104,A5,'홀드아웃100'!$AM$5:$AM$104,"Y")/C5</x:f>
        <x:v>0</x:v>
      </x:c>
      <x:c r="H5" s="25" t="n">
        <x:f>IFERROR(COUNTIFS('홀드아웃100'!$B$5:$B$104,A5,'홀드아웃100'!$W$5:$W$104,"검증가능",'홀드아웃100'!$AM$5:$AM$104,"Y")/COUNTIFS('홀드아웃100'!$B$5:$B$104,A5,'홀드아웃100'!$W$5:$W$104,"검증가능"),0)</x:f>
        <x:v>0</x:v>
      </x:c>
    </x:row>
    <x:row r="6">
      <x:c r="A6" t="str">
        <x:v>고용</x:v>
      </x:c>
      <x:c r="B6" s="24" t="n">
        <x:f>COUNTIF('홀드아웃100'!$B$5:$B$104,A6)</x:f>
        <x:v>20</x:v>
      </x:c>
      <x:c r="C6" s="24" t="n">
        <x:f>COUNTIFS('홀드아웃100'!$B$5:$B$104,A6,'홀드아웃100'!$J$5:$J$104,"Y")</x:f>
        <x:v>4</x:v>
      </x:c>
      <x:c r="D6" s="25" t="n">
        <x:f>(COUNTIFS('홀드아웃100'!$B$5:$B$104,A6,'홀드아웃100'!$W$5:$W$104,"검증가능")+COUNTIFS('홀드아웃100'!$B$5:$B$104,A6,'홀드아웃100'!$W$5:$W$104,"검증불가"))/B6</x:f>
        <x:v>0.2</x:v>
      </x:c>
      <x:c r="E6" s="25" t="n">
        <x:f>COUNTIFS('홀드아웃100'!$B$5:$B$104,A6,'홀드아웃100'!$AI$5:$AI$104,"Y")/B6</x:f>
        <x:v>0.2</x:v>
      </x:c>
      <x:c r="F6" s="25" t="n">
        <x:f>COUNTIFS('홀드아웃100'!$B$5:$B$104,A6,'홀드아웃100'!$AJ$5:$AJ$104,"Y")/C6</x:f>
        <x:v>0</x:v>
      </x:c>
      <x:c r="G6" s="25" t="n">
        <x:f>COUNTIFS('홀드아웃100'!$B$5:$B$104,A6,'홀드아웃100'!$AM$5:$AM$104,"Y")/C6</x:f>
        <x:v>0</x:v>
      </x:c>
      <x:c r="H6" s="25" t="n">
        <x:f>IFERROR(COUNTIFS('홀드아웃100'!$B$5:$B$104,A6,'홀드아웃100'!$W$5:$W$104,"검증가능",'홀드아웃100'!$AM$5:$AM$104,"Y")/COUNTIFS('홀드아웃100'!$B$5:$B$104,A6,'홀드아웃100'!$W$5:$W$104,"검증가능"),0)</x:f>
        <x:v>0</x:v>
      </x:c>
    </x:row>
    <x:row r="7">
      <x:c r="A7" t="str">
        <x:v>무역</x:v>
      </x:c>
      <x:c r="B7" s="24" t="n">
        <x:f>COUNTIF('홀드아웃100'!$B$5:$B$104,A7)</x:f>
        <x:v>20</x:v>
      </x:c>
      <x:c r="C7" s="24" t="n">
        <x:f>COUNTIFS('홀드아웃100'!$B$5:$B$104,A7,'홀드아웃100'!$J$5:$J$104,"Y")</x:f>
        <x:v>1</x:v>
      </x:c>
      <x:c r="D7" s="25" t="n">
        <x:f>(COUNTIFS('홀드아웃100'!$B$5:$B$104,A7,'홀드아웃100'!$W$5:$W$104,"검증가능")+COUNTIFS('홀드아웃100'!$B$5:$B$104,A7,'홀드아웃100'!$W$5:$W$104,"검증불가"))/B7</x:f>
        <x:v>0.1</x:v>
      </x:c>
      <x:c r="E7" s="25" t="n">
        <x:f>COUNTIFS('홀드아웃100'!$B$5:$B$104,A7,'홀드아웃100'!$AI$5:$AI$104,"Y")/B7</x:f>
        <x:v>0.1</x:v>
      </x:c>
      <x:c r="F7" s="25" t="n">
        <x:f>COUNTIFS('홀드아웃100'!$B$5:$B$104,A7,'홀드아웃100'!$AJ$5:$AJ$104,"Y")/C7</x:f>
        <x:v>0</x:v>
      </x:c>
      <x:c r="G7" s="25" t="n">
        <x:f>COUNTIFS('홀드아웃100'!$B$5:$B$104,A7,'홀드아웃100'!$AM$5:$AM$104,"Y")/C7</x:f>
        <x:v>0</x:v>
      </x:c>
      <x:c r="H7" s="25" t="n">
        <x:f>IFERROR(COUNTIFS('홀드아웃100'!$B$5:$B$104,A7,'홀드아웃100'!$W$5:$W$104,"검증가능",'홀드아웃100'!$AM$5:$AM$104,"Y")/COUNTIFS('홀드아웃100'!$B$5:$B$104,A7,'홀드아웃100'!$W$5:$W$104,"검증가능"),0)</x:f>
        <x:v>0</x:v>
      </x:c>
    </x:row>
    <x:row r="8">
      <x:c r="A8" t="str">
        <x:v>인구</x:v>
      </x:c>
      <x:c r="B8" s="24" t="n">
        <x:f>COUNTIF('홀드아웃100'!$B$5:$B$104,A8)</x:f>
        <x:v>20</x:v>
      </x:c>
      <x:c r="C8" s="24" t="n">
        <x:f>COUNTIFS('홀드아웃100'!$B$5:$B$104,A8,'홀드아웃100'!$J$5:$J$104,"Y")</x:f>
        <x:v>12</x:v>
      </x:c>
      <x:c r="D8" s="25" t="n">
        <x:f>(COUNTIFS('홀드아웃100'!$B$5:$B$104,A8,'홀드아웃100'!$W$5:$W$104,"검증가능")+COUNTIFS('홀드아웃100'!$B$5:$B$104,A8,'홀드아웃100'!$W$5:$W$104,"검증불가"))/B8</x:f>
        <x:v>0.35</x:v>
      </x:c>
      <x:c r="E8" s="25" t="n">
        <x:f>COUNTIFS('홀드아웃100'!$B$5:$B$104,A8,'홀드아웃100'!$AI$5:$AI$104,"Y")/B8</x:f>
        <x:v>0.35</x:v>
      </x:c>
      <x:c r="F8" s="25" t="n">
        <x:f>COUNTIFS('홀드아웃100'!$B$5:$B$104,A8,'홀드아웃100'!$AJ$5:$AJ$104,"Y")/C8</x:f>
        <x:v>0.5</x:v>
      </x:c>
      <x:c r="G8" s="25" t="n">
        <x:f>COUNTIFS('홀드아웃100'!$B$5:$B$104,A8,'홀드아웃100'!$AM$5:$AM$104,"Y")/C8</x:f>
        <x:v>0.5</x:v>
      </x:c>
      <x:c r="H8" s="25" t="n">
        <x:f>IFERROR(COUNTIFS('홀드아웃100'!$B$5:$B$104,A8,'홀드아웃100'!$W$5:$W$104,"검증가능",'홀드아웃100'!$AM$5:$AM$104,"Y")/COUNTIFS('홀드아웃100'!$B$5:$B$104,A8,'홀드아웃100'!$W$5:$W$104,"검증가능"),0)</x:f>
        <x:v>1</x:v>
      </x:c>
    </x:row>
    <x:row r="9">
      <x:c r="A9" t="str">
        <x:v>소매</x:v>
      </x:c>
      <x:c r="B9" s="24" t="n">
        <x:f>COUNTIF('홀드아웃100'!$B$5:$B$104,A9)</x:f>
        <x:v>20</x:v>
      </x:c>
      <x:c r="C9" s="24" t="n">
        <x:f>COUNTIFS('홀드아웃100'!$B$5:$B$104,A9,'홀드아웃100'!$J$5:$J$104,"Y")</x:f>
        <x:v>7</x:v>
      </x:c>
      <x:c r="D9" s="25" t="n">
        <x:f>(COUNTIFS('홀드아웃100'!$B$5:$B$104,A9,'홀드아웃100'!$W$5:$W$104,"검증가능")+COUNTIFS('홀드아웃100'!$B$5:$B$104,A9,'홀드아웃100'!$W$5:$W$104,"검증불가"))/B9</x:f>
        <x:v>0.35</x:v>
      </x:c>
      <x:c r="E9" s="25" t="n">
        <x:f>COUNTIFS('홀드아웃100'!$B$5:$B$104,A9,'홀드아웃100'!$AI$5:$AI$104,"Y")/B9</x:f>
        <x:v>0.3</x:v>
      </x:c>
      <x:c r="F9" s="25" t="n">
        <x:f>COUNTIFS('홀드아웃100'!$B$5:$B$104,A9,'홀드아웃100'!$AJ$5:$AJ$104,"Y")/C9</x:f>
        <x:v>0</x:v>
      </x:c>
      <x:c r="G9" s="25" t="n">
        <x:f>COUNTIFS('홀드아웃100'!$B$5:$B$104,A9,'홀드아웃100'!$AM$5:$AM$104,"Y")/C9</x:f>
        <x:v>0</x:v>
      </x:c>
      <x:c r="H9" s="25" t="n">
        <x:f>IFERROR(COUNTIFS('홀드아웃100'!$B$5:$B$104,A9,'홀드아웃100'!$W$5:$W$104,"검증가능",'홀드아웃100'!$AM$5:$AM$104,"Y")/COUNTIFS('홀드아웃100'!$B$5:$B$104,A9,'홀드아웃100'!$W$5:$W$104,"검증가능"),0)</x:f>
        <x:v>0</x:v>
      </x:c>
    </x:row>
  </x:sheetData>
  <x:mergeCells>
    <x:mergeCell ref="A1:H1"/>
    <x:mergeCell ref="A2:H2"/>
  </x:mergeCells>
  <x:conditionalFormatting sqref="D5:H9">
    <x:cfRule type="colorScale" priority="1">
      <x:colorScale>
        <x:cfvo type="min"/>
        <x:cfvo type="percentile" val="50"/>
        <x:cfvo type="max"/>
        <x:color rgb="FFFDE8E7"/>
        <x:color rgb="FFFFF1CC"/>
        <x:color rgb="FFDFF3E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9067605b1b142f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1" hidden="0" customWidth="1"/>
    <x:col min="3" max="3" width="11" hidden="0" customWidth="1"/>
    <x:col min="4" max="4" width="6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6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30" customHeight="1">
      <x:c r="A1" s="3" t="str">
        <x:v>오류 분석 75건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6" customHeight="1">
      <x:c r="A2" s="7" t="str">
        <x:v>보류 74건과 검증가능 대상을 검증불가로 잘못 분류한 1건을 포함합니다.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2" customHeight="1">
      <x:c r="A4" s="16" t="str">
        <x:v>번호</x:v>
      </x:c>
      <x:c r="B4" s="17" t="str">
        <x:v>분야</x:v>
      </x:c>
      <x:c r="C4" s="17" t="str">
        <x:v>주장 ID</x:v>
      </x:c>
      <x:c r="D4" s="17" t="str">
        <x:v>주장 문장</x:v>
      </x:c>
      <x:c r="E4" s="17" t="str">
        <x:v>골드 검증가능</x:v>
      </x:c>
      <x:c r="F4" s="17" t="str">
        <x:v>골드 제외 사유</x:v>
      </x:c>
      <x:c r="G4" s="17" t="str">
        <x:v>자동 결정</x:v>
      </x:c>
      <x:c r="H4" s="17" t="str">
        <x:v>자동 제외 사유</x:v>
      </x:c>
      <x:c r="I4" s="17" t="str">
        <x:v>오류 유형</x:v>
      </x:c>
      <x:c r="J4" s="17" t="str">
        <x:v>오류 원인</x:v>
      </x:c>
      <x:c r="K4" s="17" t="str">
        <x:v>골드 통계표</x:v>
      </x:c>
      <x:c r="L4" s="17" t="str">
        <x:v>자동 통계표</x:v>
      </x:c>
      <x:c r="M4" s="17" t="str">
        <x:v>골드 대상시점</x:v>
      </x:c>
      <x:c r="N4" s="17" t="str">
        <x:v>자동 대상시점</x:v>
      </x:c>
      <x:c r="O4" s="17" t="str">
        <x:v>골드 판정</x:v>
      </x:c>
      <x:c r="P4" s="18" t="str">
        <x:v>자동 판정</x:v>
      </x:c>
    </x:row>
    <x:row r="5">
      <x:c r="A5" t="n">
        <x:v>1</x:v>
      </x:c>
      <x:c r="B5" t="str">
        <x:v>물가</x:v>
      </x:c>
      <x:c r="C5" t="str">
        <x:v>C01367</x:v>
      </x:c>
      <x:c r="D5" s="26" t="str">
        <x:v>수출물가지수는 133.75로 전월대비 2.4%, 전년 대비 10.7% 올랐다.</x:v>
      </x:c>
      <x:c r="E5" s="26" t="str">
        <x:v>Y</x:v>
      </x:c>
      <x:c r="F5" s="26" t="str"/>
      <x:c r="G5" s="26" t="str">
        <x:v>보류</x:v>
      </x:c>
      <x:c r="H5" s="26" t="str"/>
      <x:c r="I5" s="26" t="str">
        <x:v>검증가능여부;통계표;항목;시점;최종판정</x:v>
      </x:c>
      <x:c r="J5" s="26" t="str">
        <x:v>코드북 미지원 또는 엄격 규칙에 따른 검증가능 행 보류</x:v>
      </x:c>
      <x:c r="K5" t="str">
        <x:v>DT_402Y014</x:v>
      </x:c>
      <x:c r="L5" t="str"/>
      <x:c r="M5" t="str">
        <x:v>202412</x:v>
      </x:c>
      <x:c r="N5" t="str"/>
      <x:c r="O5" t="str">
        <x:v>일치</x:v>
      </x:c>
      <x:c r="P5" t="str"/>
    </x:row>
    <x:row r="6">
      <x:c r="A6" t="n">
        <x:v>2</x:v>
      </x:c>
      <x:c r="B6" t="str">
        <x:v>물가</x:v>
      </x:c>
      <x:c r="C6" t="str">
        <x:v>C01659</x:v>
      </x:c>
      <x:c r="D6" s="26" t="str">
        <x:v>공장 출고가를 의미하는 생산자 물가는 27개월째 전년 대비 마이너스를 기록하고 있다.</x:v>
      </x:c>
      <x:c r="E6" s="26" t="str">
        <x:v>N</x:v>
      </x:c>
      <x:c r="F6" s="26" t="str">
        <x:v>KOSIS 미제공</x:v>
      </x:c>
      <x:c r="G6" s="26" t="str">
        <x:v>보류</x:v>
      </x:c>
      <x:c r="H6" s="26" t="str"/>
      <x:c r="I6" s="26" t="str">
        <x:v>검증가능여부;최종판정</x:v>
      </x:c>
      <x:c r="J6" s="26" t="str">
        <x:v>매핑 또는 판정 불일치</x:v>
      </x:c>
      <x:c r="K6" t="str"/>
      <x:c r="L6" t="str"/>
      <x:c r="M6" t="str"/>
      <x:c r="N6" t="str"/>
      <x:c r="O6" t="str">
        <x:v>판단불가</x:v>
      </x:c>
      <x:c r="P6" t="str"/>
    </x:row>
    <x:row r="7">
      <x:c r="A7" t="n">
        <x:v>3</x:v>
      </x:c>
      <x:c r="B7" t="str">
        <x:v>물가</x:v>
      </x:c>
      <x:c r="C7" t="str">
        <x:v>C03672</x:v>
      </x:c>
      <x:c r="D7" s="26" t="str">
        <x:v>기조적인 물가 흐름을 나타내는 근원물가지수(식료품 및 에너지 제외 지수)는 전년 동월 대비 1.9% 오르며, 4개월째 1%대를 유지했다.</x:v>
      </x:c>
      <x:c r="E7" s="26" t="str">
        <x:v>Y</x:v>
      </x:c>
      <x:c r="F7" s="26" t="str"/>
      <x:c r="G7" s="26" t="str">
        <x:v>보류</x:v>
      </x:c>
      <x:c r="H7" s="26" t="str"/>
      <x:c r="I7" s="26" t="str">
        <x:v>검증가능여부;통계표;항목;시점;최종판정</x:v>
      </x:c>
      <x:c r="J7" s="26" t="str">
        <x:v>코드북 미지원 또는 엄격 규칙에 따른 검증가능 행 보류</x:v>
      </x:c>
      <x:c r="K7" t="str">
        <x:v>DT_1J22042</x:v>
      </x:c>
      <x:c r="L7" t="str"/>
      <x:c r="M7" t="str">
        <x:v>202501</x:v>
      </x:c>
      <x:c r="N7" t="str"/>
      <x:c r="O7" t="str">
        <x:v>일치</x:v>
      </x:c>
      <x:c r="P7" t="str"/>
    </x:row>
    <x:row r="8">
      <x:c r="A8" t="n">
        <x:v>7</x:v>
      </x:c>
      <x:c r="B8" t="str">
        <x:v>물가</x:v>
      </x:c>
      <x:c r="C8" t="str">
        <x:v>C05153</x:v>
      </x:c>
      <x:c r="D8" s="26" t="str">
        <x:v>지난달 생산자물가가 오른 것은 농림수산품 물가가 전월 대비 4%, 공산품이 0.6% 오른 것 등이 영향을 줬다.</x:v>
      </x:c>
      <x:c r="E8" s="26" t="str">
        <x:v>N</x:v>
      </x:c>
      <x:c r="F8" s="26" t="str">
        <x:v>정보 부족</x:v>
      </x:c>
      <x:c r="G8" s="26" t="str">
        <x:v>보류</x:v>
      </x:c>
      <x:c r="H8" s="26" t="str"/>
      <x:c r="I8" s="26" t="str">
        <x:v>검증가능여부;최종판정</x:v>
      </x:c>
      <x:c r="J8" s="26" t="str">
        <x:v>매핑 또는 판정 불일치</x:v>
      </x:c>
      <x:c r="K8" t="str"/>
      <x:c r="L8" t="str"/>
      <x:c r="M8" t="str"/>
      <x:c r="N8" t="str"/>
      <x:c r="O8" t="str">
        <x:v>판단불가</x:v>
      </x:c>
      <x:c r="P8" t="str"/>
    </x:row>
    <x:row r="9">
      <x:c r="A9" t="n">
        <x:v>8</x:v>
      </x:c>
      <x:c r="B9" t="str">
        <x:v>물가</x:v>
      </x:c>
      <x:c r="C9" t="str">
        <x:v>C05541</x:v>
      </x:c>
      <x:c r="D9" s="26" t="str">
        <x:v>한국도 물가 상승률이 5.1%에 달했던 2022년부터 도입 논의가 본격화됐다.</x:v>
      </x:c>
      <x:c r="E9" s="26" t="str">
        <x:v>Y</x:v>
      </x:c>
      <x:c r="F9" s="26" t="str"/>
      <x:c r="G9" s="26" t="str">
        <x:v>보류</x:v>
      </x:c>
      <x:c r="H9" s="26" t="str"/>
      <x:c r="I9" s="26" t="str">
        <x:v>검증가능여부;통계표;항목;시점;최종판정</x:v>
      </x:c>
      <x:c r="J9" s="26" t="str">
        <x:v>코드북 미지원 또는 엄격 규칙에 따른 검증가능 행 보류</x:v>
      </x:c>
      <x:c r="K9" t="str">
        <x:v>DT_1J22003</x:v>
      </x:c>
      <x:c r="L9" t="str"/>
      <x:c r="M9" t="str">
        <x:v>2022</x:v>
      </x:c>
      <x:c r="N9" t="str"/>
      <x:c r="O9" t="str">
        <x:v>일치</x:v>
      </x:c>
      <x:c r="P9" t="str"/>
    </x:row>
    <x:row r="10">
      <x:c r="A10" t="n">
        <x:v>11</x:v>
      </x:c>
      <x:c r="B10" t="str">
        <x:v>물가</x:v>
      </x:c>
      <x:c r="C10" t="str">
        <x:v>C09082</x:v>
      </x:c>
      <x:c r="D10" s="26" t="str">
        <x:v>전국 마늘 생산의 38%를 담당하는 의성군 농가들도 비상이 걸렸다.</x:v>
      </x:c>
      <x:c r="E10" s="26" t="str">
        <x:v>N</x:v>
      </x:c>
      <x:c r="F10" s="26" t="str">
        <x:v>지역·분류 불일치</x:v>
      </x:c>
      <x:c r="G10" s="26" t="str">
        <x:v>보류</x:v>
      </x:c>
      <x:c r="H10" s="26" t="str"/>
      <x:c r="I10" s="26" t="str">
        <x:v>검증가능여부;최종판정</x:v>
      </x:c>
      <x:c r="J10" s="26" t="str">
        <x:v>매핑 또는 판정 불일치</x:v>
      </x:c>
      <x:c r="K10" t="str"/>
      <x:c r="L10" t="str"/>
      <x:c r="M10" t="str"/>
      <x:c r="N10" t="str"/>
      <x:c r="O10" t="str">
        <x:v>판단불가</x:v>
      </x:c>
      <x:c r="P10" t="str"/>
    </x:row>
    <x:row r="11">
      <x:c r="A11" t="n">
        <x:v>12</x:v>
      </x:c>
      <x:c r="B11" t="str">
        <x:v>물가</x:v>
      </x:c>
      <x:c r="C11" t="str">
        <x:v>C15363</x:v>
      </x:c>
      <x:c r="D11" s="26" t="str">
        <x:v>이에 가격이 변하면 소비자들이 민감하게 반응하는 144품목만 추려서 작성한 생활 물가는 전년 동월 대비 2.3% 오르며, 올 들어 최저 상승 폭을 보였다.</x:v>
      </x:c>
      <x:c r="E11" s="26" t="str">
        <x:v>Y</x:v>
      </x:c>
      <x:c r="F11" s="26" t="str"/>
      <x:c r="G11" s="26" t="str">
        <x:v>보류</x:v>
      </x:c>
      <x:c r="H11" s="26" t="str"/>
      <x:c r="I11" s="26" t="str">
        <x:v>검증가능여부;통계표;항목;시점;최종판정</x:v>
      </x:c>
      <x:c r="J11" s="26" t="str">
        <x:v>코드북 미지원 또는 엄격 규칙에 따른 검증가능 행 보류</x:v>
      </x:c>
      <x:c r="K11" t="str">
        <x:v>DT_1J22042</x:v>
      </x:c>
      <x:c r="L11" t="str"/>
      <x:c r="M11" t="str">
        <x:v>202505</x:v>
      </x:c>
      <x:c r="N11" t="str"/>
      <x:c r="O11" t="str">
        <x:v>일치</x:v>
      </x:c>
      <x:c r="P11" t="str"/>
    </x:row>
    <x:row r="12">
      <x:c r="A12" t="n">
        <x:v>14</x:v>
      </x:c>
      <x:c r="B12" t="str">
        <x:v>물가</x:v>
      </x:c>
      <x:c r="C12" t="str">
        <x:v>C18189</x:v>
      </x:c>
      <x:c r="D12" s="26" t="str">
        <x:v>2일 통계청은 ‘6월 소비자 물가 동향’에서 지난달 소비자 물가가 작년 동월 대비 2.2% 올랐다고 밝혔다.</x:v>
      </x:c>
      <x:c r="E12" s="26" t="str">
        <x:v>Y</x:v>
      </x:c>
      <x:c r="F12" s="26" t="str"/>
      <x:c r="G12" s="26" t="str">
        <x:v>보류</x:v>
      </x:c>
      <x:c r="H12" s="26" t="str"/>
      <x:c r="I12" s="26" t="str">
        <x:v>검증가능여부;통계표;항목;시점;최종판정</x:v>
      </x:c>
      <x:c r="J12" s="26" t="str">
        <x:v>코드북 미지원 또는 엄격 규칙에 따른 검증가능 행 보류</x:v>
      </x:c>
      <x:c r="K12" t="str">
        <x:v>DT_1J22042</x:v>
      </x:c>
      <x:c r="L12" t="str"/>
      <x:c r="M12" t="str">
        <x:v>202506</x:v>
      </x:c>
      <x:c r="N12" t="str"/>
      <x:c r="O12" t="str">
        <x:v>일치</x:v>
      </x:c>
      <x:c r="P12" t="str"/>
    </x:row>
    <x:row r="13">
      <x:c r="A13" t="n">
        <x:v>15</x:v>
      </x:c>
      <x:c r="B13" t="str">
        <x:v>물가</x:v>
      </x:c>
      <x:c r="C13" t="str">
        <x:v>C18204</x:v>
      </x:c>
      <x:c r="D13" s="26" t="str">
        <x:v>통계청이 집계하는 가공식품 품목 73개 가운데 라면과 초콜릿(20.4%), 고추장(14.2%), 김치(14.2%), 빵(6.4%) 등 62개 가격이 올라 지난달 가공식품 물가는 4.6%나 뛰었다.</x:v>
      </x:c>
      <x:c r="E13" s="26" t="str">
        <x:v>Y</x:v>
      </x:c>
      <x:c r="F13" s="26" t="str"/>
      <x:c r="G13" s="26" t="str">
        <x:v>보류</x:v>
      </x:c>
      <x:c r="H13" s="26" t="str"/>
      <x:c r="I13" s="26" t="str">
        <x:v>검증가능여부;통계표;항목;시점;최종판정</x:v>
      </x:c>
      <x:c r="J13" s="26" t="str">
        <x:v>코드북 미지원 또는 엄격 규칙에 따른 검증가능 행 보류</x:v>
      </x:c>
      <x:c r="K13" t="str">
        <x:v>DT_1J22112</x:v>
      </x:c>
      <x:c r="L13" t="str"/>
      <x:c r="M13" t="str">
        <x:v>202506</x:v>
      </x:c>
      <x:c r="N13" t="str"/>
      <x:c r="O13" t="str">
        <x:v>일치</x:v>
      </x:c>
      <x:c r="P13" t="str"/>
    </x:row>
    <x:row r="14">
      <x:c r="A14" t="n">
        <x:v>16</x:v>
      </x:c>
      <x:c r="B14" t="str">
        <x:v>물가</x:v>
      </x:c>
      <x:c r="C14" t="str">
        <x:v>C18209</x:v>
      </x:c>
      <x:c r="D14" s="26" t="str">
        <x:v>라면에 계란을 풀어 파는 외식 라면 물가도 지난달 4%나 뛰었다.</x:v>
      </x:c>
      <x:c r="E14" s="26" t="str">
        <x:v>Y</x:v>
      </x:c>
      <x:c r="F14" s="26" t="str"/>
      <x:c r="G14" s="26" t="str">
        <x:v>보류</x:v>
      </x:c>
      <x:c r="H14" s="26" t="str"/>
      <x:c r="I14" s="26" t="str">
        <x:v>검증가능여부;통계표;항목;시점;최종판정</x:v>
      </x:c>
      <x:c r="J14" s="26" t="str">
        <x:v>코드북 미지원 또는 엄격 규칙에 따른 검증가능 행 보류</x:v>
      </x:c>
      <x:c r="K14" t="str">
        <x:v>DT_1J22112</x:v>
      </x:c>
      <x:c r="L14" t="str"/>
      <x:c r="M14" t="str">
        <x:v>202506</x:v>
      </x:c>
      <x:c r="N14" t="str"/>
      <x:c r="O14" t="str">
        <x:v>일치</x:v>
      </x:c>
      <x:c r="P14" t="str"/>
    </x:row>
    <x:row r="15">
      <x:c r="A15" t="n">
        <x:v>17</x:v>
      </x:c>
      <x:c r="B15" t="str">
        <x:v>물가</x:v>
      </x:c>
      <x:c r="C15" t="str">
        <x:v>C18575</x:v>
      </x:c>
      <x:c r="D15" s="26" t="str">
        <x:v>통계청에 따르면, 지난달 가공식품 물가 상승률은 전년 대비 4.6%로, 2023년 11월(5.1%) 이후 19개월 만에 가장 높았다.</x:v>
      </x:c>
      <x:c r="E15" s="26" t="str">
        <x:v>Y</x:v>
      </x:c>
      <x:c r="F15" s="26" t="str"/>
      <x:c r="G15" s="26" t="str">
        <x:v>보류</x:v>
      </x:c>
      <x:c r="H15" s="26" t="str"/>
      <x:c r="I15" s="26" t="str">
        <x:v>검증가능여부;통계표;항목;시점;최종판정</x:v>
      </x:c>
      <x:c r="J15" s="26" t="str">
        <x:v>코드북 미지원 또는 엄격 규칙에 따른 검증가능 행 보류</x:v>
      </x:c>
      <x:c r="K15" t="str">
        <x:v>DT_1J22112</x:v>
      </x:c>
      <x:c r="L15" t="str"/>
      <x:c r="M15" t="str">
        <x:v>202506</x:v>
      </x:c>
      <x:c r="N15" t="str"/>
      <x:c r="O15" t="str">
        <x:v>일치</x:v>
      </x:c>
      <x:c r="P15" t="str"/>
    </x:row>
    <x:row r="16">
      <x:c r="A16" t="n">
        <x:v>18</x:v>
      </x:c>
      <x:c r="B16" t="str">
        <x:v>물가</x:v>
      </x:c>
      <x:c r="C16" t="str">
        <x:v>C18696</x:v>
      </x:c>
      <x:c r="D16" s="26" t="str">
        <x:v>넷째, 한국은행이 기준금리를 0.12%포인트 인상하면 물가는 0.09%포인트 하락했다.</x:v>
      </x:c>
      <x:c r="E16" s="26" t="str">
        <x:v>N</x:v>
      </x:c>
      <x:c r="F16" s="26" t="str">
        <x:v>KOSIS 미제공</x:v>
      </x:c>
      <x:c r="G16" s="26" t="str">
        <x:v>보류</x:v>
      </x:c>
      <x:c r="H16" s="26" t="str"/>
      <x:c r="I16" s="26" t="str">
        <x:v>검증가능여부;최종판정</x:v>
      </x:c>
      <x:c r="J16" s="26" t="str">
        <x:v>매핑 또는 판정 불일치</x:v>
      </x:c>
      <x:c r="K16" t="str"/>
      <x:c r="L16" t="str"/>
      <x:c r="M16" t="str"/>
      <x:c r="N16" t="str"/>
      <x:c r="O16" t="str">
        <x:v>판단불가</x:v>
      </x:c>
      <x:c r="P16" t="str"/>
    </x:row>
    <x:row r="17">
      <x:c r="A17" t="n">
        <x:v>19</x:v>
      </x:c>
      <x:c r="B17" t="str">
        <x:v>물가</x:v>
      </x:c>
      <x:c r="C17" t="str">
        <x:v>C19740</x:v>
      </x:c>
      <x:c r="D17" s="26" t="str">
        <x:v>이로 인해 지난달 휴대전화 요금은 전월 대비 26.7% 오른 것으로 나타났다.</x:v>
      </x:c>
      <x:c r="E17" s="26" t="str">
        <x:v>Y</x:v>
      </x:c>
      <x:c r="F17" s="26" t="str"/>
      <x:c r="G17" s="26" t="str">
        <x:v>보류</x:v>
      </x:c>
      <x:c r="H17" s="26" t="str"/>
      <x:c r="I17" s="26" t="str">
        <x:v>검증가능여부;통계표;항목;시점;최종판정</x:v>
      </x:c>
      <x:c r="J17" s="26" t="str">
        <x:v>코드북 미지원 또는 엄격 규칙에 따른 검증가능 행 보류</x:v>
      </x:c>
      <x:c r="K17" t="str">
        <x:v>DT_1J22112</x:v>
      </x:c>
      <x:c r="L17" t="str"/>
      <x:c r="M17" t="str">
        <x:v>202509</x:v>
      </x:c>
      <x:c r="N17" t="str"/>
      <x:c r="O17" t="str">
        <x:v>일치</x:v>
      </x:c>
      <x:c r="P17" t="str"/>
    </x:row>
    <x:row r="18">
      <x:c r="A18" t="n">
        <x:v>20</x:v>
      </x:c>
      <x:c r="B18" t="str">
        <x:v>물가</x:v>
      </x:c>
      <x:c r="C18" t="str">
        <x:v>C19807</x:v>
      </x:c>
      <x:c r="D18" s="26" t="str">
        <x:v>비주류 음료 중에 커피·차 및 코코아가 38.2% 치솟았고, 생수·청량음료·과일주스 및 채소주스도 22.7% 상승했다.</x:v>
      </x:c>
      <x:c r="E18" s="26" t="str">
        <x:v>N</x:v>
      </x:c>
      <x:c r="F18" s="26" t="str">
        <x:v>정보 부족</x:v>
      </x:c>
      <x:c r="G18" s="26" t="str">
        <x:v>보류</x:v>
      </x:c>
      <x:c r="H18" s="26" t="str"/>
      <x:c r="I18" s="26" t="str">
        <x:v>검증가능여부;최종판정</x:v>
      </x:c>
      <x:c r="J18" s="26" t="str">
        <x:v>매핑 또는 판정 불일치</x:v>
      </x:c>
      <x:c r="K18" t="str"/>
      <x:c r="L18" t="str"/>
      <x:c r="M18" t="str"/>
      <x:c r="N18" t="str"/>
      <x:c r="O18" t="str">
        <x:v>판단불가</x:v>
      </x:c>
      <x:c r="P18" t="str"/>
    </x:row>
    <x:row r="19">
      <x:c r="A19" t="n">
        <x:v>21</x:v>
      </x:c>
      <x:c r="B19" t="str">
        <x:v>고용</x:v>
      </x:c>
      <x:c r="C19" t="str">
        <x:v>C00922</x:v>
      </x:c>
      <x:c r="D19" s="26" t="str">
        <x:v>실업률은 4.1%를 기록했다.</x:v>
      </x:c>
      <x:c r="E19" s="26" t="str">
        <x:v>N</x:v>
      </x:c>
      <x:c r="F19" s="26" t="str">
        <x:v>KOSIS 미제공</x:v>
      </x:c>
      <x:c r="G19" s="26" t="str">
        <x:v>보류</x:v>
      </x:c>
      <x:c r="H19" s="26" t="str"/>
      <x:c r="I19" s="26" t="str">
        <x:v>검증가능여부;최종판정</x:v>
      </x:c>
      <x:c r="J19" s="26" t="str">
        <x:v>매핑 또는 판정 불일치</x:v>
      </x:c>
      <x:c r="K19" t="str"/>
      <x:c r="L19" t="str"/>
      <x:c r="M19" t="str"/>
      <x:c r="N19" t="str"/>
      <x:c r="O19" t="str">
        <x:v>판단불가</x:v>
      </x:c>
      <x:c r="P19" t="str"/>
    </x:row>
    <x:row r="20">
      <x:c r="A20" t="n">
        <x:v>22</x:v>
      </x:c>
      <x:c r="B20" t="str">
        <x:v>고용</x:v>
      </x:c>
      <x:c r="C20" t="str">
        <x:v>C04658</x:v>
      </x:c>
      <x:c r="D20" s="26" t="str">
        <x:v>청년(15~29세)층 취업자는 전년 동월 대비 21만8000명 줄었고, 청년 고용률(44.8%)도 1.5%포인트 감소했다.</x:v>
      </x:c>
      <x:c r="E20" s="26" t="str">
        <x:v>N</x:v>
      </x:c>
      <x:c r="F20" s="26" t="str">
        <x:v>정보 부족</x:v>
      </x:c>
      <x:c r="G20" s="26" t="str">
        <x:v>보류</x:v>
      </x:c>
      <x:c r="H20" s="26" t="str"/>
      <x:c r="I20" s="26" t="str">
        <x:v>검증가능여부;최종판정</x:v>
      </x:c>
      <x:c r="J20" s="26" t="str">
        <x:v>매핑 또는 판정 불일치</x:v>
      </x:c>
      <x:c r="K20" t="str"/>
      <x:c r="L20" t="str"/>
      <x:c r="M20" t="str"/>
      <x:c r="N20" t="str"/>
      <x:c r="O20" t="str">
        <x:v>판단불가</x:v>
      </x:c>
      <x:c r="P20" t="str"/>
    </x:row>
    <x:row r="21">
      <x:c r="A21" t="n">
        <x:v>23</x:v>
      </x:c>
      <x:c r="B21" t="str">
        <x:v>고용</x:v>
      </x:c>
      <x:c r="C21" t="str">
        <x:v>C05292</x:v>
      </x:c>
      <x:c r="D21" s="26" t="str">
        <x:v>20일 통계청은 ‘2024년 하반기 지역별 고용조사’에서 지난해 하반기 울릉군의 고용률은 83.5%로, 전년 동기 대비 1.1%포인트 상승했다고 밝혔다.</x:v>
      </x:c>
      <x:c r="E21" s="26" t="str">
        <x:v>Y</x:v>
      </x:c>
      <x:c r="F21" s="26" t="str"/>
      <x:c r="G21" s="26" t="str">
        <x:v>보류</x:v>
      </x:c>
      <x:c r="H21" s="26" t="str"/>
      <x:c r="I21" s="26" t="str">
        <x:v>검증가능여부;통계표;항목;시점;최종판정</x:v>
      </x:c>
      <x:c r="J21" s="26" t="str">
        <x:v>코드북 미지원 또는 엄격 규칙에 따른 검증가능 행 보류</x:v>
      </x:c>
      <x:c r="K21" t="str">
        <x:v>DT_1ES3A03_A01S</x:v>
      </x:c>
      <x:c r="L21" t="str"/>
      <x:c r="M21" t="str">
        <x:v>202402</x:v>
      </x:c>
      <x:c r="N21" t="str"/>
      <x:c r="O21" t="str">
        <x:v>일치</x:v>
      </x:c>
      <x:c r="P21" t="str"/>
    </x:row>
    <x:row r="22">
      <x:c r="A22" t="n">
        <x:v>24</x:v>
      </x:c>
      <x:c r="B22" t="str">
        <x:v>고용</x:v>
      </x:c>
      <x:c r="C22" t="str">
        <x:v>C05293</x:v>
      </x:c>
      <x:c r="D22" s="26" t="str">
        <x:v>울릉군을 이어 2위는 청송군(81.8%)인데, 전체 시·군·구 중 고용률이 80%를 넘는 곳은 울릉군과 청송군뿐이었다.</x:v>
      </x:c>
      <x:c r="E22" s="26" t="str">
        <x:v>N</x:v>
      </x:c>
      <x:c r="F22" s="26" t="str">
        <x:v>정보 부족</x:v>
      </x:c>
      <x:c r="G22" s="26" t="str">
        <x:v>보류</x:v>
      </x:c>
      <x:c r="H22" s="26" t="str"/>
      <x:c r="I22" s="26" t="str">
        <x:v>검증가능여부;최종판정</x:v>
      </x:c>
      <x:c r="J22" s="26" t="str">
        <x:v>매핑 또는 판정 불일치</x:v>
      </x:c>
      <x:c r="K22" t="str"/>
      <x:c r="L22" t="str"/>
      <x:c r="M22" t="str"/>
      <x:c r="N22" t="str"/>
      <x:c r="O22" t="str">
        <x:v>판단불가</x:v>
      </x:c>
      <x:c r="P22" t="str"/>
    </x:row>
    <x:row r="23">
      <x:c r="A23" t="n">
        <x:v>25</x:v>
      </x:c>
      <x:c r="B23" t="str">
        <x:v>고용</x:v>
      </x:c>
      <x:c r="C23" t="str">
        <x:v>C05294</x:v>
      </x:c>
      <x:c r="D23" s="26" t="str">
        <x:v>반대로 고용률이 가장 낮은 곳은 부산의 대표적 구도심인 영도구(48.1%)로, 전국 시·군·구 중 유일하게 고용률 50%를 넘지 못했다.</x:v>
      </x:c>
      <x:c r="E23" s="26" t="str">
        <x:v>N</x:v>
      </x:c>
      <x:c r="F23" s="26" t="str">
        <x:v>정보 부족</x:v>
      </x:c>
      <x:c r="G23" s="26" t="str">
        <x:v>보류</x:v>
      </x:c>
      <x:c r="H23" s="26" t="str"/>
      <x:c r="I23" s="26" t="str">
        <x:v>검증가능여부;최종판정</x:v>
      </x:c>
      <x:c r="J23" s="26" t="str">
        <x:v>매핑 또는 판정 불일치</x:v>
      </x:c>
      <x:c r="K23" t="str"/>
      <x:c r="L23" t="str"/>
      <x:c r="M23" t="str"/>
      <x:c r="N23" t="str"/>
      <x:c r="O23" t="str">
        <x:v>판단불가</x:v>
      </x:c>
      <x:c r="P23" t="str"/>
    </x:row>
    <x:row r="24">
      <x:c r="A24" t="n">
        <x:v>26</x:v>
      </x:c>
      <x:c r="B24" t="str">
        <x:v>고용</x:v>
      </x:c>
      <x:c r="C24" t="str">
        <x:v>C05562</x:v>
      </x:c>
      <x:c r="D24" s="26" t="str">
        <x:v>지난해 기준 이 일자리의 30대 이하 비율은 25%로 5년 전(32%)보다 7%포인트 떨어졌다.</x:v>
      </x:c>
      <x:c r="E24" s="26" t="str">
        <x:v>N</x:v>
      </x:c>
      <x:c r="F24" s="26" t="str">
        <x:v>정보 부족</x:v>
      </x:c>
      <x:c r="G24" s="26" t="str">
        <x:v>보류</x:v>
      </x:c>
      <x:c r="H24" s="26" t="str"/>
      <x:c r="I24" s="26" t="str">
        <x:v>검증가능여부;최종판정</x:v>
      </x:c>
      <x:c r="J24" s="26" t="str">
        <x:v>매핑 또는 판정 불일치</x:v>
      </x:c>
      <x:c r="K24" t="str"/>
      <x:c r="L24" t="str"/>
      <x:c r="M24" t="str"/>
      <x:c r="N24" t="str"/>
      <x:c r="O24" t="str">
        <x:v>판단불가</x:v>
      </x:c>
      <x:c r="P24" t="str"/>
    </x:row>
    <x:row r="25">
      <x:c r="A25" t="n">
        <x:v>30</x:v>
      </x:c>
      <x:c r="B25" t="str">
        <x:v>고용</x:v>
      </x:c>
      <x:c r="C25" t="str">
        <x:v>C10453</x:v>
      </x:c>
      <x:c r="D25" s="26" t="str">
        <x:v>통계청에 따르면, 올해 1분기(1~3월) 도소매와 숙박음식점업 취업자 수는 552만7000명으로 전년 동기 대비 1만4000명 줄어들었다.</x:v>
      </x:c>
      <x:c r="E25" s="26" t="str">
        <x:v>N</x:v>
      </x:c>
      <x:c r="F25" s="26" t="str">
        <x:v>정보 부족</x:v>
      </x:c>
      <x:c r="G25" s="26" t="str">
        <x:v>보류</x:v>
      </x:c>
      <x:c r="H25" s="26" t="str"/>
      <x:c r="I25" s="26" t="str">
        <x:v>검증가능여부;최종판정</x:v>
      </x:c>
      <x:c r="J25" s="26" t="str">
        <x:v>매핑 또는 판정 불일치</x:v>
      </x:c>
      <x:c r="K25" t="str"/>
      <x:c r="L25" t="str"/>
      <x:c r="M25" t="str"/>
      <x:c r="N25" t="str"/>
      <x:c r="O25" t="str">
        <x:v>판단불가</x:v>
      </x:c>
      <x:c r="P25" t="str"/>
    </x:row>
    <x:row r="26">
      <x:c r="A26" t="n">
        <x:v>31</x:v>
      </x:c>
      <x:c r="B26" t="str">
        <x:v>고용</x:v>
      </x:c>
      <x:c r="C26" t="str">
        <x:v>C13306</x:v>
      </x:c>
      <x:c r="D26" s="26" t="str">
        <x:v>지난달 65세 이상 고용률은 40.4%로 전년 동월 대비 1.2%포인트 올랐다.</x:v>
      </x:c>
      <x:c r="E26" s="26" t="str">
        <x:v>Y</x:v>
      </x:c>
      <x:c r="F26" s="26" t="str"/>
      <x:c r="G26" s="26" t="str">
        <x:v>보류</x:v>
      </x:c>
      <x:c r="H26" s="26" t="str"/>
      <x:c r="I26" s="26" t="str">
        <x:v>검증가능여부;통계표;항목;시점;최종판정</x:v>
      </x:c>
      <x:c r="J26" s="26" t="str">
        <x:v>코드북 미지원 또는 엄격 규칙에 따른 검증가능 행 보류</x:v>
      </x:c>
      <x:c r="K26" t="str">
        <x:v>DT_1DA7002S</x:v>
      </x:c>
      <x:c r="L26" t="str"/>
      <x:c r="M26" t="str">
        <x:v>202504</x:v>
      </x:c>
      <x:c r="N26" t="str"/>
      <x:c r="O26" t="str">
        <x:v>일치</x:v>
      </x:c>
      <x:c r="P26" t="str"/>
    </x:row>
    <x:row r="27">
      <x:c r="A27" t="n">
        <x:v>32</x:v>
      </x:c>
      <x:c r="B27" t="str">
        <x:v>고용</x:v>
      </x:c>
      <x:c r="C27" t="str">
        <x:v>C13307</x:v>
      </x:c>
      <x:c r="D27" s="26" t="str">
        <x:v>반면 15~29세 청년층 고용률은 45.3%로 전년 동월 대비 0.9%포인트 감소했다.</x:v>
      </x:c>
      <x:c r="E27" s="26" t="str">
        <x:v>Y</x:v>
      </x:c>
      <x:c r="F27" s="26" t="str"/>
      <x:c r="G27" s="26" t="str">
        <x:v>보류</x:v>
      </x:c>
      <x:c r="H27" s="26" t="str"/>
      <x:c r="I27" s="26" t="str">
        <x:v>검증가능여부;통계표;항목;시점;최종판정</x:v>
      </x:c>
      <x:c r="J27" s="26" t="str">
        <x:v>코드북 미지원 또는 엄격 규칙에 따른 검증가능 행 보류</x:v>
      </x:c>
      <x:c r="K27" t="str">
        <x:v>DT_1DA7002S</x:v>
      </x:c>
      <x:c r="L27" t="str"/>
      <x:c r="M27" t="str">
        <x:v>202504</x:v>
      </x:c>
      <x:c r="N27" t="str"/>
      <x:c r="O27" t="str">
        <x:v>일치</x:v>
      </x:c>
      <x:c r="P27" t="str"/>
    </x:row>
    <x:row r="28">
      <x:c r="A28" t="n">
        <x:v>34</x:v>
      </x:c>
      <x:c r="B28" t="str">
        <x:v>고용</x:v>
      </x:c>
      <x:c r="C28" t="str">
        <x:v>C16599</x:v>
      </x:c>
      <x:c r="D28" s="26" t="str">
        <x:v>올해 1분기 고졸 실업률은 5.5%로 4년제 대학 이상 졸업자(6.9%)는 물론이고 전문대 졸업자(6.3%)보다도 낮았다.</x:v>
      </x:c>
      <x:c r="E28" s="26" t="str">
        <x:v>N</x:v>
      </x:c>
      <x:c r="F28" s="26" t="str">
        <x:v>정보 부족</x:v>
      </x:c>
      <x:c r="G28" s="26" t="str">
        <x:v>보류</x:v>
      </x:c>
      <x:c r="H28" s="26" t="str"/>
      <x:c r="I28" s="26" t="str">
        <x:v>검증가능여부;최종판정</x:v>
      </x:c>
      <x:c r="J28" s="26" t="str">
        <x:v>매핑 또는 판정 불일치</x:v>
      </x:c>
      <x:c r="K28" t="str"/>
      <x:c r="L28" t="str"/>
      <x:c r="M28" t="str"/>
      <x:c r="N28" t="str"/>
      <x:c r="O28" t="str">
        <x:v>판단불가</x:v>
      </x:c>
      <x:c r="P28" t="str"/>
    </x:row>
    <x:row r="29">
      <x:c r="A29" t="n">
        <x:v>35</x:v>
      </x:c>
      <x:c r="B29" t="str">
        <x:v>고용</x:v>
      </x:c>
      <x:c r="C29" t="str">
        <x:v>C16603</x:v>
      </x:c>
      <x:c r="D29" s="26" t="str">
        <x:v>50대도 고졸 실업률이 2%, 대졸이 1.5%로 마찬가지였다.</x:v>
      </x:c>
      <x:c r="E29" s="26" t="str">
        <x:v>N</x:v>
      </x:c>
      <x:c r="F29" s="26" t="str">
        <x:v>정보 부족</x:v>
      </x:c>
      <x:c r="G29" s="26" t="str">
        <x:v>보류</x:v>
      </x:c>
      <x:c r="H29" s="26" t="str"/>
      <x:c r="I29" s="26" t="str">
        <x:v>검증가능여부;최종판정</x:v>
      </x:c>
      <x:c r="J29" s="26" t="str">
        <x:v>매핑 또는 판정 불일치</x:v>
      </x:c>
      <x:c r="K29" t="str"/>
      <x:c r="L29" t="str"/>
      <x:c r="M29" t="str"/>
      <x:c r="N29" t="str"/>
      <x:c r="O29" t="str">
        <x:v>판단불가</x:v>
      </x:c>
      <x:c r="P29" t="str"/>
    </x:row>
    <x:row r="30">
      <x:c r="A30" t="n">
        <x:v>36</x:v>
      </x:c>
      <x:c r="B30" t="str">
        <x:v>고용</x:v>
      </x:c>
      <x:c r="C30" t="str">
        <x:v>C18303</x:v>
      </x:c>
      <x:c r="D30" s="26" t="str">
        <x:v>보고서에 따르면 민간 서비스업은 지난해 명목 국내총생산(GDP)의 44%, 취업자 수의 65%를 차지하는 수준으로 커졌지만 코로나 팬데믹 이후 생산성은 장기 추세보다 7~10% 밑돌며 정체되고 있다.</x:v>
      </x:c>
      <x:c r="E30" s="26" t="str">
        <x:v>N</x:v>
      </x:c>
      <x:c r="F30" s="26" t="str">
        <x:v>KOSIS 미제공</x:v>
      </x:c>
      <x:c r="G30" s="26" t="str">
        <x:v>보류</x:v>
      </x:c>
      <x:c r="H30" s="26" t="str"/>
      <x:c r="I30" s="26" t="str">
        <x:v>검증가능여부;최종판정</x:v>
      </x:c>
      <x:c r="J30" s="26" t="str">
        <x:v>매핑 또는 판정 불일치</x:v>
      </x:c>
      <x:c r="K30" t="str"/>
      <x:c r="L30" t="str"/>
      <x:c r="M30" t="str"/>
      <x:c r="N30" t="str"/>
      <x:c r="O30" t="str">
        <x:v>판단불가</x:v>
      </x:c>
      <x:c r="P30" t="str"/>
    </x:row>
    <x:row r="31">
      <x:c r="A31" t="n">
        <x:v>37</x:v>
      </x:c>
      <x:c r="B31" t="str">
        <x:v>고용</x:v>
      </x:c>
      <x:c r="C31" t="str">
        <x:v>C19864</x:v>
      </x:c>
      <x:c r="D31" s="26" t="str">
        <x:v>올해 8월 20대 고용률은 60.5%로 전년보다 1.2%포인트(p) 하락했다.</x:v>
      </x:c>
      <x:c r="E31" s="26" t="str">
        <x:v>Y</x:v>
      </x:c>
      <x:c r="F31" s="26" t="str"/>
      <x:c r="G31" s="26" t="str">
        <x:v>보류</x:v>
      </x:c>
      <x:c r="H31" s="26" t="str"/>
      <x:c r="I31" s="26" t="str">
        <x:v>검증가능여부;통계표;항목;시점;최종판정</x:v>
      </x:c>
      <x:c r="J31" s="26" t="str">
        <x:v>코드북 미지원 또는 엄격 규칙에 따른 검증가능 행 보류</x:v>
      </x:c>
      <x:c r="K31" t="str">
        <x:v>DT_1DA7002S</x:v>
      </x:c>
      <x:c r="L31" t="str"/>
      <x:c r="M31" t="str">
        <x:v>202508</x:v>
      </x:c>
      <x:c r="N31" t="str"/>
      <x:c r="O31" t="str">
        <x:v>일치</x:v>
      </x:c>
      <x:c r="P31" t="str"/>
    </x:row>
    <x:row r="32">
      <x:c r="A32" t="n">
        <x:v>38</x:v>
      </x:c>
      <x:c r="B32" t="str">
        <x:v>고용</x:v>
      </x:c>
      <x:c r="C32" t="str">
        <x:v>C20111</x:v>
      </x:c>
      <x:c r="D32" s="26" t="str">
        <x:v>상대적으로 부진했던 1월과 5월에도 전체 산업 취업자의 전년 대비 증가분 90%가량은 보건업 및 사회복지 서비스업이었다.</x:v>
      </x:c>
      <x:c r="E32" s="26" t="str">
        <x:v>N</x:v>
      </x:c>
      <x:c r="F32" s="26" t="str">
        <x:v>정보 부족</x:v>
      </x:c>
      <x:c r="G32" s="26" t="str">
        <x:v>보류</x:v>
      </x:c>
      <x:c r="H32" s="26" t="str"/>
      <x:c r="I32" s="26" t="str">
        <x:v>검증가능여부;최종판정</x:v>
      </x:c>
      <x:c r="J32" s="26" t="str">
        <x:v>매핑 또는 판정 불일치</x:v>
      </x:c>
      <x:c r="K32" t="str"/>
      <x:c r="L32" t="str"/>
      <x:c r="M32" t="str"/>
      <x:c r="N32" t="str"/>
      <x:c r="O32" t="str">
        <x:v>판단불가</x:v>
      </x:c>
      <x:c r="P32" t="str"/>
    </x:row>
    <x:row r="33">
      <x:c r="A33" t="n">
        <x:v>39</x:v>
      </x:c>
      <x:c r="B33" t="str">
        <x:v>고용</x:v>
      </x:c>
      <x:c r="C33" t="str">
        <x:v>C20115</x:v>
      </x:c>
      <x:c r="D33" s="26" t="str">
        <x:v>조사 시점을 기준으로 최근 3개월간 비거주 복지시설 운영업 취업자의 평균 임금은 125만원이다.</x:v>
      </x:c>
      <x:c r="E33" s="26" t="str">
        <x:v>N</x:v>
      </x:c>
      <x:c r="F33" s="26" t="str">
        <x:v>정보 부족</x:v>
      </x:c>
      <x:c r="G33" s="26" t="str">
        <x:v>보류</x:v>
      </x:c>
      <x:c r="H33" s="26" t="str"/>
      <x:c r="I33" s="26" t="str">
        <x:v>검증가능여부;최종판정</x:v>
      </x:c>
      <x:c r="J33" s="26" t="str">
        <x:v>매핑 또는 판정 불일치</x:v>
      </x:c>
      <x:c r="K33" t="str"/>
      <x:c r="L33" t="str"/>
      <x:c r="M33" t="str"/>
      <x:c r="N33" t="str"/>
      <x:c r="O33" t="str">
        <x:v>판단불가</x:v>
      </x:c>
      <x:c r="P33" t="str"/>
    </x:row>
    <x:row r="34">
      <x:c r="A34" t="n">
        <x:v>40</x:v>
      </x:c>
      <x:c r="B34" t="str">
        <x:v>고용</x:v>
      </x:c>
      <x:c r="C34" t="str">
        <x:v>C20133</x:v>
      </x:c>
      <x:c r="D34" s="26" t="str">
        <x:v>올해 상반기 취업자는 매장판매종사자(153만9000명, 5.3%), 청소관련종사자(127만2000명, 4.4%), 작물재배종사자(120만5000명, 4.2%) 순이었다.</x:v>
      </x:c>
      <x:c r="E34" s="26" t="str">
        <x:v>N</x:v>
      </x:c>
      <x:c r="F34" s="26" t="str">
        <x:v>정보 부족</x:v>
      </x:c>
      <x:c r="G34" s="26" t="str">
        <x:v>보류</x:v>
      </x:c>
      <x:c r="H34" s="26" t="str"/>
      <x:c r="I34" s="26" t="str">
        <x:v>검증가능여부;최종판정</x:v>
      </x:c>
      <x:c r="J34" s="26" t="str">
        <x:v>매핑 또는 판정 불일치</x:v>
      </x:c>
      <x:c r="K34" t="str"/>
      <x:c r="L34" t="str"/>
      <x:c r="M34" t="str"/>
      <x:c r="N34" t="str"/>
      <x:c r="O34" t="str">
        <x:v>판단불가</x:v>
      </x:c>
      <x:c r="P34" t="str"/>
    </x:row>
    <x:row r="35">
      <x:c r="A35" t="n">
        <x:v>41</x:v>
      </x:c>
      <x:c r="B35" t="str">
        <x:v>무역</x:v>
      </x:c>
      <x:c r="C35" t="str">
        <x:v>C00180</x:v>
      </x:c>
      <x:c r="D35" s="26" t="str">
        <x:v>작년 수출이 역대 최대 실적을 달성한 것은 4개월 연속 둔화세를 보이던 수출이 지난달 선방했기 때문이다.</x:v>
      </x:c>
      <x:c r="E35" s="26" t="str">
        <x:v>N</x:v>
      </x:c>
      <x:c r="F35" s="26" t="str">
        <x:v>정보 부족</x:v>
      </x:c>
      <x:c r="G35" s="26" t="str">
        <x:v>보류</x:v>
      </x:c>
      <x:c r="H35" s="26" t="str"/>
      <x:c r="I35" s="26" t="str">
        <x:v>검증가능여부;최종판정</x:v>
      </x:c>
      <x:c r="J35" s="26" t="str">
        <x:v>매핑 또는 판정 불일치</x:v>
      </x:c>
      <x:c r="K35" t="str"/>
      <x:c r="L35" t="str"/>
      <x:c r="M35" t="str"/>
      <x:c r="N35" t="str"/>
      <x:c r="O35" t="str">
        <x:v>판단불가</x:v>
      </x:c>
      <x:c r="P35" t="str"/>
    </x:row>
    <x:row r="36">
      <x:c r="A36" t="n">
        <x:v>42</x:v>
      </x:c>
      <x:c r="B36" t="str">
        <x:v>무역</x:v>
      </x:c>
      <x:c r="C36" t="str">
        <x:v>C00781</x:v>
      </x:c>
      <x:c r="D36" s="26" t="str">
        <x:v>그간 트럼프는 모든 수입품에 10~20%의 ‘보편 관세’를 부과하겠다고 공약해 왔다.</x:v>
      </x:c>
      <x:c r="E36" s="26" t="str">
        <x:v>N</x:v>
      </x:c>
      <x:c r="F36" s="26" t="str">
        <x:v>KOSIS 미제공</x:v>
      </x:c>
      <x:c r="G36" s="26" t="str">
        <x:v>보류</x:v>
      </x:c>
      <x:c r="H36" s="26" t="str"/>
      <x:c r="I36" s="26" t="str">
        <x:v>검증가능여부;최종판정</x:v>
      </x:c>
      <x:c r="J36" s="26" t="str">
        <x:v>매핑 또는 판정 불일치</x:v>
      </x:c>
      <x:c r="K36" t="str"/>
      <x:c r="L36" t="str"/>
      <x:c r="M36" t="str"/>
      <x:c r="N36" t="str"/>
      <x:c r="O36" t="str">
        <x:v>판단불가</x:v>
      </x:c>
      <x:c r="P36" t="str"/>
    </x:row>
    <x:row r="37">
      <x:c r="A37" t="n">
        <x:v>43</x:v>
      </x:c>
      <x:c r="B37" t="str">
        <x:v>무역</x:v>
      </x:c>
      <x:c r="C37" t="str">
        <x:v>C00807</x:v>
      </x:c>
      <x:c r="D37" s="26" t="str">
        <x:v>또 “실물 경기 회복을 위한 역대 최대 수준의 정책 금융 248조 원을 상반기 최대 60%까지 신속하게 집행하고, 기업 상장 유지 요건 완화, 상장 폐지 절차 효율화를 포함한 상장 폐지 제도개선 방안을 다음달까지 조속히 마련하겠다”고 했다.</x:v>
      </x:c>
      <x:c r="E37" s="26" t="str">
        <x:v>N</x:v>
      </x:c>
      <x:c r="F37" s="26" t="str">
        <x:v>KOSIS 미제공</x:v>
      </x:c>
      <x:c r="G37" s="26" t="str">
        <x:v>보류</x:v>
      </x:c>
      <x:c r="H37" s="26" t="str"/>
      <x:c r="I37" s="26" t="str">
        <x:v>검증가능여부;최종판정</x:v>
      </x:c>
      <x:c r="J37" s="26" t="str">
        <x:v>매핑 또는 판정 불일치</x:v>
      </x:c>
      <x:c r="K37" t="str"/>
      <x:c r="L37" t="str"/>
      <x:c r="M37" t="str"/>
      <x:c r="N37" t="str"/>
      <x:c r="O37" t="str">
        <x:v>판단불가</x:v>
      </x:c>
      <x:c r="P37" t="str"/>
    </x:row>
    <x:row r="38">
      <x:c r="A38" t="n">
        <x:v>44</x:v>
      </x:c>
      <x:c r="B38" t="str">
        <x:v>무역</x:v>
      </x:c>
      <x:c r="C38" t="str">
        <x:v>C00812</x:v>
      </x:c>
      <x:c r="D38" s="26" t="str">
        <x:v>대(對)미국 수출은 15억9000만달러로 2023년보다 21.2% 늘었다.</x:v>
      </x:c>
      <x:c r="E38" s="26" t="str">
        <x:v>N</x:v>
      </x:c>
      <x:c r="F38" s="26" t="str">
        <x:v>지역·분류 불일치</x:v>
      </x:c>
      <x:c r="G38" s="26" t="str">
        <x:v>보류</x:v>
      </x:c>
      <x:c r="H38" s="26" t="str"/>
      <x:c r="I38" s="26" t="str">
        <x:v>검증가능여부;최종판정</x:v>
      </x:c>
      <x:c r="J38" s="26" t="str">
        <x:v>매핑 또는 판정 불일치</x:v>
      </x:c>
      <x:c r="K38" t="str"/>
      <x:c r="L38" t="str"/>
      <x:c r="M38" t="str"/>
      <x:c r="N38" t="str"/>
      <x:c r="O38" t="str">
        <x:v>판단불가</x:v>
      </x:c>
      <x:c r="P38" t="str"/>
    </x:row>
    <x:row r="39">
      <x:c r="A39" t="n">
        <x:v>45</x:v>
      </x:c>
      <x:c r="B39" t="str">
        <x:v>무역</x:v>
      </x:c>
      <x:c r="C39" t="str">
        <x:v>C01303</x:v>
      </x:c>
      <x:c r="D39" s="26" t="str">
        <x:v>유럽연합(-2.5%), 일본(-4.2%)은 반면 수출이 줄었다.</x:v>
      </x:c>
      <x:c r="E39" s="26" t="str">
        <x:v>N</x:v>
      </x:c>
      <x:c r="F39" s="26" t="str">
        <x:v>정보 부족</x:v>
      </x:c>
      <x:c r="G39" s="26" t="str">
        <x:v>보류</x:v>
      </x:c>
      <x:c r="H39" s="26" t="str"/>
      <x:c r="I39" s="26" t="str">
        <x:v>검증가능여부;최종판정</x:v>
      </x:c>
      <x:c r="J39" s="26" t="str">
        <x:v>매핑 또는 판정 불일치</x:v>
      </x:c>
      <x:c r="K39" t="str"/>
      <x:c r="L39" t="str"/>
      <x:c r="M39" t="str"/>
      <x:c r="N39" t="str"/>
      <x:c r="O39" t="str">
        <x:v>판단불가</x:v>
      </x:c>
      <x:c r="P39" t="str"/>
    </x:row>
    <x:row r="40">
      <x:c r="A40" t="n">
        <x:v>46</x:v>
      </x:c>
      <x:c r="B40" t="str">
        <x:v>무역</x:v>
      </x:c>
      <x:c r="C40" t="str">
        <x:v>C04941</x:v>
      </x:c>
      <x:c r="D40" s="26" t="str">
        <x:v>전체 국세 수입 중 근로소득세 비율도 18%를 넘어 역대 최고를 기록했다.</x:v>
      </x:c>
      <x:c r="E40" s="26" t="str">
        <x:v>N</x:v>
      </x:c>
      <x:c r="F40" s="26" t="str">
        <x:v>지역·분류 불일치</x:v>
      </x:c>
      <x:c r="G40" s="26" t="str">
        <x:v>보류</x:v>
      </x:c>
      <x:c r="H40" s="26" t="str"/>
      <x:c r="I40" s="26" t="str">
        <x:v>검증가능여부;최종판정</x:v>
      </x:c>
      <x:c r="J40" s="26" t="str">
        <x:v>매핑 또는 판정 불일치</x:v>
      </x:c>
      <x:c r="K40" t="str"/>
      <x:c r="L40" t="str"/>
      <x:c r="M40" t="str"/>
      <x:c r="N40" t="str"/>
      <x:c r="O40" t="str">
        <x:v>판단불가</x:v>
      </x:c>
      <x:c r="P40" t="str"/>
    </x:row>
    <x:row r="41">
      <x:c r="A41" t="n">
        <x:v>47</x:v>
      </x:c>
      <x:c r="B41" t="str">
        <x:v>무역</x:v>
      </x:c>
      <x:c r="C41" t="str">
        <x:v>C05059</x:v>
      </x:c>
      <x:c r="D41" s="26" t="str">
        <x:v>17일 니혼게이자이신문(닛케이) 아시아판은 “최근 트럼프 정부가 모든 중국 수입품에 10% 관세를 추가로 부과하는 등 견제를 강화하고 있지만, 중국 역시 이에 맞서 선제적으로 주요 국가들과의 관계 개선에 박차를 가한 덕분에 국제적 입지가 달라지고 있다”고 했다.</x:v>
      </x:c>
      <x:c r="E41" s="26" t="str">
        <x:v>N</x:v>
      </x:c>
      <x:c r="F41" s="26" t="str">
        <x:v>KOSIS 미제공</x:v>
      </x:c>
      <x:c r="G41" s="26" t="str">
        <x:v>보류</x:v>
      </x:c>
      <x:c r="H41" s="26" t="str"/>
      <x:c r="I41" s="26" t="str">
        <x:v>검증가능여부;최종판정</x:v>
      </x:c>
      <x:c r="J41" s="26" t="str">
        <x:v>매핑 또는 판정 불일치</x:v>
      </x:c>
      <x:c r="K41" t="str"/>
      <x:c r="L41" t="str"/>
      <x:c r="M41" t="str"/>
      <x:c r="N41" t="str"/>
      <x:c r="O41" t="str">
        <x:v>판단불가</x:v>
      </x:c>
      <x:c r="P41" t="str"/>
    </x:row>
    <x:row r="42">
      <x:c r="A42" t="n">
        <x:v>48</x:v>
      </x:c>
      <x:c r="B42" t="str">
        <x:v>무역</x:v>
      </x:c>
      <x:c r="C42" t="str">
        <x:v>C07217</x:v>
      </x:c>
      <x:c r="D42" s="26" t="str">
        <x:v>미국 시장에서 지난 35년간 가장 많은 누적 판매량을 기록한 베스트셀러다.</x:v>
      </x:c>
      <x:c r="E42" s="26" t="str">
        <x:v>N</x:v>
      </x:c>
      <x:c r="F42" s="26" t="str">
        <x:v>KOSIS 미제공</x:v>
      </x:c>
      <x:c r="G42" s="26" t="str">
        <x:v>보류</x:v>
      </x:c>
      <x:c r="H42" s="26" t="str"/>
      <x:c r="I42" s="26" t="str">
        <x:v>검증가능여부;최종판정</x:v>
      </x:c>
      <x:c r="J42" s="26" t="str">
        <x:v>매핑 또는 판정 불일치</x:v>
      </x:c>
      <x:c r="K42" t="str"/>
      <x:c r="L42" t="str"/>
      <x:c r="M42" t="str"/>
      <x:c r="N42" t="str"/>
      <x:c r="O42" t="str">
        <x:v>판단불가</x:v>
      </x:c>
      <x:c r="P42" t="str"/>
    </x:row>
    <x:row r="43">
      <x:c r="A43" t="n">
        <x:v>49</x:v>
      </x:c>
      <x:c r="B43" t="str">
        <x:v>무역</x:v>
      </x:c>
      <x:c r="C43" t="str">
        <x:v>C09047</x:v>
      </x:c>
      <x:c r="D43" s="26" t="str">
        <x:v>이는 각국의 철강·알루미늄·자동차 등에 대한 25% 품목 관세를 시작으로 트럼프의 관세 전쟁이 본격화되는 영향이라는 분석이 나온다.</x:v>
      </x:c>
      <x:c r="E43" s="26" t="str">
        <x:v>N</x:v>
      </x:c>
      <x:c r="F43" s="26" t="str">
        <x:v>KOSIS 미제공</x:v>
      </x:c>
      <x:c r="G43" s="26" t="str">
        <x:v>보류</x:v>
      </x:c>
      <x:c r="H43" s="26" t="str"/>
      <x:c r="I43" s="26" t="str">
        <x:v>검증가능여부;최종판정</x:v>
      </x:c>
      <x:c r="J43" s="26" t="str">
        <x:v>매핑 또는 판정 불일치</x:v>
      </x:c>
      <x:c r="K43" t="str"/>
      <x:c r="L43" t="str"/>
      <x:c r="M43" t="str"/>
      <x:c r="N43" t="str"/>
      <x:c r="O43" t="str">
        <x:v>판단불가</x:v>
      </x:c>
      <x:c r="P43" t="str"/>
    </x:row>
    <x:row r="44">
      <x:c r="A44" t="n">
        <x:v>50</x:v>
      </x:c>
      <x:c r="B44" t="str">
        <x:v>무역</x:v>
      </x:c>
      <x:c r="C44" t="str">
        <x:v>C09181</x:v>
      </x:c>
      <x:c r="D44" s="26" t="str">
        <x:v>한편, 현대차는 지난달 수출이 작년 동기 대비 2.6% 줄었고, 수출 물량의 90% 안팎이 미국으로 향하는 GM 한국사업장도 같은 기간 수출이 19.3% 급감했다.</x:v>
      </x:c>
      <x:c r="E44" s="26" t="str">
        <x:v>N</x:v>
      </x:c>
      <x:c r="F44" s="26" t="str">
        <x:v>KOSIS 미제공</x:v>
      </x:c>
      <x:c r="G44" s="26" t="str">
        <x:v>보류</x:v>
      </x:c>
      <x:c r="H44" s="26" t="str"/>
      <x:c r="I44" s="26" t="str">
        <x:v>검증가능여부;최종판정</x:v>
      </x:c>
      <x:c r="J44" s="26" t="str">
        <x:v>매핑 또는 판정 불일치</x:v>
      </x:c>
      <x:c r="K44" t="str"/>
      <x:c r="L44" t="str"/>
      <x:c r="M44" t="str"/>
      <x:c r="N44" t="str"/>
      <x:c r="O44" t="str">
        <x:v>판단불가</x:v>
      </x:c>
      <x:c r="P44" t="str"/>
    </x:row>
    <x:row r="45">
      <x:c r="A45" t="n">
        <x:v>52</x:v>
      </x:c>
      <x:c r="B45" t="str">
        <x:v>무역</x:v>
      </x:c>
      <x:c r="C45" t="str">
        <x:v>C10746</x:v>
      </x:c>
      <x:c r="D45" s="26" t="str">
        <x:v>실제 트럼프 1기였던 지난 2019년 중국이 미국 대두에 대해 25% 추가 관세를 부과하자, 한국의 미국산 대두 수입량이 전년 대비 55% 급증한 바 있다.</x:v>
      </x:c>
      <x:c r="E45" s="26" t="str">
        <x:v>N</x:v>
      </x:c>
      <x:c r="F45" s="26" t="str">
        <x:v>지역·분류 불일치</x:v>
      </x:c>
      <x:c r="G45" s="26" t="str">
        <x:v>보류</x:v>
      </x:c>
      <x:c r="H45" s="26" t="str"/>
      <x:c r="I45" s="26" t="str">
        <x:v>검증가능여부;최종판정</x:v>
      </x:c>
      <x:c r="J45" s="26" t="str">
        <x:v>매핑 또는 판정 불일치</x:v>
      </x:c>
      <x:c r="K45" t="str"/>
      <x:c r="L45" t="str"/>
      <x:c r="M45" t="str"/>
      <x:c r="N45" t="str"/>
      <x:c r="O45" t="str">
        <x:v>판단불가</x:v>
      </x:c>
      <x:c r="P45" t="str"/>
    </x:row>
    <x:row r="46">
      <x:c r="A46" t="n">
        <x:v>54</x:v>
      </x:c>
      <x:c r="B46" t="str">
        <x:v>무역</x:v>
      </x:c>
      <x:c r="C46" t="str">
        <x:v>C12782</x:v>
      </x:c>
      <x:c r="D46" s="26" t="str">
        <x:v>트럼프는 협의가 잘되면 중국에 대한 관세를 낮출 수 있냐는 질문에 “그럴 수도 있다”며 “145%보다 더 높아질 수는 없지 않냐.</x:v>
      </x:c>
      <x:c r="E46" s="26" t="str">
        <x:v>N</x:v>
      </x:c>
      <x:c r="F46" s="26" t="str">
        <x:v>KOSIS 미제공</x:v>
      </x:c>
      <x:c r="G46" s="26" t="str">
        <x:v>보류</x:v>
      </x:c>
      <x:c r="H46" s="26" t="str"/>
      <x:c r="I46" s="26" t="str">
        <x:v>검증가능여부;최종판정</x:v>
      </x:c>
      <x:c r="J46" s="26" t="str">
        <x:v>매핑 또는 판정 불일치</x:v>
      </x:c>
      <x:c r="K46" t="str"/>
      <x:c r="L46" t="str"/>
      <x:c r="M46" t="str"/>
      <x:c r="N46" t="str"/>
      <x:c r="O46" t="str">
        <x:v>판단불가</x:v>
      </x:c>
      <x:c r="P46" t="str"/>
    </x:row>
    <x:row r="47">
      <x:c r="A47" t="n">
        <x:v>55</x:v>
      </x:c>
      <x:c r="B47" t="str">
        <x:v>무역</x:v>
      </x:c>
      <x:c r="C47" t="str">
        <x:v>C13767</x:v>
      </x:c>
      <x:c r="D47" s="26" t="str">
        <x:v>1~4월 전체 오징어 수출량도 9071톤으로 전년 동기(2272톤) 대비 299% 폭증했다.</x:v>
      </x:c>
      <x:c r="E47" s="26" t="str">
        <x:v>N</x:v>
      </x:c>
      <x:c r="F47" s="26" t="str">
        <x:v>지역·분류 불일치</x:v>
      </x:c>
      <x:c r="G47" s="26" t="str">
        <x:v>보류</x:v>
      </x:c>
      <x:c r="H47" s="26" t="str"/>
      <x:c r="I47" s="26" t="str">
        <x:v>검증가능여부;최종판정</x:v>
      </x:c>
      <x:c r="J47" s="26" t="str">
        <x:v>매핑 또는 판정 불일치</x:v>
      </x:c>
      <x:c r="K47" t="str"/>
      <x:c r="L47" t="str"/>
      <x:c r="M47" t="str"/>
      <x:c r="N47" t="str"/>
      <x:c r="O47" t="str">
        <x:v>판단불가</x:v>
      </x:c>
      <x:c r="P47" t="str"/>
    </x:row>
    <x:row r="48">
      <x:c r="A48" t="n">
        <x:v>56</x:v>
      </x:c>
      <x:c r="B48" t="str">
        <x:v>무역</x:v>
      </x:c>
      <x:c r="C48" t="str">
        <x:v>C14905</x:v>
      </x:c>
      <x:c r="D48" s="26" t="str">
        <x:v>그는 “철강·알루미늄에 대한 관세를 25%에서 50%로 인상하게 돼 큰 영광”이라며 “이는 6월 4일 수요일부터 시행된다”고 말했다.</x:v>
      </x:c>
      <x:c r="E48" s="26" t="str">
        <x:v>N</x:v>
      </x:c>
      <x:c r="F48" s="26" t="str">
        <x:v>KOSIS 미제공</x:v>
      </x:c>
      <x:c r="G48" s="26" t="str">
        <x:v>보류</x:v>
      </x:c>
      <x:c r="H48" s="26" t="str"/>
      <x:c r="I48" s="26" t="str">
        <x:v>검증가능여부;최종판정</x:v>
      </x:c>
      <x:c r="J48" s="26" t="str">
        <x:v>매핑 또는 판정 불일치</x:v>
      </x:c>
      <x:c r="K48" t="str"/>
      <x:c r="L48" t="str"/>
      <x:c r="M48" t="str"/>
      <x:c r="N48" t="str"/>
      <x:c r="O48" t="str">
        <x:v>판단불가</x:v>
      </x:c>
      <x:c r="P48" t="str"/>
    </x:row>
    <x:row r="49">
      <x:c r="A49" t="n">
        <x:v>57</x:v>
      </x:c>
      <x:c r="B49" t="str">
        <x:v>무역</x:v>
      </x:c>
      <x:c r="C49" t="str">
        <x:v>C15896</x:v>
      </x:c>
      <x:c r="D49" s="26" t="str">
        <x:v>관세가 부과되기 전인 지난 3월 기준 미국 내 자동차 딜러들의 재고 일수는 평균 70일 안팎이었다.</x:v>
      </x:c>
      <x:c r="E49" s="26" t="str">
        <x:v>N</x:v>
      </x:c>
      <x:c r="F49" s="26" t="str">
        <x:v>KOSIS 미제공</x:v>
      </x:c>
      <x:c r="G49" s="26" t="str">
        <x:v>보류</x:v>
      </x:c>
      <x:c r="H49" s="26" t="str"/>
      <x:c r="I49" s="26" t="str">
        <x:v>검증가능여부;최종판정</x:v>
      </x:c>
      <x:c r="J49" s="26" t="str">
        <x:v>매핑 또는 판정 불일치</x:v>
      </x:c>
      <x:c r="K49" t="str"/>
      <x:c r="L49" t="str"/>
      <x:c r="M49" t="str"/>
      <x:c r="N49" t="str"/>
      <x:c r="O49" t="str">
        <x:v>판단불가</x:v>
      </x:c>
      <x:c r="P49" t="str"/>
    </x:row>
    <x:row r="50">
      <x:c r="A50" t="n">
        <x:v>58</x:v>
      </x:c>
      <x:c r="B50" t="str">
        <x:v>무역</x:v>
      </x:c>
      <x:c r="C50" t="str">
        <x:v>C16196</x:v>
      </x:c>
      <x:c r="D50" s="26" t="str">
        <x:v>12일 한국무역협회가 발표한 ‘글로벌 첨단 기술 제품 공급망 구조 변화 및 시사점’ 보고서에 따르면, 2014년부터 지난해까지 미국 첨단 기술 제품 수입 시장에서 한국산이 차지하는 비율은 약 2.25%에서 1.73%p 늘어난 3.98%에 머물렀다.</x:v>
      </x:c>
      <x:c r="E50" s="26" t="str">
        <x:v>N</x:v>
      </x:c>
      <x:c r="F50" s="26" t="str">
        <x:v>KOSIS 미제공</x:v>
      </x:c>
      <x:c r="G50" s="26" t="str">
        <x:v>보류</x:v>
      </x:c>
      <x:c r="H50" s="26" t="str"/>
      <x:c r="I50" s="26" t="str">
        <x:v>검증가능여부;최종판정</x:v>
      </x:c>
      <x:c r="J50" s="26" t="str">
        <x:v>매핑 또는 판정 불일치</x:v>
      </x:c>
      <x:c r="K50" t="str"/>
      <x:c r="L50" t="str"/>
      <x:c r="M50" t="str"/>
      <x:c r="N50" t="str"/>
      <x:c r="O50" t="str">
        <x:v>판단불가</x:v>
      </x:c>
      <x:c r="P50" t="str"/>
    </x:row>
    <x:row r="51">
      <x:c r="A51" t="n">
        <x:v>59</x:v>
      </x:c>
      <x:c r="B51" t="str">
        <x:v>무역</x:v>
      </x:c>
      <x:c r="C51" t="str">
        <x:v>C18761</x:v>
      </x:c>
      <x:c r="D51" s="26" t="str">
        <x:v>한국의 경우 대미 관세가 이미 0%이기 때문에, 미국으로선 이를 통해 무역 적자를 줄이겠다는 것이다.</x:v>
      </x:c>
      <x:c r="E51" s="26" t="str">
        <x:v>N</x:v>
      </x:c>
      <x:c r="F51" s="26" t="str">
        <x:v>KOSIS 미제공</x:v>
      </x:c>
      <x:c r="G51" s="26" t="str">
        <x:v>보류</x:v>
      </x:c>
      <x:c r="H51" s="26" t="str"/>
      <x:c r="I51" s="26" t="str">
        <x:v>검증가능여부;최종판정</x:v>
      </x:c>
      <x:c r="J51" s="26" t="str">
        <x:v>매핑 또는 판정 불일치</x:v>
      </x:c>
      <x:c r="K51" t="str"/>
      <x:c r="L51" t="str"/>
      <x:c r="M51" t="str"/>
      <x:c r="N51" t="str"/>
      <x:c r="O51" t="str">
        <x:v>판단불가</x:v>
      </x:c>
      <x:c r="P51" t="str"/>
    </x:row>
    <x:row r="52">
      <x:c r="A52" t="n">
        <x:v>60</x:v>
      </x:c>
      <x:c r="B52" t="str">
        <x:v>무역</x:v>
      </x:c>
      <x:c r="C52" t="str">
        <x:v>C20443</x:v>
      </x:c>
      <x:c r="D52" s="26" t="str">
        <x:v>10월 수출은 전년 동월 대비 3.6% 증가에 그쳤다.</x:v>
      </x:c>
      <x:c r="E52" s="26" t="str">
        <x:v>Y</x:v>
      </x:c>
      <x:c r="F52" s="26" t="str"/>
      <x:c r="G52" s="26" t="str">
        <x:v>보류</x:v>
      </x:c>
      <x:c r="H52" s="26" t="str"/>
      <x:c r="I52" s="26" t="str">
        <x:v>검증가능여부;통계표;항목;시점;최종판정</x:v>
      </x:c>
      <x:c r="J52" s="26" t="str">
        <x:v>코드북 미지원 또는 엄격 규칙에 따른 검증가능 행 보류</x:v>
      </x:c>
      <x:c r="K52" t="str">
        <x:v>DT_1R11001_FRM101</x:v>
      </x:c>
      <x:c r="L52" t="str"/>
      <x:c r="M52" t="str">
        <x:v>202510</x:v>
      </x:c>
      <x:c r="N52" t="str"/>
      <x:c r="O52" t="str">
        <x:v>일치</x:v>
      </x:c>
      <x:c r="P52" t="str"/>
    </x:row>
    <x:row r="53">
      <x:c r="A53" t="n">
        <x:v>61</x:v>
      </x:c>
      <x:c r="B53" t="str">
        <x:v>인구</x:v>
      </x:c>
      <x:c r="C53" t="str">
        <x:v>C03660</x:v>
      </x:c>
      <x:c r="D53" s="26" t="str">
        <x:v>이 중 60% 이상은 한창 일할 나이인 25~54세였다.</x:v>
      </x:c>
      <x:c r="E53" s="26" t="str">
        <x:v>N</x:v>
      </x:c>
      <x:c r="F53" s="26" t="str">
        <x:v>KOSIS 미제공</x:v>
      </x:c>
      <x:c r="G53" s="26" t="str">
        <x:v>보류</x:v>
      </x:c>
      <x:c r="H53" s="26" t="str"/>
      <x:c r="I53" s="26" t="str">
        <x:v>검증가능여부;최종판정</x:v>
      </x:c>
      <x:c r="J53" s="26" t="str">
        <x:v>매핑 또는 판정 불일치</x:v>
      </x:c>
      <x:c r="K53" t="str"/>
      <x:c r="L53" t="str"/>
      <x:c r="M53" t="str"/>
      <x:c r="N53" t="str"/>
      <x:c r="O53" t="str">
        <x:v>판단불가</x:v>
      </x:c>
      <x:c r="P53" t="str"/>
    </x:row>
    <x:row r="54">
      <x:c r="A54" t="n">
        <x:v>62</x:v>
      </x:c>
      <x:c r="B54" t="str">
        <x:v>인구</x:v>
      </x:c>
      <x:c r="C54" t="str">
        <x:v>C05295</x:v>
      </x:c>
      <x:c r="D54" s="26" t="str">
        <x:v>대표적으로 서울 중구는 지난해 하반기 거주 인구가 12만명이었지만, 지역활동인구는 40만1000명으로 3배(333.9%) 이상 많았다.</x:v>
      </x:c>
      <x:c r="E54" s="26" t="str">
        <x:v>N</x:v>
      </x:c>
      <x:c r="F54" s="26" t="str">
        <x:v>정보 부족</x:v>
      </x:c>
      <x:c r="G54" s="26" t="str">
        <x:v>보류</x:v>
      </x:c>
      <x:c r="H54" s="26" t="str"/>
      <x:c r="I54" s="26" t="str">
        <x:v>검증가능여부;최종판정</x:v>
      </x:c>
      <x:c r="J54" s="26" t="str">
        <x:v>매핑 또는 판정 불일치</x:v>
      </x:c>
      <x:c r="K54" t="str"/>
      <x:c r="L54" t="str"/>
      <x:c r="M54" t="str"/>
      <x:c r="N54" t="str"/>
      <x:c r="O54" t="str">
        <x:v>판단불가</x:v>
      </x:c>
      <x:c r="P54" t="str"/>
    </x:row>
    <x:row r="55">
      <x:c r="A55" t="n">
        <x:v>63</x:v>
      </x:c>
      <x:c r="B55" t="str">
        <x:v>인구</x:v>
      </x:c>
      <x:c r="C55" t="str">
        <x:v>C06917</x:v>
      </x:c>
      <x:c r="D55" s="26" t="str">
        <x:v>작년 출생아 수는 1만5242명으로 전년보다 11.6% 증가한 것으로 나타났다.</x:v>
      </x:c>
      <x:c r="E55" s="26" t="str">
        <x:v>Y</x:v>
      </x:c>
      <x:c r="F55" s="26" t="str"/>
      <x:c r="G55" s="26" t="str">
        <x:v>보류</x:v>
      </x:c>
      <x:c r="H55" s="26" t="str"/>
      <x:c r="I55" s="26" t="str">
        <x:v>검증가능여부;통계표;항목;시점;최종판정</x:v>
      </x:c>
      <x:c r="J55" s="26" t="str">
        <x:v>코드북 미지원 또는 엄격 규칙에 따른 검증가능 행 보류</x:v>
      </x:c>
      <x:c r="K55" t="str">
        <x:v>DT_1B81A01</x:v>
      </x:c>
      <x:c r="L55" t="str"/>
      <x:c r="M55" t="str">
        <x:v>2024</x:v>
      </x:c>
      <x:c r="N55" t="str"/>
      <x:c r="O55" t="str">
        <x:v>일치</x:v>
      </x:c>
      <x:c r="P55" t="str"/>
    </x:row>
    <x:row r="56">
      <x:c r="A56" t="n">
        <x:v>64</x:v>
      </x:c>
      <x:c r="B56" t="str">
        <x:v>인구</x:v>
      </x:c>
      <x:c r="C56" t="str">
        <x:v>C07959</x:v>
      </x:c>
      <x:c r="D56" s="26" t="str">
        <x:v>5 작년 초혼인 신혼부부 가운데 연상인 아내와 연하 남편이 만난 경우가 20%에 육박했다.</x:v>
      </x:c>
      <x:c r="E56" s="26" t="str">
        <x:v>N</x:v>
      </x:c>
      <x:c r="F56" s="26" t="str">
        <x:v>지역·분류 불일치</x:v>
      </x:c>
      <x:c r="G56" s="26" t="str">
        <x:v>보류</x:v>
      </x:c>
      <x:c r="H56" s="26" t="str"/>
      <x:c r="I56" s="26" t="str">
        <x:v>검증가능여부;최종판정</x:v>
      </x:c>
      <x:c r="J56" s="26" t="str">
        <x:v>매핑 또는 판정 불일치</x:v>
      </x:c>
      <x:c r="K56" t="str"/>
      <x:c r="L56" t="str"/>
      <x:c r="M56" t="str"/>
      <x:c r="N56" t="str"/>
      <x:c r="O56" t="str">
        <x:v>판단불가</x:v>
      </x:c>
      <x:c r="P56" t="str"/>
    </x:row>
    <x:row r="57">
      <x:c r="A57" t="n">
        <x:v>65</x:v>
      </x:c>
      <x:c r="B57" t="str">
        <x:v>인구</x:v>
      </x:c>
      <x:c r="C57" t="str">
        <x:v>C07961</x:v>
      </x:c>
      <x:c r="D57" s="26" t="str">
        <x:v>20일 통계청이 발표한 ‘2024년 혼인·이혼 통계’에 따르면, 작년 전체 혼인 건수는 22만2400건으로, 지난 2020년 21만3500건 이후 4년 만에 20만건을 넘어섰다.</x:v>
      </x:c>
      <x:c r="E57" s="26" t="str">
        <x:v>Y</x:v>
      </x:c>
      <x:c r="F57" s="26" t="str"/>
      <x:c r="G57" s="26" t="str">
        <x:v>보류</x:v>
      </x:c>
      <x:c r="H57" s="26" t="str"/>
      <x:c r="I57" s="26" t="str">
        <x:v>검증가능여부;통계표;항목;시점;최종판정</x:v>
      </x:c>
      <x:c r="J57" s="26" t="str">
        <x:v>코드북 미지원 또는 엄격 규칙에 따른 검증가능 행 보류</x:v>
      </x:c>
      <x:c r="K57" t="str">
        <x:v>DT_1B8000F</x:v>
      </x:c>
      <x:c r="L57" t="str"/>
      <x:c r="M57" t="str">
        <x:v>2024</x:v>
      </x:c>
      <x:c r="N57" t="str"/>
      <x:c r="O57" t="str">
        <x:v>일치</x:v>
      </x:c>
      <x:c r="P57" t="str"/>
    </x:row>
    <x:row r="58">
      <x:c r="A58" t="n">
        <x:v>66</x:v>
      </x:c>
      <x:c r="B58" t="str">
        <x:v>인구</x:v>
      </x:c>
      <x:c r="C58" t="str">
        <x:v>C07962</x:v>
      </x:c>
      <x:c r="D58" s="26" t="str">
        <x:v>이 가운데 아내와 남편 모두 초혼인 건수는 17만8700건(80.4%)으로, 지난 2000년(81.9%) 이후 24년 만에 80%선을넘었다.</x:v>
      </x:c>
      <x:c r="E58" s="26" t="str">
        <x:v>N</x:v>
      </x:c>
      <x:c r="F58" s="26" t="str">
        <x:v>정보 부족</x:v>
      </x:c>
      <x:c r="G58" s="26" t="str">
        <x:v>보류</x:v>
      </x:c>
      <x:c r="H58" s="26" t="str"/>
      <x:c r="I58" s="26" t="str">
        <x:v>검증가능여부;최종판정</x:v>
      </x:c>
      <x:c r="J58" s="26" t="str">
        <x:v>매핑 또는 판정 불일치</x:v>
      </x:c>
      <x:c r="K58" t="str"/>
      <x:c r="L58" t="str"/>
      <x:c r="M58" t="str"/>
      <x:c r="N58" t="str"/>
      <x:c r="O58" t="str">
        <x:v>판단불가</x:v>
      </x:c>
      <x:c r="P58" t="str"/>
    </x:row>
    <x:row r="59">
      <x:c r="A59" t="n">
        <x:v>68</x:v>
      </x:c>
      <x:c r="B59" t="str">
        <x:v>인구</x:v>
      </x:c>
      <x:c r="C59" t="str">
        <x:v>C11321</x:v>
      </x:c>
      <x:c r="D59" s="26" t="str">
        <x:v>이는 지난해 같은 달(1만6948건) 대비 14.3% 증가한 수치다.</x:v>
      </x:c>
      <x:c r="E59" s="26" t="str">
        <x:v>Y</x:v>
      </x:c>
      <x:c r="F59" s="26" t="str"/>
      <x:c r="G59" s="26" t="str">
        <x:v>보류</x:v>
      </x:c>
      <x:c r="H59" s="26" t="str"/>
      <x:c r="I59" s="26" t="str">
        <x:v>검증가능여부;통계표;항목;시점;최종판정</x:v>
      </x:c>
      <x:c r="J59" s="26" t="str">
        <x:v>코드북 미지원 또는 엄격 규칙에 따른 검증가능 행 보류</x:v>
      </x:c>
      <x:c r="K59" t="str">
        <x:v>DT_1B83A35</x:v>
      </x:c>
      <x:c r="L59" t="str"/>
      <x:c r="M59" t="str">
        <x:v>202502</x:v>
      </x:c>
      <x:c r="N59" t="str"/>
      <x:c r="O59" t="str">
        <x:v>일치</x:v>
      </x:c>
      <x:c r="P59" t="str"/>
    </x:row>
    <x:row r="60">
      <x:c r="A60" t="n">
        <x:v>71</x:v>
      </x:c>
      <x:c r="B60" t="str">
        <x:v>인구</x:v>
      </x:c>
      <x:c r="C60" t="str">
        <x:v>C11421</x:v>
      </x:c>
      <x:c r="D60" s="26" t="str">
        <x:v>특히 ‘결혼 장려금 500만원 일시불 지급’을 시행하고 있는 대전의 경우 지난해 같은 달 대비 혼인 증가율이 32.2%로 1위였다.</x:v>
      </x:c>
      <x:c r="E60" s="26" t="str">
        <x:v>Y</x:v>
      </x:c>
      <x:c r="F60" s="26" t="str"/>
      <x:c r="G60" s="26" t="str">
        <x:v>보류</x:v>
      </x:c>
      <x:c r="H60" s="26" t="str"/>
      <x:c r="I60" s="26" t="str">
        <x:v>검증가능여부;통계표;항목;시점;최종판정</x:v>
      </x:c>
      <x:c r="J60" s="26" t="str">
        <x:v>코드북 미지원 또는 엄격 규칙에 따른 검증가능 행 보류</x:v>
      </x:c>
      <x:c r="K60" t="str">
        <x:v>DT_1B83A35</x:v>
      </x:c>
      <x:c r="L60" t="str"/>
      <x:c r="M60" t="str">
        <x:v>202502</x:v>
      </x:c>
      <x:c r="N60" t="str"/>
      <x:c r="O60" t="str">
        <x:v>일치</x:v>
      </x:c>
      <x:c r="P60" t="str"/>
    </x:row>
    <x:row r="61">
      <x:c r="A61" t="n">
        <x:v>72</x:v>
      </x:c>
      <x:c r="B61" t="str">
        <x:v>인구</x:v>
      </x:c>
      <x:c r="C61" t="str">
        <x:v>C11423</x:v>
      </x:c>
      <x:c r="D61" s="26" t="str">
        <x:v>혼인 건수가 늘면서 지난 2월 출생아 수도 2만35명으로 지난해 같은 달 대비 3.2%(622명) 늘었다.</x:v>
      </x:c>
      <x:c r="E61" s="26" t="str">
        <x:v>Y</x:v>
      </x:c>
      <x:c r="F61" s="26" t="str"/>
      <x:c r="G61" s="26" t="str">
        <x:v>보류</x:v>
      </x:c>
      <x:c r="H61" s="26" t="str"/>
      <x:c r="I61" s="26" t="str">
        <x:v>검증가능여부;통계표;항목;시점;최종판정</x:v>
      </x:c>
      <x:c r="J61" s="26" t="str">
        <x:v>코드북 미지원 또는 엄격 규칙에 따른 검증가능 행 보류</x:v>
      </x:c>
      <x:c r="K61" t="str">
        <x:v>DT_1B81A01</x:v>
      </x:c>
      <x:c r="L61" t="str"/>
      <x:c r="M61" t="str">
        <x:v>202502</x:v>
      </x:c>
      <x:c r="N61" t="str"/>
      <x:c r="O61" t="str">
        <x:v>판단불가</x:v>
      </x:c>
      <x:c r="P61" t="str"/>
    </x:row>
    <x:row r="62">
      <x:c r="A62" t="n">
        <x:v>73</x:v>
      </x:c>
      <x:c r="B62" t="str">
        <x:v>인구</x:v>
      </x:c>
      <x:c r="C62" t="str">
        <x:v>C11427</x:v>
      </x:c>
      <x:c r="D62" s="26" t="str">
        <x:v>합계출산율은 여성 1명이 가임 기간(15~49세)에 낳을 것으로 기대되는 평균 출생아 수를 말한다.</x:v>
      </x:c>
      <x:c r="E62" s="26" t="str">
        <x:v>N</x:v>
      </x:c>
      <x:c r="F62" s="26" t="str">
        <x:v>정보 부족</x:v>
      </x:c>
      <x:c r="G62" s="26" t="str">
        <x:v>보류</x:v>
      </x:c>
      <x:c r="H62" s="26" t="str"/>
      <x:c r="I62" s="26" t="str">
        <x:v>검증가능여부;최종판정</x:v>
      </x:c>
      <x:c r="J62" s="26" t="str">
        <x:v>매핑 또는 판정 불일치</x:v>
      </x:c>
      <x:c r="K62" t="str"/>
      <x:c r="L62" t="str"/>
      <x:c r="M62" t="str"/>
      <x:c r="N62" t="str"/>
      <x:c r="O62" t="str">
        <x:v>판단불가</x:v>
      </x:c>
      <x:c r="P62" t="str"/>
    </x:row>
    <x:row r="63">
      <x:c r="A63" t="n">
        <x:v>74</x:v>
      </x:c>
      <x:c r="B63" t="str">
        <x:v>인구</x:v>
      </x:c>
      <x:c r="C63" t="str">
        <x:v>C17364</x:v>
      </x:c>
      <x:c r="D63" s="26" t="str">
        <x:v>출생아 수 증가율로 보면 1991년(8.7%) 이후 4월 기준 34년 만에 가장 높았다.</x:v>
      </x:c>
      <x:c r="E63" s="26" t="str">
        <x:v>Y</x:v>
      </x:c>
      <x:c r="F63" s="26" t="str"/>
      <x:c r="G63" s="26" t="str">
        <x:v>보류</x:v>
      </x:c>
      <x:c r="H63" s="26" t="str"/>
      <x:c r="I63" s="26" t="str">
        <x:v>검증가능여부;통계표;항목;시점;최종판정</x:v>
      </x:c>
      <x:c r="J63" s="26" t="str">
        <x:v>코드북 미지원 또는 엄격 규칙에 따른 검증가능 행 보류</x:v>
      </x:c>
      <x:c r="K63" t="str">
        <x:v>DT_1B81A01</x:v>
      </x:c>
      <x:c r="L63" t="str"/>
      <x:c r="M63" t="str">
        <x:v>202504</x:v>
      </x:c>
      <x:c r="N63" t="str"/>
      <x:c r="O63" t="str">
        <x:v>판단불가</x:v>
      </x:c>
      <x:c r="P63" t="str"/>
    </x:row>
    <x:row r="64">
      <x:c r="A64" t="n">
        <x:v>77</x:v>
      </x:c>
      <x:c r="B64" t="str">
        <x:v>인구</x:v>
      </x:c>
      <x:c r="C64" t="str">
        <x:v>C17453</x:v>
      </x:c>
      <x:c r="D64" s="26" t="str">
        <x:v>0 지난 4월 혼인 건수와 출생아 수가 전년 같은 달 대비 각각 4.9%, 8.7% 늘면서 10개월 연속 동반 증가했다.</x:v>
      </x:c>
      <x:c r="E64" s="26" t="str">
        <x:v>N</x:v>
      </x:c>
      <x:c r="F64" s="26" t="str">
        <x:v>정보 부족</x:v>
      </x:c>
      <x:c r="G64" s="26" t="str">
        <x:v>보류</x:v>
      </x:c>
      <x:c r="H64" s="26" t="str"/>
      <x:c r="I64" s="26" t="str">
        <x:v>검증가능여부;최종판정</x:v>
      </x:c>
      <x:c r="J64" s="26" t="str">
        <x:v>매핑 또는 판정 불일치</x:v>
      </x:c>
      <x:c r="K64" t="str"/>
      <x:c r="L64" t="str"/>
      <x:c r="M64" t="str"/>
      <x:c r="N64" t="str"/>
      <x:c r="O64" t="str">
        <x:v>판단불가</x:v>
      </x:c>
      <x:c r="P64" t="str"/>
    </x:row>
    <x:row r="65">
      <x:c r="A65" t="n">
        <x:v>80</x:v>
      </x:c>
      <x:c r="B65" t="str">
        <x:v>인구</x:v>
      </x:c>
      <x:c r="C65" t="str">
        <x:v>C17459</x:v>
      </x:c>
      <x:c r="D65" s="26" t="str">
        <x:v>4월 합계 출산율(가임 여성 한 명이 평생 낳으리라 기대되는 아이 수)도 0.79명으로 전년 같은 달(0.73명)보다 0.06명 늘었다.</x:v>
      </x:c>
      <x:c r="E65" s="26" t="str">
        <x:v>N</x:v>
      </x:c>
      <x:c r="F65" s="26" t="str">
        <x:v>KOSIS 미제공</x:v>
      </x:c>
      <x:c r="G65" s="26" t="str">
        <x:v>보류</x:v>
      </x:c>
      <x:c r="H65" s="26" t="str"/>
      <x:c r="I65" s="26" t="str">
        <x:v>검증가능여부;최종판정</x:v>
      </x:c>
      <x:c r="J65" s="26" t="str">
        <x:v>매핑 또는 판정 불일치</x:v>
      </x:c>
      <x:c r="K65" t="str"/>
      <x:c r="L65" t="str"/>
      <x:c r="M65" t="str"/>
      <x:c r="N65" t="str"/>
      <x:c r="O65" t="str">
        <x:v>판단불가</x:v>
      </x:c>
      <x:c r="P65" t="str"/>
    </x:row>
    <x:row r="66">
      <x:c r="A66" t="n">
        <x:v>81</x:v>
      </x:c>
      <x:c r="B66" t="str">
        <x:v>소매</x:v>
      </x:c>
      <x:c r="C66" t="str">
        <x:v>C00617</x:v>
      </x:c>
      <x:c r="D66" s="26" t="str">
        <x:v>대표적인 내수경기 지표인 소매판매액지수는 2024년 3분기 100.6으로 1년 전보다 1.9% 감소했는데, 2022년 2분기(-0.2%) 이래 10개 분기 연속으로 감소세가 이어지는 중이다.</x:v>
      </x:c>
      <x:c r="E66" s="26" t="str">
        <x:v>Y</x:v>
      </x:c>
      <x:c r="F66" s="26" t="str"/>
      <x:c r="G66" s="26" t="str">
        <x:v>보류</x:v>
      </x:c>
      <x:c r="H66" s="26" t="str"/>
      <x:c r="I66" s="26" t="str">
        <x:v>검증가능여부;통계표;항목;시점;최종판정</x:v>
      </x:c>
      <x:c r="J66" s="26" t="str">
        <x:v>코드북 미지원 또는 엄격 규칙에 따른 검증가능 행 보류</x:v>
      </x:c>
      <x:c r="K66" t="str">
        <x:v>DT_1K41012</x:v>
      </x:c>
      <x:c r="L66" t="str"/>
      <x:c r="M66" t="str">
        <x:v>202403</x:v>
      </x:c>
      <x:c r="N66" t="str"/>
      <x:c r="O66" t="str">
        <x:v>불일치</x:v>
      </x:c>
      <x:c r="P66" t="str"/>
    </x:row>
    <x:row r="67">
      <x:c r="A67" t="n">
        <x:v>83</x:v>
      </x:c>
      <x:c r="B67" t="str">
        <x:v>소매</x:v>
      </x:c>
      <x:c r="C67" t="str">
        <x:v>C01459</x:v>
      </x:c>
      <x:c r="D67" s="26" t="str">
        <x:v>전산업 생산은 9~11월 석 달 연속 전기대비 마이너스를 기록했고, 작년 1~11월 소매판매액 지수는 전년 동기 대비 2.1% 감소했다.</x:v>
      </x:c>
      <x:c r="E67" s="26" t="str">
        <x:v>Y</x:v>
      </x:c>
      <x:c r="F67" s="26" t="str"/>
      <x:c r="G67" s="26" t="str">
        <x:v>보류</x:v>
      </x:c>
      <x:c r="H67" s="26" t="str"/>
      <x:c r="I67" s="26" t="str">
        <x:v>검증가능여부;통계표;항목;시점;최종판정</x:v>
      </x:c>
      <x:c r="J67" s="26" t="str">
        <x:v>코드북 미지원 또는 엄격 규칙에 따른 검증가능 행 보류</x:v>
      </x:c>
      <x:c r="K67" t="str">
        <x:v>DT_1K41012</x:v>
      </x:c>
      <x:c r="L67" t="str"/>
      <x:c r="M67" t="str">
        <x:v>202401-202411</x:v>
      </x:c>
      <x:c r="N67" t="str"/>
      <x:c r="O67" t="str">
        <x:v>일치</x:v>
      </x:c>
      <x:c r="P67" t="str"/>
    </x:row>
    <x:row r="68">
      <x:c r="A68" t="n">
        <x:v>84</x:v>
      </x:c>
      <x:c r="B68" t="str">
        <x:v>소매</x:v>
      </x:c>
      <x:c r="C68" t="str">
        <x:v>C06577</x:v>
      </x:c>
      <x:c r="D68" s="26" t="str">
        <x:v>소매 판매는 작년 10월, 11월 각각 0.7%씩 감소했다가 12월(0.2%) 소폭 늘었지만, 다시 감소세로 돌아섰다.</x:v>
      </x:c>
      <x:c r="E68" s="26" t="str">
        <x:v>N</x:v>
      </x:c>
      <x:c r="F68" s="26" t="str">
        <x:v>정보 부족</x:v>
      </x:c>
      <x:c r="G68" s="26" t="str">
        <x:v>보류</x:v>
      </x:c>
      <x:c r="H68" s="26" t="str"/>
      <x:c r="I68" s="26" t="str">
        <x:v>검증가능여부;최종판정</x:v>
      </x:c>
      <x:c r="J68" s="26" t="str">
        <x:v>매핑 또는 판정 불일치</x:v>
      </x:c>
      <x:c r="K68" t="str"/>
      <x:c r="L68" t="str"/>
      <x:c r="M68" t="str"/>
      <x:c r="N68" t="str"/>
      <x:c r="O68" t="str">
        <x:v>판단불가</x:v>
      </x:c>
      <x:c r="P68" t="str"/>
    </x:row>
    <x:row r="69">
      <x:c r="A69" t="n">
        <x:v>85</x:v>
      </x:c>
      <x:c r="B69" t="str">
        <x:v>소매</x:v>
      </x:c>
      <x:c r="C69" t="str">
        <x:v>C07771</x:v>
      </x:c>
      <x:c r="D69" s="26" t="str">
        <x:v>◇해안 관광 무너지자 탕·구이용 가리비 가격 반 토막 실제 유원지·놀이공원 서비스업 생산지수는 지난 1월 낙폭이 8.2%에 달해 지난 2021년 1월(-78%) 이후 낙폭이 역대 최대치를 기록했다.</x:v>
      </x:c>
      <x:c r="E69" s="26" t="str">
        <x:v>Y</x:v>
      </x:c>
      <x:c r="F69" s="26" t="str"/>
      <x:c r="G69" s="26" t="str">
        <x:v>보류</x:v>
      </x:c>
      <x:c r="H69" s="26" t="str"/>
      <x:c r="I69" s="26" t="str">
        <x:v>검증가능여부;통계표;항목;시점;최종판정</x:v>
      </x:c>
      <x:c r="J69" s="26" t="str">
        <x:v>코드북 미지원 또는 엄격 규칙에 따른 검증가능 행 보류</x:v>
      </x:c>
      <x:c r="K69" t="str">
        <x:v>DT_1KC2020</x:v>
      </x:c>
      <x:c r="L69" t="str"/>
      <x:c r="M69" t="str">
        <x:v>202501</x:v>
      </x:c>
      <x:c r="N69" t="str"/>
      <x:c r="O69" t="str">
        <x:v>불일치</x:v>
      </x:c>
      <x:c r="P69" t="str"/>
    </x:row>
    <x:row r="70">
      <x:c r="A70" t="n">
        <x:v>87</x:v>
      </x:c>
      <x:c r="B70" t="str">
        <x:v>소매</x:v>
      </x:c>
      <x:c r="C70" t="str">
        <x:v>C09080</x:v>
      </x:c>
      <x:c r="D70" s="26" t="str">
        <x:v>상당수가 사과를 키우는 과수원으로, 경북 지역은 전국 사과 생산량의 62%를 차지하는 사과 주산지다.</x:v>
      </x:c>
      <x:c r="E70" s="26" t="str">
        <x:v>N</x:v>
      </x:c>
      <x:c r="F70" s="26" t="str">
        <x:v>지역·분류 불일치</x:v>
      </x:c>
      <x:c r="G70" s="26" t="str">
        <x:v>보류</x:v>
      </x:c>
      <x:c r="H70" s="26" t="str"/>
      <x:c r="I70" s="26" t="str">
        <x:v>검증가능여부;최종판정</x:v>
      </x:c>
      <x:c r="J70" s="26" t="str">
        <x:v>매핑 또는 판정 불일치</x:v>
      </x:c>
      <x:c r="K70" t="str"/>
      <x:c r="L70" t="str"/>
      <x:c r="M70" t="str"/>
      <x:c r="N70" t="str"/>
      <x:c r="O70" t="str">
        <x:v>판단불가</x:v>
      </x:c>
      <x:c r="P70" t="str"/>
    </x:row>
    <x:row r="71">
      <x:c r="A71" t="n">
        <x:v>88</x:v>
      </x:c>
      <x:c r="B71" t="str">
        <x:v>소매</x:v>
      </x:c>
      <x:c r="C71" t="str">
        <x:v>C09084</x:v>
      </x:c>
      <x:c r="D71" s="26" t="str">
        <x:v>영덕과 청송 두 곳에서만 전국 송이 생산량의 28%를 담당하는데, 이번 산불로 소나무가 타버리면서 오는 10월 송이 채취는 사실상 물 건너갔다.</x:v>
      </x:c>
      <x:c r="E71" s="26" t="str">
        <x:v>N</x:v>
      </x:c>
      <x:c r="F71" s="26" t="str">
        <x:v>지역·분류 불일치</x:v>
      </x:c>
      <x:c r="G71" s="26" t="str">
        <x:v>보류</x:v>
      </x:c>
      <x:c r="H71" s="26" t="str"/>
      <x:c r="I71" s="26" t="str">
        <x:v>검증가능여부;최종판정</x:v>
      </x:c>
      <x:c r="J71" s="26" t="str">
        <x:v>매핑 또는 판정 불일치</x:v>
      </x:c>
      <x:c r="K71" t="str"/>
      <x:c r="L71" t="str"/>
      <x:c r="M71" t="str"/>
      <x:c r="N71" t="str"/>
      <x:c r="O71" t="str">
        <x:v>판단불가</x:v>
      </x:c>
      <x:c r="P71" t="str"/>
    </x:row>
    <x:row r="72">
      <x:c r="A72" t="n">
        <x:v>90</x:v>
      </x:c>
      <x:c r="B72" t="str">
        <x:v>소매</x:v>
      </x:c>
      <x:c r="C72" t="str">
        <x:v>C12459</x:v>
      </x:c>
      <x:c r="D72" s="26" t="str">
        <x:v>통계청이 집계하는 음식료품 소매 판매 지수는 2022년(-2.5%)부터 작년(-1.5%)까지 3년 연속 줄어든 데 이어 올해 1분기에도 1년 전보다 0.3% 감소했다.</x:v>
      </x:c>
      <x:c r="E72" s="26" t="str">
        <x:v>Y</x:v>
      </x:c>
      <x:c r="F72" s="26" t="str"/>
      <x:c r="G72" s="26" t="str">
        <x:v>보류</x:v>
      </x:c>
      <x:c r="H72" s="26" t="str"/>
      <x:c r="I72" s="26" t="str">
        <x:v>검증가능여부;통계표;항목;시점;최종판정</x:v>
      </x:c>
      <x:c r="J72" s="26" t="str">
        <x:v>코드북 미지원 또는 엄격 규칙에 따른 검증가능 행 보류</x:v>
      </x:c>
      <x:c r="K72" t="str">
        <x:v>DT_1K41012</x:v>
      </x:c>
      <x:c r="L72" t="str"/>
      <x:c r="M72" t="str">
        <x:v>202501</x:v>
      </x:c>
      <x:c r="N72" t="str"/>
      <x:c r="O72" t="str">
        <x:v>불일치</x:v>
      </x:c>
      <x:c r="P72" t="str"/>
    </x:row>
    <x:row r="73">
      <x:c r="A73" t="n">
        <x:v>91</x:v>
      </x:c>
      <x:c r="B73" t="str">
        <x:v>소매</x:v>
      </x:c>
      <x:c r="C73" t="str">
        <x:v>C12462</x:v>
      </x:c>
      <x:c r="D73" s="26" t="str">
        <x:v>당시 음식점 생산은 16.0% 줄었지만 음식료품 소매 판매는 4.6% 늘었다.</x:v>
      </x:c>
      <x:c r="E73" s="26" t="str">
        <x:v>N</x:v>
      </x:c>
      <x:c r="F73" s="26" t="str">
        <x:v>정보 부족</x:v>
      </x:c>
      <x:c r="G73" s="26" t="str">
        <x:v>보류</x:v>
      </x:c>
      <x:c r="H73" s="26" t="str"/>
      <x:c r="I73" s="26" t="str">
        <x:v>검증가능여부;최종판정</x:v>
      </x:c>
      <x:c r="J73" s="26" t="str">
        <x:v>매핑 또는 판정 불일치</x:v>
      </x:c>
      <x:c r="K73" t="str"/>
      <x:c r="L73" t="str"/>
      <x:c r="M73" t="str"/>
      <x:c r="N73" t="str"/>
      <x:c r="O73" t="str">
        <x:v>판단불가</x:v>
      </x:c>
      <x:c r="P73" t="str"/>
    </x:row>
    <x:row r="74">
      <x:c r="A74" t="n">
        <x:v>92</x:v>
      </x:c>
      <x:c r="B74" t="str">
        <x:v>소매</x:v>
      </x:c>
      <x:c r="C74" t="str">
        <x:v>C13081</x:v>
      </x:c>
      <x:c r="D74" s="26" t="str">
        <x:v>개별소비세 인하 효과로 소비가 늘어난 승용차를 제외한 3월 소매 판매는 전달 대비 0.5% 늘어나는 데 그쳤다.</x:v>
      </x:c>
      <x:c r="E74" s="26" t="str">
        <x:v>N</x:v>
      </x:c>
      <x:c r="F74" s="26" t="str">
        <x:v>정보 부족</x:v>
      </x:c>
      <x:c r="G74" s="26" t="str">
        <x:v>보류</x:v>
      </x:c>
      <x:c r="H74" s="26" t="str"/>
      <x:c r="I74" s="26" t="str">
        <x:v>검증가능여부;최종판정</x:v>
      </x:c>
      <x:c r="J74" s="26" t="str">
        <x:v>매핑 또는 판정 불일치</x:v>
      </x:c>
      <x:c r="K74" t="str"/>
      <x:c r="L74" t="str"/>
      <x:c r="M74" t="str"/>
      <x:c r="N74" t="str"/>
      <x:c r="O74" t="str">
        <x:v>판단불가</x:v>
      </x:c>
      <x:c r="P74" t="str"/>
    </x:row>
    <x:row r="75">
      <x:c r="A75" t="n">
        <x:v>93</x:v>
      </x:c>
      <x:c r="B75" t="str">
        <x:v>소매</x:v>
      </x:c>
      <x:c r="C75" t="str">
        <x:v>C14872</x:v>
      </x:c>
      <x:c r="D75" s="26" t="str">
        <x:v>서비스 소비를 보여주는 서비스업 생산은 도소매 등에서 늘었으나, 전문·과학·기술, 금융·보험 등에서 줄어 전달보다 0.1% 감소했다.</x:v>
      </x:c>
      <x:c r="E75" s="26" t="str">
        <x:v>Y</x:v>
      </x:c>
      <x:c r="F75" s="26" t="str"/>
      <x:c r="G75" s="26" t="str">
        <x:v>보류</x:v>
      </x:c>
      <x:c r="H75" s="26" t="str"/>
      <x:c r="I75" s="26" t="str">
        <x:v>검증가능여부;통계표;항목;시점;최종판정</x:v>
      </x:c>
      <x:c r="J75" s="26" t="str">
        <x:v>코드북 미지원 또는 엄격 규칙에 따른 검증가능 행 보류</x:v>
      </x:c>
      <x:c r="K75" t="str">
        <x:v>DT_1KC2020</x:v>
      </x:c>
      <x:c r="L75" t="str"/>
      <x:c r="M75" t="str">
        <x:v>202504</x:v>
      </x:c>
      <x:c r="N75" t="str"/>
      <x:c r="O75" t="str">
        <x:v>불일치</x:v>
      </x:c>
      <x:c r="P75" t="str"/>
    </x:row>
    <x:row r="76">
      <x:c r="A76" t="n">
        <x:v>94</x:v>
      </x:c>
      <x:c r="B76" t="str">
        <x:v>소매</x:v>
      </x:c>
      <x:c r="C76" t="str">
        <x:v>C14874</x:v>
      </x:c>
      <x:c r="D76" s="26" t="str">
        <x:v>재화 소비에 해당하는 소매 판매는 전달 대비 0.9% 감소하면서 지난 3월(-1.0%)부터 두 달 연속 감소했다.</x:v>
      </x:c>
      <x:c r="E76" s="26" t="str">
        <x:v>Y</x:v>
      </x:c>
      <x:c r="F76" s="26" t="str"/>
      <x:c r="G76" s="26" t="str">
        <x:v>보류</x:v>
      </x:c>
      <x:c r="H76" s="26" t="str"/>
      <x:c r="I76" s="26" t="str">
        <x:v>검증가능여부;통계표;항목;시점;최종판정</x:v>
      </x:c>
      <x:c r="J76" s="26" t="str">
        <x:v>코드북 미지원 또는 엄격 규칙에 따른 검증가능 행 보류</x:v>
      </x:c>
      <x:c r="K76" t="str">
        <x:v>DT_1K41012</x:v>
      </x:c>
      <x:c r="L76" t="str"/>
      <x:c r="M76" t="str">
        <x:v>202504</x:v>
      </x:c>
      <x:c r="N76" t="str"/>
      <x:c r="O76" t="str">
        <x:v>불일치</x:v>
      </x:c>
      <x:c r="P76" t="str"/>
    </x:row>
    <x:row r="77">
      <x:c r="A77" t="n">
        <x:v>96</x:v>
      </x:c>
      <x:c r="B77" t="str">
        <x:v>소매</x:v>
      </x:c>
      <x:c r="C77" t="str">
        <x:v>C18301</x:v>
      </x:c>
      <x:c r="D77" s="26" t="str">
        <x:v>이런 이유로 지난 20여 년간 우리나라 서비스 산업의 생산성은 제조업의 40% 수준에 그쳐 있다.</x:v>
      </x:c>
      <x:c r="E77" s="26" t="str">
        <x:v>N</x:v>
      </x:c>
      <x:c r="F77" s="26" t="str">
        <x:v>KOSIS 미제공</x:v>
      </x:c>
      <x:c r="G77" s="26" t="str">
        <x:v>보류</x:v>
      </x:c>
      <x:c r="H77" s="26" t="str"/>
      <x:c r="I77" s="26" t="str">
        <x:v>검증가능여부;최종판정</x:v>
      </x:c>
      <x:c r="J77" s="26" t="str">
        <x:v>매핑 또는 판정 불일치</x:v>
      </x:c>
      <x:c r="K77" t="str"/>
      <x:c r="L77" t="str"/>
      <x:c r="M77" t="str"/>
      <x:c r="N77" t="str"/>
      <x:c r="O77" t="str">
        <x:v>판단불가</x:v>
      </x:c>
      <x:c r="P77" t="str"/>
    </x:row>
    <x:row r="78">
      <x:c r="A78" t="n">
        <x:v>98</x:v>
      </x:c>
      <x:c r="B78" t="str">
        <x:v>소매</x:v>
      </x:c>
      <x:c r="C78" t="str">
        <x:v>C18306</x:v>
      </x:c>
      <x:c r="D78" s="26" t="str">
        <x:v>보고서는 작년 자영업자 중 60%가 저부가 서비스에 종사하고, 저부가 서비스 자영업자 중 73%가 1인 영업으로 집계돼 자영업자의 영세성이 고착화하고 있다고 봤다.</x:v>
      </x:c>
      <x:c r="E78" s="26" t="str">
        <x:v>N</x:v>
      </x:c>
      <x:c r="F78" s="26" t="str">
        <x:v>KOSIS 미제공</x:v>
      </x:c>
      <x:c r="G78" s="26" t="str">
        <x:v>보류</x:v>
      </x:c>
      <x:c r="H78" s="26" t="str"/>
      <x:c r="I78" s="26" t="str">
        <x:v>검증가능여부;최종판정</x:v>
      </x:c>
      <x:c r="J78" s="26" t="str">
        <x:v>매핑 또는 판정 불일치</x:v>
      </x:c>
      <x:c r="K78" t="str"/>
      <x:c r="L78" t="str"/>
      <x:c r="M78" t="str"/>
      <x:c r="N78" t="str"/>
      <x:c r="O78" t="str">
        <x:v>판단불가</x:v>
      </x:c>
      <x:c r="P78" t="str"/>
    </x:row>
    <x:row r="79">
      <x:c r="A79" t="n">
        <x:v>100</x:v>
      </x:c>
      <x:c r="B79" t="str">
        <x:v>소매</x:v>
      </x:c>
      <x:c r="C79" t="str">
        <x:v>C20191</x:v>
      </x:c>
      <x:c r="D79" s="26" t="str">
        <x:v>1, 2차 민생회복 소비쿠폰 지급에도 소비가 감소한 건데, 다만 3분기만 놓고 보면 소비는 직전 분기보다 1.5% 증가했다.</x:v>
      </x:c>
      <x:c r="E79" s="26" t="str">
        <x:v>Y</x:v>
      </x:c>
      <x:c r="F79" s="26" t="str"/>
      <x:c r="G79" s="26" t="str">
        <x:v>검증불가</x:v>
      </x:c>
      <x:c r="H79" s="26" t="str">
        <x:v>KOSIS 미제공</x:v>
      </x:c>
      <x:c r="I79" s="26" t="str">
        <x:v>검증가능여부;통계표;항목;시점;최종판정</x:v>
      </x:c>
      <x:c r="J79" s="26" t="str">
        <x:v>검증가능 대상을 비검증으로 오분류</x:v>
      </x:c>
      <x:c r="K79" t="str">
        <x:v>DT_1K41012</x:v>
      </x:c>
      <x:c r="L79" t="str"/>
      <x:c r="M79" t="str">
        <x:v>202503</x:v>
      </x:c>
      <x:c r="N79" t="str"/>
      <x:c r="O79" t="str">
        <x:v>불일치</x:v>
      </x:c>
      <x:c r="P79" t="str">
        <x:v>판단불가</x:v>
      </x:c>
    </x:row>
  </x:sheetData>
  <x:mergeCells>
    <x:mergeCell ref="A1:P1"/>
    <x:mergeCell ref="A2:P2"/>
  </x:mergeCells>
  <x:conditionalFormatting sqref="I5:I79">
    <x:cfRule type="containsText" dxfId="5" priority="1" operator="containsText" text="최종판정"/>
  </x:conditionalFormatting>
  <x:pageMargins left="0.7" right="0.7" top="0.75" bottom="0.75" header="0.3" footer="0.3"/>
  <x:tableParts count="1">
    <x:tablePart xmlns:r="http://schemas.openxmlformats.org/officeDocument/2006/relationships" r:id="Rd3c4cc5302204b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0" hidden="0" customWidth="1"/>
    <x:col min="3" max="3" width="9" hidden="0" customWidth="1"/>
    <x:col min="4" max="4" width="48" hidden="0" customWidth="1"/>
    <x:col min="5" max="5" width="58" hidden="0" customWidth="1"/>
    <x:col min="6" max="6" width="58" hidden="0" customWidth="1"/>
  </x:cols>
  <x:sheetData>
    <x:row r="1" ht="30" customHeight="1">
      <x:c r="A1" s="3" t="str">
        <x:v>코드북 v2 개선 백로그</x:v>
      </x:c>
      <x:c r="B1" s="3"/>
      <x:c r="C1" s="3"/>
      <x:c r="D1" s="3"/>
      <x:c r="E1" s="3"/>
      <x:c r="F1" s="3"/>
    </x:row>
    <x:row r="2" ht="26" customHeight="1">
      <x:c r="A2" s="7" t="str">
        <x:v>현재 홀드아웃은 최초 독립 성능을 고정한 뒤 개발 자료로만 사용하며, 수정 성능은 새 독립 표본에서 다시 평가합니다.</x:v>
      </x:c>
      <x:c r="B2" s="7"/>
      <x:c r="C2" s="7"/>
      <x:c r="D2" s="7"/>
      <x:c r="E2" s="7"/>
      <x:c r="F2" s="7"/>
    </x:row>
    <x:row r="4" ht="32" customHeight="1">
      <x:c r="A4" s="16" t="str">
        <x:v>우선순위</x:v>
      </x:c>
      <x:c r="B4" s="17" t="str">
        <x:v>개선 범위</x:v>
      </x:c>
      <x:c r="C4" s="17" t="str">
        <x:v>건수</x:v>
      </x:c>
      <x:c r="D4" s="17" t="str">
        <x:v>근거 ID</x:v>
      </x:c>
      <x:c r="E4" s="17" t="str">
        <x:v>권장 조치</x:v>
      </x:c>
      <x:c r="F4" s="18" t="str">
        <x:v>평가 정책</x:v>
      </x:c>
    </x:row>
    <x:row r="5">
      <x:c r="A5" t="str">
        <x:v>P0</x:v>
      </x:c>
      <x:c r="B5" s="26" t="str">
        <x:v>검증 가능 여부 오분류</x:v>
      </x:c>
      <x:c r="C5" s="26" t="n">
        <x:v>1</x:v>
      </x:c>
      <x:c r="D5" s="26" t="str">
        <x:v>C20191</x:v>
      </x:c>
      <x:c r="E5" s="26" t="str">
        <x:v>민간·정책 키워드를 문장 전체의 즉시 배제 조건으로 쓰지 말고, 명시적 KOSIS 지표 매핑을 먼저 시도한 뒤 데이터 출처가 민간일 때만 배제</x:v>
      </x:c>
      <x:c r="F5" s="26" t="str">
        <x:v>규칙 수정 후 현재 홀드아웃은 개발 자료로 전환하고 새 독립 홀드아웃에서 재측정</x:v>
      </x:c>
    </x:row>
    <x:row r="6">
      <x:c r="A6" t="str">
        <x:v>P1</x:v>
      </x:c>
      <x:c r="B6" s="26" t="str">
        <x:v>물가 검증가능 매핑 커버리지</x:v>
      </x:c>
      <x:c r="C6" s="26" t="n">
        <x:v>9</x:v>
      </x:c>
      <x:c r="D6" s="26" t="str">
        <x:v>C01367;C03672;C05541;C15363;C18189;C18204;C18209;C18575;C19740</x:v>
      </x:c>
      <x:c r="E6" s="26" t="str">
        <x:v>골드 통계표·항목·시점 조합을 반복 지표 코드북 후보로 등록하고 다중 수치·지역·전월/전년동월 문맥 규칙을 단위 테스트</x:v>
      </x:c>
      <x:c r="F6" s="26" t="str">
        <x:v>현재 홀드아웃에서는 오류 분석만 수행; 수정 성능은 새 독립 표본에서 평가</x:v>
      </x:c>
    </x:row>
    <x:row r="7">
      <x:c r="A7" t="str">
        <x:v>P1</x:v>
      </x:c>
      <x:c r="B7" s="26" t="str">
        <x:v>고용 검증가능 매핑 커버리지</x:v>
      </x:c>
      <x:c r="C7" s="26" t="n">
        <x:v>4</x:v>
      </x:c>
      <x:c r="D7" s="26" t="str">
        <x:v>C05292;C13306;C13307;C19864</x:v>
      </x:c>
      <x:c r="E7" s="26" t="str">
        <x:v>골드 통계표·항목·시점 조합을 반복 지표 코드북 후보로 등록하고 다중 수치·지역·전월/전년동월 문맥 규칙을 단위 테스트</x:v>
      </x:c>
      <x:c r="F7" s="26" t="str">
        <x:v>현재 홀드아웃에서는 오류 분석만 수행; 수정 성능은 새 독립 표본에서 평가</x:v>
      </x:c>
    </x:row>
    <x:row r="8">
      <x:c r="A8" t="str">
        <x:v>P1</x:v>
      </x:c>
      <x:c r="B8" s="26" t="str">
        <x:v>무역 검증가능 매핑 커버리지</x:v>
      </x:c>
      <x:c r="C8" s="26" t="n">
        <x:v>1</x:v>
      </x:c>
      <x:c r="D8" s="26" t="str">
        <x:v>C20443</x:v>
      </x:c>
      <x:c r="E8" s="26" t="str">
        <x:v>골드 통계표·항목·시점 조합을 반복 지표 코드북 후보로 등록하고 다중 수치·지역·전월/전년동월 문맥 규칙을 단위 테스트</x:v>
      </x:c>
      <x:c r="F8" s="26" t="str">
        <x:v>현재 홀드아웃에서는 오류 분석만 수행; 수정 성능은 새 독립 표본에서 평가</x:v>
      </x:c>
    </x:row>
    <x:row r="9">
      <x:c r="A9" t="str">
        <x:v>P1</x:v>
      </x:c>
      <x:c r="B9" s="26" t="str">
        <x:v>인구 검증가능 매핑 커버리지</x:v>
      </x:c>
      <x:c r="C9" s="26" t="n">
        <x:v>6</x:v>
      </x:c>
      <x:c r="D9" s="26" t="str">
        <x:v>C06917;C07961;C11321;C11421;C11423;C17364</x:v>
      </x:c>
      <x:c r="E9" s="26" t="str">
        <x:v>골드 통계표·항목·시점 조합을 반복 지표 코드북 후보로 등록하고 다중 수치·지역·전월/전년동월 문맥 규칙을 단위 테스트</x:v>
      </x:c>
      <x:c r="F9" s="26" t="str">
        <x:v>현재 홀드아웃에서는 오류 분석만 수행; 수정 성능은 새 독립 표본에서 평가</x:v>
      </x:c>
    </x:row>
    <x:row r="10">
      <x:c r="A10" t="str">
        <x:v>P1</x:v>
      </x:c>
      <x:c r="B10" s="26" t="str">
        <x:v>소매 검증가능 매핑 커버리지</x:v>
      </x:c>
      <x:c r="C10" s="26" t="n">
        <x:v>6</x:v>
      </x:c>
      <x:c r="D10" s="26" t="str">
        <x:v>C00617;C01459;C07771;C12459;C14872;C14874</x:v>
      </x:c>
      <x:c r="E10" s="26" t="str">
        <x:v>골드 통계표·항목·시점 조합을 반복 지표 코드북 후보로 등록하고 다중 수치·지역·전월/전년동월 문맥 규칙을 단위 테스트</x:v>
      </x:c>
      <x:c r="F10" s="26" t="str">
        <x:v>현재 홀드아웃에서는 오류 분석만 수행; 수정 성능은 새 독립 표본에서 평가</x:v>
      </x:c>
    </x:row>
    <x:row r="11">
      <x:c r="A11" t="str">
        <x:v>P1</x:v>
      </x:c>
      <x:c r="B11" s="26" t="str">
        <x:v>검증불가 자동 분류: KOSIS 미제공</x:v>
      </x:c>
      <x:c r="C11" s="26" t="n">
        <x:v>19</x:v>
      </x:c>
      <x:c r="D11" s="26" t="str">
        <x:v>C01659;C18696;C00922;C18303;C00781;C00807;C05059;C07217;C09047;C09181;C12782;C14905;C15896;C16196;C18761;C03660;C17459;C18301;C18306</x:v>
      </x:c>
      <x:c r="E11" s="26" t="str">
        <x:v>검증불가 사유별 표현 사전과 우선순위를 분리하고 과배제 방지용 양성·음성 단위 테스트 추가</x:v>
      </x:c>
      <x:c r="F11" s="26" t="str">
        <x:v>자동 확정은 높은 정밀도를 유지하고 애매한 문장은 계속 보류</x:v>
      </x:c>
    </x:row>
    <x:row r="12">
      <x:c r="A12" t="str">
        <x:v>P1</x:v>
      </x:c>
      <x:c r="B12" s="26" t="str">
        <x:v>검증불가 자동 분류: 정보 부족</x:v>
      </x:c>
      <x:c r="C12" s="26" t="n">
        <x:v>21</x:v>
      </x:c>
      <x:c r="D12" s="26" t="str">
        <x:v>C05153;C19807;C04658;C05293;C05294;C05562;C10453;C16599;C16603;C20111;C20115;C20133;C00180;C01303;C05295;C07962;C11427;C17453;C06577;C12462;C13081</x:v>
      </x:c>
      <x:c r="E12" s="26" t="str">
        <x:v>검증불가 사유별 표현 사전과 우선순위를 분리하고 과배제 방지용 양성·음성 단위 테스트 추가</x:v>
      </x:c>
      <x:c r="F12" s="26" t="str">
        <x:v>자동 확정은 높은 정밀도를 유지하고 애매한 문장은 계속 보류</x:v>
      </x:c>
    </x:row>
    <x:row r="13">
      <x:c r="A13" t="str">
        <x:v>P1</x:v>
      </x:c>
      <x:c r="B13" s="26" t="str">
        <x:v>검증불가 자동 분류: 지역·분류 불일치</x:v>
      </x:c>
      <x:c r="C13" s="26" t="n">
        <x:v>8</x:v>
      </x:c>
      <x:c r="D13" s="26" t="str">
        <x:v>C09082;C00812;C04941;C10746;C13767;C07959;C09080;C09084</x:v>
      </x:c>
      <x:c r="E13" s="26" t="str">
        <x:v>검증불가 사유별 표현 사전과 우선순위를 분리하고 과배제 방지용 양성·음성 단위 테스트 추가</x:v>
      </x:c>
      <x:c r="F13" s="26" t="str">
        <x:v>자동 확정은 높은 정밀도를 유지하고 애매한 문장은 계속 보류</x:v>
      </x:c>
    </x:row>
    <x:row r="14">
      <x:c r="A14" t="str">
        <x:v>P2</x:v>
      </x:c>
      <x:c r="B14" s="26" t="str">
        <x:v>KOSIS API 최신 시점 조회</x:v>
      </x:c>
      <x:c r="C14" s="26" t="n">
        <x:v>4</x:v>
      </x:c>
      <x:c r="D14" s="26" t="str">
        <x:v>자동매핑 실패 2건; 골드매핑 실패 4건</x:v>
      </x:c>
      <x:c r="E14" s="26" t="str">
        <x:v>출생아 등 최신 잠정치 표를 별도 탐색하고, 표 갱신 지연은 매핑 오류와 분리해 재시도 큐로 관리</x:v>
      </x:c>
      <x:c r="F14" s="26" t="str">
        <x:v>API 성공률과 매핑 정확도를 별도 지표로 계속 보고</x:v>
      </x:c>
    </x:row>
  </x:sheetData>
  <x:mergeCells>
    <x:mergeCell ref="A1:F1"/>
    <x:mergeCell ref="A2:F2"/>
  </x:mergeCells>
  <x:conditionalFormatting sqref="A5:A14">
    <x:cfRule type="containsText" dxfId="6" priority="1" operator="containsText" text="P0"/>
    <x:cfRule type="containsText" dxfId="7" priority="2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34ff329437ce49ff"/>
  </x:tableParts>
</x:worksheet>
</file>