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af1515e93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진행현황" sheetId="1" r:id="Rdd779cbccb984836"/>
    <x:sheet xmlns:r="http://schemas.openxmlformats.org/officeDocument/2006/relationships" name="다음작업" sheetId="2" r:id="R07267af283104c63"/>
    <x:sheet xmlns:r="http://schemas.openxmlformats.org/officeDocument/2006/relationships" name="판단불가_3건" sheetId="3" r:id="R0cdb33de5f2b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1"/>
      <x:color rgb="FF8A1C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563A6"/>
      </x:patternFill>
    </x:fill>
    <x:fill>
      <x:patternFill patternType="solid">
        <x:fgColor rgb="FFE7F4EA"/>
      </x:patternFill>
    </x:fill>
    <x:fill>
      <x:patternFill patternType="solid">
        <x:fgColor rgb="FFFCE8E6"/>
      </x:patternFill>
    </x:fill>
  </x:fills>
  <x:borders count="11">
    <x:border/>
    <x:border>
      <x:left style="thin">
        <x:color rgb="FFCAD5E0"/>
      </x:left>
      <x:top style="thin">
        <x:color rgb="FFCAD5E0"/>
      </x:top>
      <x:bottom style="thin">
        <x:color rgb="FFCAD5E0"/>
      </x:bottom>
    </x:border>
    <x:border>
      <x:right style="thin">
        <x:color rgb="FFCAD5E0"/>
      </x:right>
      <x:top style="thin">
        <x:color rgb="FFCAD5E0"/>
      </x:top>
      <x:bottom style="thin">
        <x:color rgb="FFCAD5E0"/>
      </x:bottom>
    </x:border>
    <x:border>
      <x:top style="thin">
        <x:color rgb="FFCAD5E0"/>
      </x:top>
      <x:bottom style="thin">
        <x:color rgb="FFCAD5E0"/>
      </x:bottom>
    </x:border>
    <x:border>
      <x:right style="thin">
        <x:color rgb="FFCAD5E0"/>
      </x:right>
      <x:bottom style="thin">
        <x:color rgb="FFCAD5E0"/>
      </x:bottom>
    </x:border>
    <x:border>
      <x:left style="thin">
        <x:color rgb="FFCAD5E0"/>
      </x:left>
      <x:bottom style="thin">
        <x:color rgb="FFCAD5E0"/>
      </x:bottom>
    </x:border>
    <x:border>
      <x:right style="thin">
        <x:color rgb="FFCAD5E0"/>
      </x:right>
      <x:top style="thin">
        <x:color rgb="FFCAD5E0"/>
      </x:top>
    </x:border>
    <x:border>
      <x:left style="thin">
        <x:color rgb="FFCAD5E0"/>
      </x:left>
      <x:top style="thin">
        <x:color rgb="FFCAD5E0"/>
      </x:top>
    </x:border>
    <x:border>
      <x:left style="thin">
        <x:color rgb="FFCAD5E0"/>
      </x:left>
      <x:right style="thin">
        <x:color rgb="FFCAD5E0"/>
      </x:right>
      <x:bottom style="thin">
        <x:color rgb="FFCAD5E0"/>
      </x:bottom>
    </x:border>
    <x:border>
      <x:left style="thin">
        <x:color rgb="FFCAD5E0"/>
      </x:left>
      <x:right style="thin">
        <x:color rgb="FFCAD5E0"/>
      </x:right>
      <x:top style="thin">
        <x:color rgb="FFCAD5E0"/>
      </x:top>
      <x:bottom style="thin">
        <x:color rgb="FFCAD5E0"/>
      </x:bottom>
    </x:border>
    <x:border>
      <x:left style="thin">
        <x:color rgb="FFCAD5E0"/>
      </x:left>
      <x:right style="thin">
        <x:color rgb="FFCAD5E0"/>
      </x:right>
      <x:top style="thin">
        <x:color rgb="FFCAD5E0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5" xfId="0" applyNumberFormat="1" applyFont="1" applyFill="1" applyBorder="1"/>
    <x:xf numFmtId="0" fontId="0" fillId="0" borderId="9" xfId="0" applyNumberFormat="1" applyFont="1" applyFill="1" applyBorder="1"/>
    <x:xf numFmtId="20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5" borderId="8" xfId="0" applyNumberFormat="1" applyFont="1" applyFill="1" applyBorder="1"/>
    <x:xf numFmtId="200" fontId="0" fillId="5" borderId="5" xfId="0" applyNumberFormat="1" applyFont="1" applyFill="1" applyBorder="1"/>
    <x:xf numFmtId="0" fontId="0" fillId="6" borderId="9" xfId="0" applyNumberFormat="1" applyFont="1" applyFill="1" applyBorder="1"/>
    <x:xf numFmtId="200" fontId="0" fillId="6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9" xfId="0" applyNumberFormat="1" applyFont="1" applyFill="1" applyBorder="1"/>
    <x:xf numFmtId="200" fontId="0" fillId="3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1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0" fontId="0" fillId="5" borderId="5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200" fontId="0" fillId="5" borderId="5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6d64559a64827" /><Relationship Type="http://schemas.openxmlformats.org/officeDocument/2006/relationships/theme" Target="/xl/theme/theme1.xml" Id="R4be5c0c9dc4a4b77" /><Relationship Type="http://schemas.openxmlformats.org/officeDocument/2006/relationships/sharedStrings" Target="/xl/sharedStrings.xml" Id="R61d0ad931bc44608" /><Relationship Type="http://schemas.openxmlformats.org/officeDocument/2006/relationships/worksheet" Target="/xl/worksheets/sheet1.xml" Id="Rdd779cbccb984836" /><Relationship Type="http://schemas.openxmlformats.org/officeDocument/2006/relationships/worksheet" Target="/xl/worksheets/sheet2.xml" Id="R07267af283104c63" /><Relationship Type="http://schemas.openxmlformats.org/officeDocument/2006/relationships/worksheet" Target="/xl/worksheets/sheet3.xml" Id="R0cdb33de5f2b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42" hidden="0" customWidth="1"/>
    <x:col min="4" max="4" width="23" hidden="0" customWidth="1"/>
    <x:col min="5" max="5" width="18" hidden="0" customWidth="1"/>
    <x:col min="6" max="6" width="28" hidden="0" customWidth="1"/>
  </x:cols>
  <x:sheetData>
    <x:row r="1" ht="34" customHeight="1">
      <x:c r="A1" s="3" t="str">
        <x:v>B팀 KOSIS 검증 진행현황</x:v>
      </x:c>
      <x:c r="B1" s="3"/>
      <x:c r="C1" s="3"/>
      <x:c r="D1" s="3"/>
      <x:c r="E1" s="3"/>
      <x:c r="F1" s="3"/>
    </x:row>
    <x:row r="2" ht="28" customHeight="1">
      <x:c r="A2" s="6" t="str">
        <x:v>표본 API 실행 완료 · 1,998건 전체 확대는 매핑 품질 재검토 후 진행</x:v>
      </x:c>
      <x:c r="B2" s="6"/>
      <x:c r="C2" s="6"/>
      <x:c r="D2" s="6"/>
      <x:c r="E2" s="6"/>
      <x:c r="F2" s="6"/>
    </x:row>
    <x:row r="4">
      <x:c r="A4" s="41" t="str">
        <x:v>검토 완료 데이터</x:v>
      </x:c>
      <x:c r="B4" s="42" t="str">
        <x:v>건수</x:v>
      </x:c>
      <x:c r="C4" s="68"/>
      <x:c r="D4" s="41" t="str">
        <x:v>24건 표본 검증</x:v>
      </x:c>
      <x:c r="E4" s="44" t="str">
        <x:v>건수</x:v>
      </x:c>
      <x:c r="F4" s="42" t="str">
        <x:v>비율</x:v>
      </x:c>
    </x:row>
    <x:row r="5">
      <x:c r="A5" s="69" t="str">
        <x:v>주요 ID 4종 완성</x:v>
      </x:c>
      <x:c r="B5" s="70" t="n">
        <x:v>1998</x:v>
      </x:c>
      <x:c r="C5" s="68"/>
      <x:c r="D5" s="69" t="str">
        <x:v>일치</x:v>
      </x:c>
      <x:c r="E5" s="71" t="n">
        <x:v>1</x:v>
      </x:c>
      <x:c r="F5" s="72" t="n">
        <x:f>E5/$E$8</x:f>
        <x:v>0.041666666666666664</x:v>
      </x:c>
    </x:row>
    <x:row r="6">
      <x:c r="A6" s="73" t="str">
        <x:v>수동 판단불가</x:v>
      </x:c>
      <x:c r="B6" s="74" t="n">
        <x:v>3</x:v>
      </x:c>
      <x:c r="C6" s="68"/>
      <x:c r="D6" s="73" t="str">
        <x:v>불일치</x:v>
      </x:c>
      <x:c r="E6" s="75" t="n">
        <x:v>13</x:v>
      </x:c>
      <x:c r="F6" s="76" t="n">
        <x:f>E6/$E$8</x:f>
        <x:v>0.5416666666666666</x:v>
      </x:c>
    </x:row>
    <x:row r="7">
      <x:c r="A7" s="77" t="str">
        <x:v>합계</x:v>
      </x:c>
      <x:c r="B7" s="78" t="n">
        <x:f>B5+B6</x:f>
        <x:v>2001</x:v>
      </x:c>
      <x:c r="C7" s="68"/>
      <x:c r="D7" s="79" t="str">
        <x:v>판단불가</x:v>
      </x:c>
      <x:c r="E7" s="80" t="n">
        <x:v>10</x:v>
      </x:c>
      <x:c r="F7" s="81" t="n">
        <x:f>E7/$E$8</x:f>
        <x:v>0.4166666666666667</x:v>
      </x:c>
    </x:row>
    <x:row r="8">
      <x:c r="A8" s="68"/>
      <x:c r="B8" s="68"/>
      <x:c r="C8" s="68"/>
      <x:c r="D8" s="77" t="str">
        <x:v>합계</x:v>
      </x:c>
      <x:c r="E8" s="82" t="n">
        <x:f>SUM(E5:E7)</x:f>
        <x:v>24</x:v>
      </x:c>
      <x:c r="F8" s="78"/>
    </x:row>
    <x:row r="9">
      <x:c r="A9" s="68"/>
      <x:c r="B9" s="68"/>
      <x:c r="C9" s="68"/>
      <x:c r="D9" s="68"/>
      <x:c r="E9" s="68"/>
      <x:c r="F9" s="68"/>
    </x:row>
    <x:row r="10">
      <x:c r="A10" s="41" t="str">
        <x:v>4,403건 수동검토 큐</x:v>
      </x:c>
      <x:c r="B10" s="44" t="str">
        <x:v>건수</x:v>
      </x:c>
      <x:c r="C10" s="42" t="str">
        <x:v>의미</x:v>
      </x:c>
      <x:c r="D10" s="68"/>
      <x:c r="E10" s="68"/>
      <x:c r="F10" s="68"/>
    </x:row>
    <x:row r="11">
      <x:c r="A11" s="83" t="str">
        <x:v>P0</x:v>
      </x:c>
      <x:c r="B11" s="84" t="n">
        <x:v>139</x:v>
      </x:c>
      <x:c r="C11" s="85" t="str">
        <x:v>주요 ID 4종 완성 · 매핑 적합성 확인 후 API 가능</x:v>
      </x:c>
      <x:c r="D11" s="68"/>
      <x:c r="E11" s="68"/>
      <x:c r="F11" s="68"/>
    </x:row>
    <x:row r="12">
      <x:c r="A12" s="86" t="str">
        <x:v>P2</x:v>
      </x:c>
      <x:c r="B12" s="87" t="n">
        <x:v>58</x:v>
      </x:c>
      <x:c r="C12" s="88" t="str">
        <x:v>기관·표 확정 · 분류/항목 후보 선택 필요</x:v>
      </x:c>
      <x:c r="D12" s="68"/>
      <x:c r="E12" s="68"/>
      <x:c r="F12" s="68"/>
    </x:row>
    <x:row r="13">
      <x:c r="A13" s="86" t="str">
        <x:v>P4</x:v>
      </x:c>
      <x:c r="B13" s="87" t="n">
        <x:v>4206</x:v>
      </x:c>
      <x:c r="C13" s="88" t="str">
        <x:v>기관·통계표부터 다시 선택 필요</x:v>
      </x:c>
      <x:c r="D13" s="68"/>
      <x:c r="E13" s="68"/>
      <x:c r="F13" s="68"/>
    </x:row>
    <x:row r="14">
      <x:c r="A14" s="77" t="str">
        <x:v>합계</x:v>
      </x:c>
      <x:c r="B14" s="82" t="n">
        <x:f>SUM(B11:B13)</x:f>
        <x:v>4403</x:v>
      </x:c>
      <x:c r="C14" s="78" t="str"/>
      <x:c r="D14" s="68"/>
      <x:c r="E14" s="68"/>
      <x:c r="F14" s="68"/>
    </x:row>
    <x:row r="15">
      <x:c r="A15" s="68"/>
      <x:c r="B15" s="68"/>
      <x:c r="C15" s="68"/>
      <x:c r="D15" s="68"/>
      <x:c r="E15" s="68"/>
      <x:c r="F15" s="68"/>
    </x:row>
    <x:row r="16">
      <x:c r="A16" s="41" t="str">
        <x:v>판정</x:v>
      </x:c>
      <x:c r="B16" s="44" t="str">
        <x:v>대상</x:v>
      </x:c>
      <x:c r="C16" s="44" t="str">
        <x:v>결론</x:v>
      </x:c>
      <x:c r="D16" s="44" t="str">
        <x:v>근거</x:v>
      </x:c>
      <x:c r="E16" s="44" t="str">
        <x:v>현재 상태</x:v>
      </x:c>
      <x:c r="F16" s="42" t="str">
        <x:v>다음 조치</x:v>
      </x:c>
    </x:row>
    <x:row r="17">
      <x:c r="A17" s="83" t="str">
        <x:v>완료</x:v>
      </x:c>
      <x:c r="B17" s="84" t="str">
        <x:v>미완성 3건</x:v>
      </x:c>
      <x:c r="C17" s="84" t="str">
        <x:v>판단불가</x:v>
      </x:c>
      <x:c r="D17" s="84" t="str">
        <x:v>선택 통계표의 지표·단위·분류축이 주장과 불일치</x:v>
      </x:c>
      <x:c r="E17" s="84" t="str">
        <x:v>분리 완료</x:v>
      </x:c>
      <x:c r="F17" s="85" t="str">
        <x:v>새 통계표를 찾을 때만 재개</x:v>
      </x:c>
    </x:row>
    <x:row r="18">
      <x:c r="A18" s="86" t="str">
        <x:v>완료</x:v>
      </x:c>
      <x:c r="B18" s="87" t="str">
        <x:v>표본 24건</x:v>
      </x:c>
      <x:c r="C18" s="87" t="str">
        <x:v>API 14건 성공</x:v>
      </x:c>
      <x:c r="D18" s="87" t="str">
        <x:v>일치 1 · 불일치 13 · 판단불가 10</x:v>
      </x:c>
      <x:c r="E18" s="87" t="str">
        <x:v>품질 게이트 실패</x:v>
      </x:c>
      <x:c r="F18" s="88" t="str">
        <x:v>매핑 적합성 재검토</x:v>
      </x:c>
    </x:row>
    <x:row r="19">
      <x:c r="A19" s="86" t="str">
        <x:v>보류</x:v>
      </x:c>
      <x:c r="B19" s="87" t="str">
        <x:v>1,998건 전체</x:v>
      </x:c>
      <x:c r="C19" s="87" t="str">
        <x:v>실행하지 않음</x:v>
      </x:c>
      <x:c r="D19" s="87" t="str">
        <x:v>표본에서 세율·설문·수출 등 명백한 오매핑 확인</x:v>
      </x:c>
      <x:c r="E19" s="87" t="str">
        <x:v>재검토 큐 생성</x:v>
      </x:c>
      <x:c r="F19" s="88" t="str">
        <x:v>우선순위 순으로 수정 후 재표본</x:v>
      </x:c>
    </x:row>
    <x:row r="20">
      <x:c r="A20" s="89" t="str">
        <x:v>준비</x:v>
      </x:c>
      <x:c r="B20" s="90" t="str">
        <x:v>4,403건</x:v>
      </x:c>
      <x:c r="C20" s="90" t="str">
        <x:v>우선순위화</x:v>
      </x:c>
      <x:c r="D20" s="90" t="str">
        <x:v>P0 139 · P2 58 · P4 4,206</x:v>
      </x:c>
      <x:c r="E20" s="90" t="str">
        <x:v>1차 100건 배치 생성</x:v>
      </x:c>
      <x:c r="F20" s="91" t="str">
        <x:v>P0부터 수동 검토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50" hidden="0" customWidth="1"/>
    <x:col min="4" max="4" width="43" hidden="0" customWidth="1"/>
  </x:cols>
  <x:sheetData>
    <x:row r="1" ht="34" customHeight="1">
      <x:c r="A1" s="3" t="str">
        <x:v>다음 작업 순서</x:v>
      </x:c>
      <x:c r="B1" s="3"/>
      <x:c r="C1" s="3"/>
      <x:c r="D1" s="3"/>
    </x:row>
    <x:row r="3">
      <x:c r="A3" s="9" t="str">
        <x:v>순서</x:v>
      </x:c>
      <x:c r="B3" s="9" t="str">
        <x:v>대상</x:v>
      </x:c>
      <x:c r="C3" s="9" t="str">
        <x:v>완료 조건</x:v>
      </x:c>
      <x:c r="D3" s="9" t="str">
        <x:v>현재 산출물</x:v>
      </x:c>
    </x:row>
    <x:row r="4">
      <x:c r="A4" s="95" t="n">
        <x:v>1</x:v>
      </x:c>
      <x:c r="B4" s="96" t="str">
        <x:v>표본 오매핑 23건</x:v>
      </x:c>
      <x:c r="C4" s="96" t="str">
        <x:v>올바른 통계표·분류·항목·단위·기간을 수동 확인</x:v>
      </x:c>
      <x:c r="D4" s="97" t="str">
        <x:v>bteam_kosis_mapping_recheck_1998.csv</x:v>
      </x:c>
    </x:row>
    <x:row r="5">
      <x:c r="A5" s="98" t="n">
        <x:v>2</x:v>
      </x:c>
      <x:c r="B5" s="80" t="str">
        <x:v>P0 수동검토 139건</x:v>
      </x:c>
      <x:c r="C5" s="80" t="str">
        <x:v>주요 ID 4종의 의미가 claim과 일치함을 확인</x:v>
      </x:c>
      <x:c r="D5" s="99" t="str">
        <x:v>bteam_kosis_review_manual_batch_001.csv</x:v>
      </x:c>
    </x:row>
    <x:row r="6">
      <x:c r="A6" s="93" t="n">
        <x:v>3</x:v>
      </x:c>
      <x:c r="B6" s="87" t="str">
        <x:v>표본 재실행</x:v>
      </x:c>
      <x:c r="C6" s="87" t="str">
        <x:v>API 성공률과 의미 매핑 적합성을 함께 통과</x:v>
      </x:c>
      <x:c r="D6" s="88" t="str">
        <x:v>bteam_kosis_claim_mapping_sample.csv</x:v>
      </x:c>
    </x:row>
    <x:row r="7">
      <x:c r="A7" s="93" t="n">
        <x:v>4</x:v>
      </x:c>
      <x:c r="B7" s="87" t="str">
        <x:v>1,998건 전체 실행</x:v>
      </x:c>
      <x:c r="C7" s="87" t="str">
        <x:v>표본 품질 게이트 통과 후 캐시 기반 실행</x:v>
      </x:c>
      <x:c r="D7" s="88" t="str">
        <x:v>현재 보류</x:v>
      </x:c>
    </x:row>
    <x:row r="8">
      <x:c r="A8" s="94" t="n">
        <x:v>5</x:v>
      </x:c>
      <x:c r="B8" s="90" t="str">
        <x:v>P2/P4 후속</x:v>
      </x:c>
      <x:c r="C8" s="90" t="str">
        <x:v>58건 후보 선택 후 4,206건 통계표 탐색</x:v>
      </x:c>
      <x:c r="D8" s="91" t="str">
        <x:v>bteam_kosis_review_manual_prioritized_4403.csv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5" hidden="0" customWidth="1"/>
    <x:col min="3" max="3" width="30" hidden="0" customWidth="1"/>
    <x:col min="4" max="4" width="15" hidden="0" customWidth="1"/>
    <x:col min="5" max="5" width="58" hidden="0" customWidth="1"/>
  </x:cols>
  <x:sheetData>
    <x:row r="1" ht="34" customHeight="1">
      <x:c r="A1" s="3" t="str">
        <x:v>수동 판단불가 3건</x:v>
      </x:c>
      <x:c r="B1" s="3"/>
      <x:c r="C1" s="3"/>
      <x:c r="D1" s="3"/>
      <x:c r="E1" s="3"/>
    </x:row>
    <x:row r="3">
      <x:c r="A3" s="9" t="str">
        <x:v>claim_id</x:v>
      </x:c>
      <x:c r="B3" s="9" t="str">
        <x:v>주장 요약</x:v>
      </x:c>
      <x:c r="C3" s="9" t="str">
        <x:v>선택 통계표</x:v>
      </x:c>
      <x:c r="D3" s="9" t="str">
        <x:v>판정</x:v>
      </x:c>
      <x:c r="E3" s="9" t="str">
        <x:v>근거</x:v>
      </x:c>
    </x:row>
    <x:row r="4">
      <x:c r="A4" s="83" t="str">
        <x:v>C13755</x:v>
      </x:c>
      <x:c r="B4" s="84" t="str">
        <x:v>고등어 소매가격 4,731원 · 전년동월비 29.9% 상승</x:v>
      </x:c>
      <x:c r="C4" s="84" t="str">
        <x:v>품목별 수출액·수입액</x:v>
      </x:c>
      <x:c r="D4" s="101" t="str">
        <x:v>판단불가</x:v>
      </x:c>
      <x:c r="E4" s="85" t="str">
        <x:v>소매가격(원/마리)과 무역금액(천달러)은 지표·단위가 다름</x:v>
      </x:c>
    </x:row>
    <x:row r="5">
      <x:c r="A5" s="86" t="str">
        <x:v>C13774</x:v>
      </x:c>
      <x:c r="B5" s="87" t="str">
        <x:v>브라질산 닭고기 수입량 17만8,956t · 비중 71.6%</x:v>
      </x:c>
      <x:c r="C5" s="87" t="str">
        <x:v>품목별 수출액·수입액</x:v>
      </x:c>
      <x:c r="D5" s="102" t="str">
        <x:v>판단불가</x:v>
      </x:c>
      <x:c r="E5" s="88" t="str">
        <x:v>국가별 수입물량·비중이 필요한데 선택 표는 무역금액이며 itm_id도 수출액 코드</x:v>
      </x:c>
    </x:row>
    <x:row r="6">
      <x:c r="A6" s="89" t="str">
        <x:v>C19540</x:v>
      </x:c>
      <x:c r="B6" s="90" t="str">
        <x:v>20대 쉬었음 39만6,000명 · 전년동월비 2,000명 증가</x:v>
      </x:c>
      <x:c r="C6" s="90" t="str">
        <x:v>청년층 고용보조지표</x:v>
      </x:c>
      <x:c r="D6" s="103" t="str">
        <x:v>판단불가</x:v>
      </x:c>
      <x:c r="E6" s="91" t="str">
        <x:v>분류축에 쉬었음 항목이 없고 잠재경제활동인구·실업자 등만 존재</x:v>
      </x:c>
    </x:row>
  </x:sheetData>
  <x:mergeCells>
    <x:mergeCell ref="A1:E1"/>
  </x:mergeCells>
  <x:pageMargins left="0.7" right="0.7" top="0.75" bottom="0.75" header="0.3" footer="0.3"/>
</x:worksheet>
</file>