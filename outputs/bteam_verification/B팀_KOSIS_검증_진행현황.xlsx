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aae1b8b24042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진행현황" sheetId="1" r:id="R0a3c33e9c67d4764"/>
    <x:sheet xmlns:r="http://schemas.openxmlformats.org/officeDocument/2006/relationships" name="다음작업" sheetId="2" r:id="R92bb2315c2d045ae"/>
    <x:sheet xmlns:r="http://schemas.openxmlformats.org/officeDocument/2006/relationships" name="판단불가_3건" sheetId="3" r:id="R9e6944f413f747a0"/>
    <x:sheet xmlns:r="http://schemas.openxmlformats.org/officeDocument/2006/relationships" name="70건_재검증" sheetId="4" r:id="R83ca3b63003a4dff"/>
    <x:sheet xmlns:r="http://schemas.openxmlformats.org/officeDocument/2006/relationships" name="33건_수동확정" sheetId="5" r:id="R6e1df404422b4c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7A4E00"/>
      <x:name val="Carlito"/>
    </x:font>
    <x:font>
      <x:b/>
      <x:sz val="11"/>
      <x:color rgb="FFFFFFFF"/>
      <x:name val="Carlito"/>
    </x:font>
    <x:font>
      <x:b/>
      <x:sz val="11"/>
      <x:color rgb="FF1F2933"/>
      <x:name val="Carlito"/>
    </x:font>
    <x:font>
      <x:b/>
      <x:sz val="11"/>
      <x:color rgb="FF8A1C12"/>
      <x:name val="Carlito"/>
    </x:font>
    <x:font>
      <x:b/>
      <x:sz val="11"/>
      <x:name val="Carlito"/>
    </x:font>
    <x:font>
      <x:b/>
      <x:sz val="20"/>
      <x:color rgb="FFFFFFFF"/>
      <x:name val="Carlito"/>
    </x:font>
    <x:font>
      <x:b/>
      <x:sz val="11"/>
      <x:color rgb="FF7F6000"/>
      <x:name val="Carlito"/>
    </x:font>
    <x:font>
      <x:b/>
      <x:sz val="11"/>
      <x:color rgb="FF9C0006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2563A6"/>
      </x:patternFill>
    </x:fill>
    <x:fill>
      <x:patternFill patternType="solid">
        <x:fgColor rgb="FFE7F4EA"/>
      </x:patternFill>
    </x:fill>
    <x:fill>
      <x:patternFill patternType="solid">
        <x:fgColor rgb="FFFCE8E6"/>
      </x:patternFill>
    </x:fill>
    <x:fill>
      <x:patternFill patternType="solid">
        <x:fgColor rgb="FF2F75B5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2F75B5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2F75B5"/>
      </x:patternFill>
    </x:fill>
  </x:fills>
  <x:borders count="27">
    <x:border/>
    <x:border>
      <x:left style="thin">
        <x:color rgb="FFCAD5E0"/>
      </x:left>
      <x:top style="thin">
        <x:color rgb="FFCAD5E0"/>
      </x:top>
      <x:bottom style="thin">
        <x:color rgb="FFCAD5E0"/>
      </x:bottom>
    </x:border>
    <x:border>
      <x:right style="thin">
        <x:color rgb="FFCAD5E0"/>
      </x:right>
      <x:top style="thin">
        <x:color rgb="FFCAD5E0"/>
      </x:top>
      <x:bottom style="thin">
        <x:color rgb="FFCAD5E0"/>
      </x:bottom>
    </x:border>
    <x:border>
      <x:top style="thin">
        <x:color rgb="FFCAD5E0"/>
      </x:top>
      <x:bottom style="thin">
        <x:color rgb="FFCAD5E0"/>
      </x:bottom>
    </x:border>
    <x:border>
      <x:right style="thin">
        <x:color rgb="FFCAD5E0"/>
      </x:right>
      <x:bottom style="thin">
        <x:color rgb="FFCAD5E0"/>
      </x:bottom>
    </x:border>
    <x:border>
      <x:left style="thin">
        <x:color rgb="FFCAD5E0"/>
      </x:left>
      <x:bottom style="thin">
        <x:color rgb="FFCAD5E0"/>
      </x:bottom>
    </x:border>
    <x:border>
      <x:right style="thin">
        <x:color rgb="FFCAD5E0"/>
      </x:right>
      <x:top style="thin">
        <x:color rgb="FFCAD5E0"/>
      </x:top>
    </x:border>
    <x:border>
      <x:left style="thin">
        <x:color rgb="FFCAD5E0"/>
      </x:left>
      <x:top style="thin">
        <x:color rgb="FFCAD5E0"/>
      </x:top>
    </x:border>
    <x:border>
      <x:left style="thin">
        <x:color rgb="FFCAD5E0"/>
      </x:left>
      <x:right style="thin">
        <x:color rgb="FFCAD5E0"/>
      </x:right>
      <x:bottom style="thin">
        <x:color rgb="FFCAD5E0"/>
      </x:bottom>
    </x:border>
    <x:border>
      <x:left style="thin">
        <x:color rgb="FFCAD5E0"/>
      </x:left>
      <x:right style="thin">
        <x:color rgb="FFCAD5E0"/>
      </x:right>
      <x:top style="thin">
        <x:color rgb="FFCAD5E0"/>
      </x:top>
      <x:bottom style="thin">
        <x:color rgb="FFCAD5E0"/>
      </x:bottom>
    </x:border>
    <x:border>
      <x:left style="thin">
        <x:color rgb="FFCAD5E0"/>
      </x:left>
      <x:right style="thin">
        <x:color rgb="FFCAD5E0"/>
      </x:right>
      <x:top style="thin">
        <x:color rgb="FFCAD5E0"/>
      </x:top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E6B800"/>
      </x:left>
      <x:top style="thin">
        <x:color rgb="FFE6B800"/>
      </x:top>
    </x:border>
    <x:border>
      <x:top style="thin">
        <x:color rgb="FFE6B800"/>
      </x:top>
    </x:border>
    <x:border>
      <x:right style="thin">
        <x:color rgb="FFE6B800"/>
      </x:right>
      <x:top style="thin">
        <x:color rgb="FFE6B800"/>
      </x:top>
    </x:border>
    <x:border>
      <x:left style="thin">
        <x:color rgb="FFE6B800"/>
      </x:left>
      <x:bottom style="thin">
        <x:color rgb="FFE6B800"/>
      </x:bottom>
    </x:border>
    <x:border>
      <x:bottom style="thin">
        <x:color rgb="FFE6B800"/>
      </x:bottom>
    </x:border>
    <x:border>
      <x:right style="thin">
        <x:color rgb="FFE6B800"/>
      </x:right>
      <x:bottom style="thin">
        <x:color rgb="FFE6B800"/>
      </x:bottom>
    </x:border>
  </x:borders>
  <x:cellStyleXfs count="1">
    <x:xf numFmtId="0" fontId="0" fillId="0" borderId="0"/>
  </x:cellStyleXfs>
  <x:cellXfs count="3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2" xfId="0" applyNumberFormat="1" applyFont="1" applyFill="1" applyBorder="1"/>
    <x:xf numFmtId="0" fontId="0" fillId="0" borderId="1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5" xfId="0" applyNumberFormat="1" applyFont="1" applyFill="1" applyBorder="1"/>
    <x:xf numFmtId="0" fontId="0" fillId="0" borderId="9" xfId="0" applyNumberFormat="1" applyFont="1" applyFill="1" applyBorder="1"/>
    <x:xf numFmtId="200" fontId="0" fillId="0" borderId="1" xfId="0" applyNumberFormat="1" applyFont="1" applyFill="1" applyBorder="1"/>
    <x:xf numFmtId="0" fontId="0" fillId="0" borderId="10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6" borderId="2" xfId="0" applyNumberFormat="1" applyFont="1" applyFill="1" applyBorder="1"/>
    <x:xf numFmtId="0" fontId="0" fillId="6" borderId="1" xfId="0" applyNumberFormat="1" applyFont="1" applyFill="1" applyBorder="1"/>
    <x:xf numFmtId="0" fontId="0" fillId="5" borderId="8" xfId="0" applyNumberFormat="1" applyFont="1" applyFill="1" applyBorder="1"/>
    <x:xf numFmtId="200" fontId="0" fillId="5" borderId="5" xfId="0" applyNumberFormat="1" applyFont="1" applyFill="1" applyBorder="1"/>
    <x:xf numFmtId="0" fontId="0" fillId="6" borderId="9" xfId="0" applyNumberFormat="1" applyFont="1" applyFill="1" applyBorder="1"/>
    <x:xf numFmtId="200" fontId="0" fillId="6" borderId="1" xfId="0" applyNumberFormat="1" applyFont="1" applyFill="1" applyBorder="1"/>
    <x:xf numFmtId="0" fontId="0" fillId="3" borderId="2" xfId="0" applyNumberFormat="1" applyFont="1" applyFill="1" applyBorder="1"/>
    <x:xf numFmtId="0" fontId="0" fillId="3" borderId="9" xfId="0" applyNumberFormat="1" applyFont="1" applyFill="1" applyBorder="1"/>
    <x:xf numFmtId="200" fontId="0" fillId="3" borderId="1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10" xfId="0" applyNumberFormat="1" applyFont="1" applyFill="1" applyBorder="1"/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200" fontId="0" fillId="5" borderId="5" xfId="0" applyNumberFormat="1" applyFont="1" applyFill="1" applyBorder="1" applyAlignment="1">
      <x:alignment wrapText="1"/>
    </x:xf>
    <x:xf numFmtId="0" fontId="0" fillId="6" borderId="2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0" fillId="6" borderId="9" xfId="0" applyNumberFormat="1" applyFont="1" applyFill="1" applyBorder="1" applyAlignment="1">
      <x:alignment wrapText="1"/>
    </x:xf>
    <x:xf numFmtId="200" fontId="0" fillId="6" borderId="1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200" fontId="0" fillId="3" borderId="1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5" borderId="4" xfId="0" applyNumberFormat="1" applyFont="1" applyFill="1" applyBorder="1" applyAlignment="1">
      <x:alignment vertical="center" wrapText="1"/>
    </x:xf>
    <x:xf numFmtId="0" fontId="0" fillId="5" borderId="5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center" wrapText="1"/>
    </x:xf>
    <x:xf numFmtId="200" fontId="0" fillId="5" borderId="5" xfId="0" applyNumberFormat="1" applyFont="1" applyFill="1" applyBorder="1" applyAlignment="1">
      <x:alignment vertical="center" wrapText="1"/>
    </x:xf>
    <x:xf numFmtId="0" fontId="0" fillId="6" borderId="2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0" fontId="0" fillId="6" borderId="9" xfId="0" applyNumberFormat="1" applyFont="1" applyFill="1" applyBorder="1" applyAlignment="1">
      <x:alignment vertical="center" wrapText="1"/>
    </x:xf>
    <x:xf numFmtId="200" fontId="0" fillId="6" borderId="1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200" fontId="0" fillId="3" borderId="1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 applyAlignment="1">
      <x:alignment horizontal="center" vertical="center" wrapText="1"/>
    </x:xf>
    <x:xf numFmtId="0" fontId="0" fillId="6" borderId="4" xfId="0" applyNumberFormat="1" applyFont="1" applyFill="1" applyBorder="1" applyAlignment="1">
      <x:alignment horizontal="center" vertical="center" wrapText="1"/>
    </x:xf>
    <x:xf numFmtId="0" fontId="0" fillId="6" borderId="8" xfId="0" applyNumberFormat="1" applyFont="1" applyFill="1" applyBorder="1" applyAlignment="1">
      <x:alignment vertical="center" wrapText="1"/>
    </x:xf>
    <x:xf numFmtId="0" fontId="0" fillId="6" borderId="5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0" fillId="6" borderId="10" xfId="0" applyNumberFormat="1" applyFont="1" applyFill="1" applyBorder="1" applyAlignment="1">
      <x:alignment vertical="center" wrapText="1"/>
    </x:xf>
    <x:xf numFmtId="0" fontId="5" fillId="6" borderId="8" xfId="0" applyNumberFormat="1" applyFont="1" applyFill="1" applyBorder="1" applyAlignment="1">
      <x:alignment vertical="center" wrapText="1"/>
    </x:xf>
    <x:xf numFmtId="0" fontId="5" fillId="6" borderId="9" xfId="0" applyNumberFormat="1" applyFont="1" applyFill="1" applyBorder="1" applyAlignment="1">
      <x:alignment vertical="center" wrapText="1"/>
    </x:xf>
    <x:xf numFmtId="0" fontId="5" fillId="6" borderId="1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11" xfId="0" applyNumberFormat="1" applyFont="1" applyFill="1" applyBorder="1" applyAlignment="1">
      <x:alignment vertical="center" wrapText="1"/>
    </x:xf>
    <x:xf numFmtId="0" fontId="3" fillId="7" borderId="12" xfId="0" applyNumberFormat="1" applyFont="1" applyFill="1" applyBorder="1" applyAlignment="1">
      <x:alignment vertical="center" wrapText="1"/>
    </x:xf>
    <x:xf numFmtId="0" fontId="3" fillId="7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8" borderId="14" xfId="0" applyNumberFormat="1" applyFont="1" applyFill="1" applyBorder="1" applyAlignment="1">
      <x:alignment vertical="center" wrapText="1"/>
    </x:xf>
    <x:xf numFmtId="0" fontId="0" fillId="8" borderId="15" xfId="0" applyNumberFormat="1" applyFont="1" applyFill="1" applyBorder="1" applyAlignment="1">
      <x:alignment vertical="center" wrapText="1"/>
    </x:xf>
    <x:xf numFmtId="0" fontId="0" fillId="8" borderId="16" xfId="0" applyNumberFormat="1" applyFont="1" applyFill="1" applyBorder="1" applyAlignment="1">
      <x:alignment vertical="center" wrapText="1"/>
    </x:xf>
    <x:xf numFmtId="0" fontId="0" fillId="9" borderId="13" xfId="0" applyNumberFormat="1" applyFont="1" applyFill="1" applyBorder="1" applyAlignment="1">
      <x:alignment vertical="center" wrapText="1"/>
    </x:xf>
    <x:xf numFmtId="0" fontId="0" fillId="9" borderId="17" xfId="0" applyNumberFormat="1" applyFont="1" applyFill="1" applyBorder="1" applyAlignment="1">
      <x:alignment vertical="center" wrapText="1"/>
    </x:xf>
    <x:xf numFmtId="0" fontId="0" fillId="9" borderId="11" xfId="0" applyNumberFormat="1" applyFont="1" applyFill="1" applyBorder="1" applyAlignment="1">
      <x:alignment vertical="center" wrapText="1"/>
    </x:xf>
    <x:xf numFmtId="0" fontId="0" fillId="10" borderId="13" xfId="0" applyNumberFormat="1" applyFont="1" applyFill="1" applyBorder="1" applyAlignment="1">
      <x:alignment vertical="center" wrapText="1"/>
    </x:xf>
    <x:xf numFmtId="0" fontId="0" fillId="10" borderId="17" xfId="0" applyNumberFormat="1" applyFont="1" applyFill="1" applyBorder="1" applyAlignment="1">
      <x:alignment vertical="center" wrapText="1"/>
    </x:xf>
    <x:xf numFmtId="0" fontId="0" fillId="10" borderId="11" xfId="0" applyNumberFormat="1" applyFont="1" applyFill="1" applyBorder="1" applyAlignment="1">
      <x:alignment vertical="center" wrapText="1"/>
    </x:xf>
    <x:xf numFmtId="0" fontId="6" fillId="0" borderId="18" xfId="0" applyNumberFormat="1" applyFont="1" applyFill="1" applyBorder="1" applyAlignment="1">
      <x:alignment vertical="center" wrapText="1"/>
    </x:xf>
    <x:xf numFmtId="0" fontId="6" fillId="0" borderId="19" xfId="0" applyNumberFormat="1" applyFont="1" applyFill="1" applyBorder="1" applyAlignment="1">
      <x:alignment vertical="center" wrapText="1"/>
    </x:xf>
    <x:xf numFmtId="0" fontId="6" fillId="0" borderId="20" xfId="0" applyNumberFormat="1" applyFont="1" applyFill="1" applyBorder="1" applyAlignment="1">
      <x:alignment vertical="center" wrapText="1"/>
    </x:xf>
    <x:xf numFmtId="201" fontId="0" fillId="8" borderId="15" xfId="0" applyNumberFormat="1" applyFont="1" applyFill="1" applyBorder="1" applyAlignment="1">
      <x:alignment vertical="center" wrapText="1"/>
    </x:xf>
    <x:xf numFmtId="201" fontId="0" fillId="9" borderId="17" xfId="0" applyNumberFormat="1" applyFont="1" applyFill="1" applyBorder="1" applyAlignment="1">
      <x:alignment vertical="center" wrapText="1"/>
    </x:xf>
    <x:xf numFmtId="201" fontId="0" fillId="10" borderId="17" xfId="0" applyNumberFormat="1" applyFont="1" applyFill="1" applyBorder="1" applyAlignment="1">
      <x:alignment vertical="center" wrapText="1"/>
    </x:xf>
    <x:xf numFmtId="201" fontId="6" fillId="0" borderId="19" xfId="0" applyNumberFormat="1" applyFont="1" applyFill="1" applyBorder="1" applyAlignment="1">
      <x:alignment vertical="center" wrapText="1"/>
    </x:xf>
    <x:xf numFmtId="200" fontId="0" fillId="8" borderId="16" xfId="0" applyNumberFormat="1" applyFont="1" applyFill="1" applyBorder="1" applyAlignment="1">
      <x:alignment vertical="center" wrapText="1"/>
    </x:xf>
    <x:xf numFmtId="200" fontId="0" fillId="9" borderId="11" xfId="0" applyNumberFormat="1" applyFont="1" applyFill="1" applyBorder="1" applyAlignment="1">
      <x:alignment vertical="center" wrapText="1"/>
    </x:xf>
    <x:xf numFmtId="200" fontId="0" fillId="10" borderId="11" xfId="0" applyNumberFormat="1" applyFont="1" applyFill="1" applyBorder="1" applyAlignment="1">
      <x:alignment vertical="center" wrapText="1"/>
    </x:xf>
    <x:xf numFmtId="200" fontId="6" fillId="0" borderId="2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1" xfId="0" applyNumberFormat="1" applyFont="1" applyFill="1" applyBorder="1"/>
    <x:xf numFmtId="0" fontId="3" fillId="7" borderId="12" xfId="0" applyNumberFormat="1" applyFont="1" applyFill="1" applyBorder="1"/>
    <x:xf numFmtId="0" fontId="3" fillId="7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3" xfId="0" applyNumberFormat="1" applyFont="1" applyFill="1" applyBorder="1"/>
    <x:xf numFmtId="0" fontId="0" fillId="0" borderId="17" xfId="0" applyNumberFormat="1" applyFont="1" applyFill="1" applyBorder="1"/>
    <x:xf numFmtId="0" fontId="0" fillId="0" borderId="11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8" borderId="14" xfId="0" applyNumberFormat="1" applyFont="1" applyFill="1" applyBorder="1"/>
    <x:xf numFmtId="0" fontId="0" fillId="8" borderId="15" xfId="0" applyNumberFormat="1" applyFont="1" applyFill="1" applyBorder="1"/>
    <x:xf numFmtId="0" fontId="0" fillId="8" borderId="16" xfId="0" applyNumberFormat="1" applyFont="1" applyFill="1" applyBorder="1"/>
    <x:xf numFmtId="0" fontId="0" fillId="9" borderId="13" xfId="0" applyNumberFormat="1" applyFont="1" applyFill="1" applyBorder="1"/>
    <x:xf numFmtId="0" fontId="0" fillId="9" borderId="17" xfId="0" applyNumberFormat="1" applyFont="1" applyFill="1" applyBorder="1"/>
    <x:xf numFmtId="0" fontId="0" fillId="9" borderId="11" xfId="0" applyNumberFormat="1" applyFont="1" applyFill="1" applyBorder="1"/>
    <x:xf numFmtId="0" fontId="0" fillId="10" borderId="13" xfId="0" applyNumberFormat="1" applyFont="1" applyFill="1" applyBorder="1"/>
    <x:xf numFmtId="0" fontId="0" fillId="10" borderId="17" xfId="0" applyNumberFormat="1" applyFont="1" applyFill="1" applyBorder="1"/>
    <x:xf numFmtId="0" fontId="0" fillId="10" borderId="11" xfId="0" applyNumberFormat="1" applyFont="1" applyFill="1" applyBorder="1"/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201" fontId="0" fillId="8" borderId="15" xfId="0" applyNumberFormat="1" applyFont="1" applyFill="1" applyBorder="1"/>
    <x:xf numFmtId="201" fontId="0" fillId="9" borderId="17" xfId="0" applyNumberFormat="1" applyFont="1" applyFill="1" applyBorder="1"/>
    <x:xf numFmtId="201" fontId="0" fillId="10" borderId="17" xfId="0" applyNumberFormat="1" applyFont="1" applyFill="1" applyBorder="1"/>
    <x:xf numFmtId="201" fontId="6" fillId="0" borderId="19" xfId="0" applyNumberFormat="1" applyFont="1" applyFill="1" applyBorder="1"/>
    <x:xf numFmtId="200" fontId="0" fillId="8" borderId="16" xfId="0" applyNumberFormat="1" applyFont="1" applyFill="1" applyBorder="1"/>
    <x:xf numFmtId="200" fontId="0" fillId="9" borderId="11" xfId="0" applyNumberFormat="1" applyFont="1" applyFill="1" applyBorder="1"/>
    <x:xf numFmtId="200" fontId="0" fillId="10" borderId="11" xfId="0" applyNumberFormat="1" applyFont="1" applyFill="1" applyBorder="1"/>
    <x:xf numFmtId="200" fontId="6" fillId="0" borderId="20" xfId="0" applyNumberFormat="1" applyFont="1" applyFill="1" applyBorder="1"/>
    <x:xf numFmtId="0" fontId="9" fillId="10" borderId="0" xfId="0" applyNumberFormat="1" applyFont="1" applyFill="1" applyBorder="1"/>
    <x:xf numFmtId="0" fontId="9" fillId="10" borderId="21" xfId="0" applyNumberFormat="1" applyFont="1" applyFill="1" applyBorder="1"/>
    <x:xf numFmtId="0" fontId="9" fillId="10" borderId="22" xfId="0" applyNumberFormat="1" applyFont="1" applyFill="1" applyBorder="1"/>
    <x:xf numFmtId="0" fontId="9" fillId="10" borderId="23" xfId="0" applyNumberFormat="1" applyFont="1" applyFill="1" applyBorder="1"/>
    <x:xf numFmtId="0" fontId="9" fillId="10" borderId="24" xfId="0" applyNumberFormat="1" applyFont="1" applyFill="1" applyBorder="1"/>
    <x:xf numFmtId="0" fontId="9" fillId="10" borderId="25" xfId="0" applyNumberFormat="1" applyFont="1" applyFill="1" applyBorder="1"/>
    <x:xf numFmtId="0" fontId="9" fillId="10" borderId="26" xfId="0" applyNumberFormat="1" applyFont="1" applyFill="1" applyBorder="1"/>
    <x:xf numFmtId="0" fontId="9" fillId="10" borderId="21" xfId="0" applyNumberFormat="1" applyFont="1" applyFill="1" applyBorder="1" applyAlignment="1">
      <x:alignment wrapText="1"/>
    </x:xf>
    <x:xf numFmtId="0" fontId="9" fillId="10" borderId="22" xfId="0" applyNumberFormat="1" applyFont="1" applyFill="1" applyBorder="1" applyAlignment="1">
      <x:alignment wrapText="1"/>
    </x:xf>
    <x:xf numFmtId="0" fontId="9" fillId="10" borderId="23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9" fillId="10" borderId="26" xfId="0" applyNumberFormat="1" applyFont="1" applyFill="1" applyBorder="1" applyAlignment="1">
      <x:alignment wrapText="1"/>
    </x:xf>
    <x:xf numFmtId="0" fontId="9" fillId="10" borderId="21" xfId="0" applyNumberFormat="1" applyFont="1" applyFill="1" applyBorder="1" applyAlignment="1">
      <x:alignment vertical="center" wrapText="1"/>
    </x:xf>
    <x:xf numFmtId="0" fontId="9" fillId="10" borderId="22" xfId="0" applyNumberFormat="1" applyFont="1" applyFill="1" applyBorder="1" applyAlignment="1">
      <x:alignment vertical="center" wrapText="1"/>
    </x:xf>
    <x:xf numFmtId="0" fontId="9" fillId="10" borderId="23" xfId="0" applyNumberFormat="1" applyFont="1" applyFill="1" applyBorder="1" applyAlignment="1">
      <x:alignment vertical="center" wrapText="1"/>
    </x:xf>
    <x:xf numFmtId="0" fontId="9" fillId="10" borderId="24" xfId="0" applyNumberFormat="1" applyFont="1" applyFill="1" applyBorder="1" applyAlignment="1">
      <x:alignment vertical="center" wrapText="1"/>
    </x:xf>
    <x:xf numFmtId="0" fontId="9" fillId="10" borderId="25" xfId="0" applyNumberFormat="1" applyFont="1" applyFill="1" applyBorder="1" applyAlignment="1">
      <x:alignment vertical="center" wrapText="1"/>
    </x:xf>
    <x:xf numFmtId="0" fontId="9" fillId="10" borderId="26" xfId="0" applyNumberFormat="1" applyFont="1" applyFill="1" applyBorder="1" applyAlignment="1">
      <x:alignment vertical="center" wrapText="1"/>
    </x:xf>
    <x:xf numFmtId="0" fontId="8" fillId="1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7" borderId="11" xfId="0" applyNumberFormat="1" applyFont="1" applyFill="1" applyBorder="1" applyAlignment="1">
      <x:alignment vertical="center"/>
    </x:xf>
    <x:xf numFmtId="0" fontId="3" fillId="7" borderId="12" xfId="0" applyNumberFormat="1" applyFont="1" applyFill="1" applyBorder="1" applyAlignment="1">
      <x:alignment vertical="center"/>
    </x:xf>
    <x:xf numFmtId="0" fontId="3" fillId="7" borderId="13" xfId="0" applyNumberFormat="1" applyFont="1" applyFill="1" applyBorder="1" applyAlignment="1">
      <x:alignment vertical="center"/>
    </x:xf>
    <x:xf numFmtId="0" fontId="0" fillId="8" borderId="14" xfId="0" applyNumberFormat="1" applyFont="1" applyFill="1" applyBorder="1" applyAlignment="1">
      <x:alignment vertical="center"/>
    </x:xf>
    <x:xf numFmtId="201" fontId="0" fillId="8" borderId="15" xfId="0" applyNumberFormat="1" applyFont="1" applyFill="1" applyBorder="1" applyAlignment="1">
      <x:alignment vertical="center"/>
    </x:xf>
    <x:xf numFmtId="200" fontId="0" fillId="8" borderId="16" xfId="0" applyNumberFormat="1" applyFont="1" applyFill="1" applyBorder="1" applyAlignment="1">
      <x:alignment vertical="center"/>
    </x:xf>
    <x:xf numFmtId="0" fontId="0" fillId="9" borderId="13" xfId="0" applyNumberFormat="1" applyFont="1" applyFill="1" applyBorder="1" applyAlignment="1">
      <x:alignment vertical="center"/>
    </x:xf>
    <x:xf numFmtId="201" fontId="0" fillId="9" borderId="17" xfId="0" applyNumberFormat="1" applyFont="1" applyFill="1" applyBorder="1" applyAlignment="1">
      <x:alignment vertical="center"/>
    </x:xf>
    <x:xf numFmtId="200" fontId="0" fillId="9" borderId="11" xfId="0" applyNumberFormat="1" applyFont="1" applyFill="1" applyBorder="1" applyAlignment="1">
      <x:alignment vertical="center"/>
    </x:xf>
    <x:xf numFmtId="0" fontId="0" fillId="10" borderId="13" xfId="0" applyNumberFormat="1" applyFont="1" applyFill="1" applyBorder="1" applyAlignment="1">
      <x:alignment vertical="center"/>
    </x:xf>
    <x:xf numFmtId="201" fontId="0" fillId="10" borderId="17" xfId="0" applyNumberFormat="1" applyFont="1" applyFill="1" applyBorder="1" applyAlignment="1">
      <x:alignment vertical="center"/>
    </x:xf>
    <x:xf numFmtId="200" fontId="0" fillId="10" borderId="11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 applyAlignment="1">
      <x:alignment vertical="center"/>
    </x:xf>
    <x:xf numFmtId="201" fontId="6" fillId="0" borderId="19" xfId="0" applyNumberFormat="1" applyFont="1" applyFill="1" applyBorder="1" applyAlignment="1">
      <x:alignment vertical="center"/>
    </x:xf>
    <x:xf numFmtId="200" fontId="6" fillId="0" borderId="20" xfId="0" applyNumberFormat="1" applyFont="1" applyFill="1" applyBorder="1" applyAlignment="1">
      <x:alignment vertical="center"/>
    </x:xf>
    <x:xf numFmtId="0" fontId="0" fillId="8" borderId="16" xfId="0" applyNumberFormat="1" applyFont="1" applyFill="1" applyBorder="1" applyAlignment="1">
      <x:alignment vertical="center"/>
    </x:xf>
    <x:xf numFmtId="0" fontId="0" fillId="9" borderId="11" xfId="0" applyNumberFormat="1" applyFont="1" applyFill="1" applyBorder="1" applyAlignment="1">
      <x:alignment vertical="center"/>
    </x:xf>
    <x:xf numFmtId="0" fontId="0" fillId="10" borderId="11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0" fillId="12" borderId="14" xfId="0" applyNumberFormat="1" applyFont="1" applyFill="1" applyBorder="1" applyAlignment="1">
      <x:alignment vertical="center" wrapText="1"/>
    </x:xf>
    <x:xf numFmtId="201" fontId="0" fillId="12" borderId="15" xfId="0" applyNumberFormat="1" applyFont="1" applyFill="1" applyBorder="1" applyAlignment="1">
      <x:alignment vertical="center" wrapText="1"/>
    </x:xf>
    <x:xf numFmtId="200" fontId="0" fillId="12" borderId="16" xfId="0" applyNumberFormat="1" applyFont="1" applyFill="1" applyBorder="1" applyAlignment="1">
      <x:alignment vertical="center" wrapText="1"/>
    </x:xf>
    <x:xf numFmtId="0" fontId="0" fillId="13" borderId="13" xfId="0" applyNumberFormat="1" applyFont="1" applyFill="1" applyBorder="1" applyAlignment="1">
      <x:alignment vertical="center" wrapText="1"/>
    </x:xf>
    <x:xf numFmtId="201" fontId="0" fillId="13" borderId="17" xfId="0" applyNumberFormat="1" applyFont="1" applyFill="1" applyBorder="1" applyAlignment="1">
      <x:alignment vertical="center" wrapText="1"/>
    </x:xf>
    <x:xf numFmtId="200" fontId="0" fillId="13" borderId="11" xfId="0" applyNumberFormat="1" applyFont="1" applyFill="1" applyBorder="1" applyAlignment="1">
      <x:alignment vertical="center" wrapText="1"/>
    </x:xf>
    <x:xf numFmtId="0" fontId="0" fillId="14" borderId="13" xfId="0" applyNumberFormat="1" applyFont="1" applyFill="1" applyBorder="1" applyAlignment="1">
      <x:alignment vertical="center" wrapText="1"/>
    </x:xf>
    <x:xf numFmtId="201" fontId="0" fillId="14" borderId="17" xfId="0" applyNumberFormat="1" applyFont="1" applyFill="1" applyBorder="1" applyAlignment="1">
      <x:alignment vertical="center" wrapText="1"/>
    </x:xf>
    <x:xf numFmtId="200" fontId="0" fillId="14" borderId="11" xfId="0" applyNumberFormat="1" applyFont="1" applyFill="1" applyBorder="1" applyAlignment="1">
      <x:alignment vertical="center" wrapText="1"/>
    </x:xf>
    <x:xf numFmtId="0" fontId="0" fillId="13" borderId="4" xfId="0" applyNumberFormat="1" applyFont="1" applyFill="1" applyBorder="1" applyAlignment="1">
      <x:alignment horizontal="center" vertical="center" wrapText="1"/>
    </x:xf>
    <x:xf numFmtId="0" fontId="0" fillId="13" borderId="8" xfId="0" applyNumberFormat="1" applyFont="1" applyFill="1" applyBorder="1" applyAlignment="1">
      <x:alignment vertical="center" wrapText="1"/>
    </x:xf>
    <x:xf numFmtId="0" fontId="0" fillId="13" borderId="5" xfId="0" applyNumberFormat="1" applyFont="1" applyFill="1" applyBorder="1" applyAlignment="1">
      <x:alignment vertical="center" wrapText="1"/>
    </x:xf>
    <x:xf numFmtId="0" fontId="0" fillId="12" borderId="16" xfId="0" applyNumberFormat="1" applyFont="1" applyFill="1" applyBorder="1" applyAlignment="1">
      <x:alignment vertical="center" wrapText="1"/>
    </x:xf>
    <x:xf numFmtId="0" fontId="0" fillId="13" borderId="11" xfId="0" applyNumberFormat="1" applyFont="1" applyFill="1" applyBorder="1" applyAlignment="1">
      <x:alignment vertical="center" wrapText="1"/>
    </x:xf>
    <x:xf numFmtId="0" fontId="0" fillId="14" borderId="11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8" fillId="14" borderId="0" xfId="0" applyNumberFormat="1" applyFont="1" applyFill="1" applyBorder="1"/>
    <x:xf numFmtId="0" fontId="8" fillId="14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0" fillId="12" borderId="0" xfId="0" applyNumberFormat="1" applyFont="1" applyFill="1" applyBorder="1"/>
    <x:xf numFmtId="0" fontId="0" fillId="13" borderId="0" xfId="0" applyNumberFormat="1" applyFont="1" applyFill="1" applyBorder="1"/>
    <x:xf numFmtId="0" fontId="6" fillId="0" borderId="0" xfId="0" applyNumberFormat="1" applyFont="1" applyFill="1" applyBorder="1"/>
    <x:xf numFmtId="0" fontId="3" fillId="16" borderId="0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3" fillId="16" borderId="14" xfId="0" applyNumberFormat="1" applyFont="1" applyFill="1" applyBorder="1"/>
    <x:xf numFmtId="0" fontId="3" fillId="16" borderId="15" xfId="0" applyNumberFormat="1" applyFont="1" applyFill="1" applyBorder="1"/>
    <x:xf numFmtId="0" fontId="3" fillId="16" borderId="16" xfId="0" applyNumberFormat="1" applyFont="1" applyFill="1" applyBorder="1"/>
    <x:xf numFmtId="0" fontId="0" fillId="12" borderId="13" xfId="0" applyNumberFormat="1" applyFont="1" applyFill="1" applyBorder="1"/>
    <x:xf numFmtId="0" fontId="0" fillId="12" borderId="17" xfId="0" applyNumberFormat="1" applyFont="1" applyFill="1" applyBorder="1"/>
    <x:xf numFmtId="0" fontId="0" fillId="12" borderId="11" xfId="0" applyNumberFormat="1" applyFont="1" applyFill="1" applyBorder="1"/>
    <x:xf numFmtId="0" fontId="0" fillId="13" borderId="13" xfId="0" applyNumberFormat="1" applyFont="1" applyFill="1" applyBorder="1"/>
    <x:xf numFmtId="0" fontId="0" fillId="13" borderId="17" xfId="0" applyNumberFormat="1" applyFont="1" applyFill="1" applyBorder="1"/>
    <x:xf numFmtId="0" fontId="0" fillId="13" borderId="11" xfId="0" applyNumberFormat="1" applyFont="1" applyFill="1" applyBorder="1"/>
    <x:xf numFmtId="0" fontId="0" fillId="14" borderId="13" xfId="0" applyNumberFormat="1" applyFont="1" applyFill="1" applyBorder="1"/>
    <x:xf numFmtId="0" fontId="0" fillId="14" borderId="17" xfId="0" applyNumberFormat="1" applyFont="1" applyFill="1" applyBorder="1"/>
    <x:xf numFmtId="0" fontId="0" fillId="14" borderId="11" xfId="0" applyNumberFormat="1" applyFont="1" applyFill="1" applyBorder="1"/>
    <x:xf numFmtId="0" fontId="3" fillId="16" borderId="14" xfId="0" applyNumberFormat="1" applyFont="1" applyFill="1" applyBorder="1" applyAlignment="1">
      <x:alignment vertical="center"/>
    </x:xf>
    <x:xf numFmtId="0" fontId="3" fillId="16" borderId="15" xfId="0" applyNumberFormat="1" applyFont="1" applyFill="1" applyBorder="1" applyAlignment="1">
      <x:alignment vertical="center"/>
    </x:xf>
    <x:xf numFmtId="0" fontId="3" fillId="16" borderId="16" xfId="0" applyNumberFormat="1" applyFont="1" applyFill="1" applyBorder="1" applyAlignment="1">
      <x:alignment vertical="center"/>
    </x:xf>
    <x:xf numFmtId="0" fontId="0" fillId="17" borderId="14" xfId="0" applyNumberFormat="1" applyFont="1" applyFill="1" applyBorder="1" applyAlignment="1">
      <x:alignment vertical="center" wrapText="1"/>
    </x:xf>
    <x:xf numFmtId="201" fontId="0" fillId="17" borderId="15" xfId="0" applyNumberFormat="1" applyFont="1" applyFill="1" applyBorder="1" applyAlignment="1">
      <x:alignment vertical="center" wrapText="1"/>
    </x:xf>
    <x:xf numFmtId="200" fontId="0" fillId="17" borderId="16" xfId="0" applyNumberFormat="1" applyFont="1" applyFill="1" applyBorder="1" applyAlignment="1">
      <x:alignment vertical="center" wrapText="1"/>
    </x:xf>
    <x:xf numFmtId="0" fontId="0" fillId="18" borderId="13" xfId="0" applyNumberFormat="1" applyFont="1" applyFill="1" applyBorder="1" applyAlignment="1">
      <x:alignment vertical="center" wrapText="1"/>
    </x:xf>
    <x:xf numFmtId="201" fontId="0" fillId="18" borderId="17" xfId="0" applyNumberFormat="1" applyFont="1" applyFill="1" applyBorder="1" applyAlignment="1">
      <x:alignment vertical="center" wrapText="1"/>
    </x:xf>
    <x:xf numFmtId="200" fontId="0" fillId="18" borderId="11" xfId="0" applyNumberFormat="1" applyFont="1" applyFill="1" applyBorder="1" applyAlignment="1">
      <x:alignment vertical="center" wrapText="1"/>
    </x:xf>
    <x:xf numFmtId="0" fontId="0" fillId="19" borderId="13" xfId="0" applyNumberFormat="1" applyFont="1" applyFill="1" applyBorder="1" applyAlignment="1">
      <x:alignment vertical="center" wrapText="1"/>
    </x:xf>
    <x:xf numFmtId="201" fontId="0" fillId="19" borderId="17" xfId="0" applyNumberFormat="1" applyFont="1" applyFill="1" applyBorder="1" applyAlignment="1">
      <x:alignment vertical="center" wrapText="1"/>
    </x:xf>
    <x:xf numFmtId="200" fontId="0" fillId="19" borderId="11" xfId="0" applyNumberFormat="1" applyFont="1" applyFill="1" applyBorder="1" applyAlignment="1">
      <x:alignment vertical="center" wrapText="1"/>
    </x:xf>
    <x:xf numFmtId="0" fontId="0" fillId="18" borderId="4" xfId="0" applyNumberFormat="1" applyFont="1" applyFill="1" applyBorder="1" applyAlignment="1">
      <x:alignment horizontal="center" vertical="center" wrapText="1"/>
    </x:xf>
    <x:xf numFmtId="0" fontId="0" fillId="18" borderId="8" xfId="0" applyNumberFormat="1" applyFont="1" applyFill="1" applyBorder="1" applyAlignment="1">
      <x:alignment vertical="center" wrapText="1"/>
    </x:xf>
    <x:xf numFmtId="0" fontId="0" fillId="18" borderId="5" xfId="0" applyNumberFormat="1" applyFont="1" applyFill="1" applyBorder="1" applyAlignment="1">
      <x:alignment vertical="center" wrapText="1"/>
    </x:xf>
    <x:xf numFmtId="0" fontId="0" fillId="17" borderId="16" xfId="0" applyNumberFormat="1" applyFont="1" applyFill="1" applyBorder="1" applyAlignment="1">
      <x:alignment vertical="center" wrapText="1"/>
    </x:xf>
    <x:xf numFmtId="0" fontId="0" fillId="18" borderId="11" xfId="0" applyNumberFormat="1" applyFont="1" applyFill="1" applyBorder="1" applyAlignment="1">
      <x:alignment vertical="center" wrapText="1"/>
    </x:xf>
    <x:xf numFmtId="0" fontId="0" fillId="19" borderId="11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3" fillId="20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0" fillId="17" borderId="0" xfId="0" applyNumberFormat="1" applyFont="1" applyFill="1" applyBorder="1"/>
    <x:xf numFmtId="0" fontId="0" fillId="18" borderId="0" xfId="0" applyNumberFormat="1" applyFont="1" applyFill="1" applyBorder="1"/>
    <x:xf numFmtId="0" fontId="3" fillId="21" borderId="0" xfId="0" applyNumberFormat="1" applyFont="1" applyFill="1" applyBorder="1" applyAlignment="1">
      <x:alignment vertical="center"/>
    </x:xf>
    <x:xf numFmtId="0" fontId="3" fillId="21" borderId="14" xfId="0" applyNumberFormat="1" applyFont="1" applyFill="1" applyBorder="1"/>
    <x:xf numFmtId="0" fontId="3" fillId="21" borderId="15" xfId="0" applyNumberFormat="1" applyFont="1" applyFill="1" applyBorder="1"/>
    <x:xf numFmtId="0" fontId="3" fillId="21" borderId="16" xfId="0" applyNumberFormat="1" applyFont="1" applyFill="1" applyBorder="1"/>
    <x:xf numFmtId="0" fontId="0" fillId="17" borderId="13" xfId="0" applyNumberFormat="1" applyFont="1" applyFill="1" applyBorder="1"/>
    <x:xf numFmtId="0" fontId="0" fillId="17" borderId="17" xfId="0" applyNumberFormat="1" applyFont="1" applyFill="1" applyBorder="1"/>
    <x:xf numFmtId="0" fontId="0" fillId="17" borderId="11" xfId="0" applyNumberFormat="1" applyFont="1" applyFill="1" applyBorder="1"/>
    <x:xf numFmtId="0" fontId="0" fillId="18" borderId="13" xfId="0" applyNumberFormat="1" applyFont="1" applyFill="1" applyBorder="1"/>
    <x:xf numFmtId="0" fontId="0" fillId="18" borderId="17" xfId="0" applyNumberFormat="1" applyFont="1" applyFill="1" applyBorder="1"/>
    <x:xf numFmtId="0" fontId="0" fillId="18" borderId="11" xfId="0" applyNumberFormat="1" applyFont="1" applyFill="1" applyBorder="1"/>
    <x:xf numFmtId="0" fontId="0" fillId="19" borderId="13" xfId="0" applyNumberFormat="1" applyFont="1" applyFill="1" applyBorder="1"/>
    <x:xf numFmtId="0" fontId="0" fillId="19" borderId="17" xfId="0" applyNumberFormat="1" applyFont="1" applyFill="1" applyBorder="1"/>
    <x:xf numFmtId="0" fontId="0" fillId="19" borderId="11" xfId="0" applyNumberFormat="1" applyFont="1" applyFill="1" applyBorder="1"/>
    <x:xf numFmtId="0" fontId="3" fillId="21" borderId="14" xfId="0" applyNumberFormat="1" applyFont="1" applyFill="1" applyBorder="1" applyAlignment="1">
      <x:alignment vertical="center"/>
    </x:xf>
    <x:xf numFmtId="0" fontId="3" fillId="21" borderId="15" xfId="0" applyNumberFormat="1" applyFont="1" applyFill="1" applyBorder="1" applyAlignment="1">
      <x:alignment vertical="center"/>
    </x:xf>
    <x:xf numFmtId="0" fontId="3" fillId="21" borderId="16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5700"/>
      </x:font>
      <x:fill>
        <x:patternFill>
          <x:bgColor rgb="FFFCE4D6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5700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58f3e56dcc4de1" /><Relationship Type="http://schemas.openxmlformats.org/officeDocument/2006/relationships/theme" Target="/xl/theme/theme1.xml" Id="R6c80072e078d42c2" /><Relationship Type="http://schemas.openxmlformats.org/officeDocument/2006/relationships/sharedStrings" Target="/xl/sharedStrings.xml" Id="Rb345becba92d4605" /><Relationship Type="http://schemas.openxmlformats.org/officeDocument/2006/relationships/worksheet" Target="/xl/worksheets/sheet1.xml" Id="R0a3c33e9c67d4764" /><Relationship Type="http://schemas.openxmlformats.org/officeDocument/2006/relationships/worksheet" Target="/xl/worksheets/sheet2.xml" Id="R92bb2315c2d045ae" /><Relationship Type="http://schemas.openxmlformats.org/officeDocument/2006/relationships/worksheet" Target="/xl/worksheets/sheet3.xml" Id="R9e6944f413f747a0" /><Relationship Type="http://schemas.openxmlformats.org/officeDocument/2006/relationships/worksheet" Target="/xl/worksheets/sheet4.xml" Id="R83ca3b63003a4dff" /><Relationship Type="http://schemas.openxmlformats.org/officeDocument/2006/relationships/worksheet" Target="/xl/worksheets/sheet5.xml" Id="R6e1df404422b4c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2" hidden="0" customWidth="1"/>
    <x:col min="3" max="3" width="42" hidden="0" customWidth="1"/>
    <x:col min="4" max="4" width="23" hidden="0" customWidth="1"/>
    <x:col min="5" max="5" width="18" hidden="0" customWidth="1"/>
    <x:col min="6" max="6" width="28" hidden="0" customWidth="1"/>
  </x:cols>
  <x:sheetData>
    <x:row r="1" ht="34" customHeight="1">
      <x:c r="A1" s="3" t="str">
        <x:v>B팀 KOSIS 검증 진행현황</x:v>
      </x:c>
      <x:c r="B1" s="3"/>
      <x:c r="C1" s="3"/>
      <x:c r="D1" s="3"/>
      <x:c r="E1" s="3"/>
      <x:c r="F1" s="3"/>
    </x:row>
    <x:row r="2" ht="28" customHeight="1">
      <x:c r="A2" s="6" t="str">
        <x:v>재매핑 8건 처리 완료 · 누적 확정 일치 21건 · 다음은 정확시점 불일치 22건 수정</x:v>
      </x:c>
      <x:c r="B2" s="6"/>
      <x:c r="C2" s="6"/>
      <x:c r="D2" s="6"/>
      <x:c r="E2" s="6"/>
      <x:c r="F2" s="6"/>
    </x:row>
    <x:row r="4">
      <x:c r="A4" s="41" t="str">
        <x:v>검토 완료 데이터</x:v>
      </x:c>
      <x:c r="B4" s="42" t="str">
        <x:v>건수</x:v>
      </x:c>
      <x:c r="C4" s="68"/>
      <x:c r="D4" s="41" t="str">
        <x:v>24건 표본 검증</x:v>
      </x:c>
      <x:c r="E4" s="44" t="str">
        <x:v>건수</x:v>
      </x:c>
      <x:c r="F4" s="42" t="str">
        <x:v>비율</x:v>
      </x:c>
    </x:row>
    <x:row r="5">
      <x:c r="A5" s="69" t="str">
        <x:v>주요 ID 4종 완성</x:v>
      </x:c>
      <x:c r="B5" s="70" t="n">
        <x:v>1998</x:v>
      </x:c>
      <x:c r="C5" s="68"/>
      <x:c r="D5" s="69" t="str">
        <x:v>일치</x:v>
      </x:c>
      <x:c r="E5" s="71" t="n">
        <x:v>1</x:v>
      </x:c>
      <x:c r="F5" s="72" t="n">
        <x:f>E5/$E$8</x:f>
        <x:v>0.041666666666666664</x:v>
      </x:c>
    </x:row>
    <x:row r="6">
      <x:c r="A6" s="73" t="str">
        <x:v>수동 판단불가</x:v>
      </x:c>
      <x:c r="B6" s="74" t="n">
        <x:v>3</x:v>
      </x:c>
      <x:c r="C6" s="68"/>
      <x:c r="D6" s="73" t="str">
        <x:v>불일치</x:v>
      </x:c>
      <x:c r="E6" s="75" t="n">
        <x:v>13</x:v>
      </x:c>
      <x:c r="F6" s="76" t="n">
        <x:f>E6/$E$8</x:f>
        <x:v>0.5416666666666666</x:v>
      </x:c>
    </x:row>
    <x:row r="7">
      <x:c r="A7" s="77" t="str">
        <x:v>합계</x:v>
      </x:c>
      <x:c r="B7" s="78" t="n">
        <x:f>B5+B6</x:f>
        <x:v>2001</x:v>
      </x:c>
      <x:c r="C7" s="68"/>
      <x:c r="D7" s="79" t="str">
        <x:v>판단불가</x:v>
      </x:c>
      <x:c r="E7" s="80" t="n">
        <x:v>10</x:v>
      </x:c>
      <x:c r="F7" s="81" t="n">
        <x:f>E7/$E$8</x:f>
        <x:v>0.4166666666666667</x:v>
      </x:c>
    </x:row>
    <x:row r="8">
      <x:c r="A8" s="68"/>
      <x:c r="B8" s="68"/>
      <x:c r="C8" s="68"/>
      <x:c r="D8" s="77" t="str">
        <x:v>합계</x:v>
      </x:c>
      <x:c r="E8" s="82" t="n">
        <x:f>SUM(E5:E7)</x:f>
        <x:v>24</x:v>
      </x:c>
      <x:c r="F8" s="78"/>
    </x:row>
    <x:row r="9">
      <x:c r="A9" s="68"/>
      <x:c r="B9" s="68"/>
      <x:c r="C9" s="68"/>
      <x:c r="D9" s="68"/>
      <x:c r="E9" s="68"/>
      <x:c r="F9" s="68"/>
    </x:row>
    <x:row r="10">
      <x:c r="A10" s="41" t="str">
        <x:v>4,403건 수동검토 큐</x:v>
      </x:c>
      <x:c r="B10" s="44" t="str">
        <x:v>건수</x:v>
      </x:c>
      <x:c r="C10" s="42" t="str">
        <x:v>의미</x:v>
      </x:c>
      <x:c r="D10" s="106" t="str">
        <x:v>33건 최종 정리</x:v>
      </x:c>
      <x:c r="E10" s="107" t="str">
        <x:v>건수</x:v>
      </x:c>
      <x:c r="F10" s="108" t="str">
        <x:v>비율</x:v>
      </x:c>
    </x:row>
    <x:row r="11">
      <x:c r="A11" s="83" t="str">
        <x:v>P0</x:v>
      </x:c>
      <x:c r="B11" s="84" t="n">
        <x:v>139</x:v>
      </x:c>
      <x:c r="C11" s="85" t="str">
        <x:v>주요 ID 4종 완성 · 매핑 적합성 확인 후 API 가능</x:v>
      </x:c>
      <x:c r="D11" s="277" t="str">
        <x:v>확정 일치</x:v>
      </x:c>
      <x:c r="E11" s="278" t="n">
        <x:v>21</x:v>
      </x:c>
      <x:c r="F11" s="279" t="n">
        <x:v>0.6363636363636364</x:v>
      </x:c>
    </x:row>
    <x:row r="12">
      <x:c r="A12" s="86" t="str">
        <x:v>P2</x:v>
      </x:c>
      <x:c r="B12" s="87" t="n">
        <x:v>58</x:v>
      </x:c>
      <x:c r="C12" s="88" t="str">
        <x:v>기관·표 확정 · 분류/항목 후보 선택 필요</x:v>
      </x:c>
      <x:c r="D12" s="280" t="str">
        <x:v>재매핑 잔여</x:v>
      </x:c>
      <x:c r="E12" s="281" t="n">
        <x:v>0</x:v>
      </x:c>
      <x:c r="F12" s="282" t="n">
        <x:v>0</x:v>
      </x:c>
    </x:row>
    <x:row r="13">
      <x:c r="A13" s="86" t="str">
        <x:v>P4</x:v>
      </x:c>
      <x:c r="B13" s="87" t="n">
        <x:v>4206</x:v>
      </x:c>
      <x:c r="C13" s="88" t="str">
        <x:v>기관·통계표부터 다시 선택 필요</x:v>
      </x:c>
      <x:c r="D13" s="283" t="str">
        <x:v>직접검증 불가</x:v>
      </x:c>
      <x:c r="E13" s="284" t="n">
        <x:v>12</x:v>
      </x:c>
      <x:c r="F13" s="285" t="n">
        <x:v>0.36363636363636365</x:v>
      </x:c>
    </x:row>
    <x:row r="14">
      <x:c r="A14" s="77" t="str">
        <x:v>합계</x:v>
      </x:c>
      <x:c r="B14" s="82" t="n">
        <x:f>SUM(B11:B13)</x:f>
        <x:v>4403</x:v>
      </x:c>
      <x:c r="C14" s="78" t="str"/>
      <x:c r="D14" s="127" t="str">
        <x:v>합계</x:v>
      </x:c>
      <x:c r="E14" s="133" t="n">
        <x:v>33</x:v>
      </x:c>
      <x:c r="F14" s="137" t="n">
        <x:v>1</x:v>
      </x:c>
    </x:row>
    <x:row r="15">
      <x:c r="A15" s="68"/>
      <x:c r="B15" s="68"/>
      <x:c r="C15" s="68"/>
      <x:c r="D15" s="68"/>
      <x:c r="E15" s="68"/>
      <x:c r="F15" s="68"/>
    </x:row>
    <x:row r="16">
      <x:c r="A16" s="41" t="str">
        <x:v>판정</x:v>
      </x:c>
      <x:c r="B16" s="44" t="str">
        <x:v>대상</x:v>
      </x:c>
      <x:c r="C16" s="44" t="str">
        <x:v>결론</x:v>
      </x:c>
      <x:c r="D16" s="44" t="str">
        <x:v>근거</x:v>
      </x:c>
      <x:c r="E16" s="44" t="str">
        <x:v>현재 상태</x:v>
      </x:c>
      <x:c r="F16" s="42" t="str">
        <x:v>다음 조치</x:v>
      </x:c>
    </x:row>
    <x:row r="17">
      <x:c r="A17" s="83" t="str">
        <x:v>완료</x:v>
      </x:c>
      <x:c r="B17" s="84" t="str">
        <x:v>미완성 3건</x:v>
      </x:c>
      <x:c r="C17" s="84" t="str">
        <x:v>판단불가</x:v>
      </x:c>
      <x:c r="D17" s="84" t="str">
        <x:v>선택 통계표의 지표·단위·분류축이 주장과 불일치</x:v>
      </x:c>
      <x:c r="E17" s="84" t="str">
        <x:v>분리 완료</x:v>
      </x:c>
      <x:c r="F17" s="85" t="str">
        <x:v>새 통계표를 찾을 때만 재개</x:v>
      </x:c>
    </x:row>
    <x:row r="18">
      <x:c r="A18" s="86" t="str">
        <x:v>완료</x:v>
      </x:c>
      <x:c r="B18" s="87" t="str">
        <x:v>표본 24건</x:v>
      </x:c>
      <x:c r="C18" s="87" t="str">
        <x:v>API 14건 성공</x:v>
      </x:c>
      <x:c r="D18" s="87" t="str">
        <x:v>일치 1 · 불일치 13 · 판단불가 10</x:v>
      </x:c>
      <x:c r="E18" s="87" t="str">
        <x:v>품질 게이트 실패</x:v>
      </x:c>
      <x:c r="F18" s="88" t="str">
        <x:v>매핑 적합성 재검토</x:v>
      </x:c>
    </x:row>
    <x:row r="19" ht="44" customHeight="1">
      <x:c r="A19" s="86" t="str">
        <x:v>완료</x:v>
      </x:c>
      <x:c r="B19" s="87" t="str">
        <x:v>일치 후보 33건</x:v>
      </x:c>
      <x:c r="C19" s="87" t="str">
        <x:v>재매핑 포함 최종 검증</x:v>
      </x:c>
      <x:c r="D19" s="87" t="str">
        <x:v>확정일치 21 · 재매핑 잔여 0 · 직접검증불가 12</x:v>
      </x:c>
      <x:c r="E19" s="87" t="str">
        <x:v>확정 21 · 재검토 1,643 · 판단불가 337</x:v>
      </x:c>
      <x:c r="F19" s="88" t="str">
        <x:v>정확시점 불일치 22건 수정</x:v>
      </x:c>
    </x:row>
    <x:row r="20" ht="38" customHeight="1">
      <x:c r="A20" s="89" t="str">
        <x:v>보류</x:v>
      </x:c>
      <x:c r="B20" s="90" t="str">
        <x:v>1,998건 전체</x:v>
      </x:c>
      <x:c r="C20" s="90" t="str">
        <x:v>신규 전체 재실행 안 함</x:v>
      </x:c>
      <x:c r="D20" s="90" t="str">
        <x:v>24건 표본에서 명백한 의미 오매핑 확인</x:v>
      </x:c>
      <x:c r="E20" s="90" t="str">
        <x:v>재검토 큐 유지</x:v>
      </x:c>
      <x:c r="F20" s="91" t="str">
        <x:v>표본 통과 후만 실행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4" hidden="0" customWidth="1"/>
    <x:col min="3" max="3" width="50" hidden="0" customWidth="1"/>
    <x:col min="4" max="4" width="43" hidden="0" customWidth="1"/>
  </x:cols>
  <x:sheetData>
    <x:row r="1" ht="34" customHeight="1">
      <x:c r="A1" s="3" t="str">
        <x:v>다음 작업 순서</x:v>
      </x:c>
      <x:c r="B1" s="3"/>
      <x:c r="C1" s="3"/>
      <x:c r="D1" s="3"/>
    </x:row>
    <x:row r="3">
      <x:c r="A3" s="9" t="str">
        <x:v>순서</x:v>
      </x:c>
      <x:c r="B3" s="9" t="str">
        <x:v>대상</x:v>
      </x:c>
      <x:c r="C3" s="9" t="str">
        <x:v>완료 조건</x:v>
      </x:c>
      <x:c r="D3" s="9" t="str">
        <x:v>현재 산출물</x:v>
      </x:c>
    </x:row>
    <x:row r="4" ht="30" customHeight="1">
      <x:c r="A4" s="286" t="n">
        <x:v>1</x:v>
      </x:c>
      <x:c r="B4" s="287" t="str">
        <x:v>정확시점 불일치 22건</x:v>
      </x:c>
      <x:c r="C4" s="287" t="str">
        <x:v>목표 시점과 통계표/항목 코드를 다시 확인</x:v>
      </x:c>
      <x:c r="D4" s="288" t="str">
        <x:v>match_candidates_audit_70.csv</x:v>
      </x:c>
    </x:row>
    <x:row r="5" ht="30" customHeight="1">
      <x:c r="A5" s="98" t="n">
        <x:v>2</x:v>
      </x:c>
      <x:c r="B5" s="80" t="str">
        <x:v>P0 수동검토 100건</x:v>
      </x:c>
      <x:c r="C5" s="80" t="str">
        <x:v>주요 ID 4종의 의미가 claim과 일치함을 확인</x:v>
      </x:c>
      <x:c r="D5" s="99" t="str">
        <x:v>bteam_kosis_review_manual_batch_001.csv</x:v>
      </x:c>
    </x:row>
    <x:row r="6" ht="30" customHeight="1">
      <x:c r="A6" s="93" t="n">
        <x:v>3</x:v>
      </x:c>
      <x:c r="B6" s="87" t="str">
        <x:v>표본 재실행</x:v>
      </x:c>
      <x:c r="C6" s="87" t="str">
        <x:v>API 성공률과 의미 매핑 품질을 함께 통과</x:v>
      </x:c>
      <x:c r="D6" s="88" t="str">
        <x:v>bteam_kosis_verified_sample_exact.csv</x:v>
      </x:c>
    </x:row>
    <x:row r="7" ht="30" customHeight="1">
      <x:c r="A7" s="93" t="n">
        <x:v>4</x:v>
      </x:c>
      <x:c r="B7" s="87" t="str">
        <x:v>1,998건 전체 실행</x:v>
      </x:c>
      <x:c r="C7" s="87" t="str">
        <x:v>표본 품질 게이트 통과 후 새 로직으로 실행</x:v>
      </x:c>
      <x:c r="D7" s="88" t="str">
        <x:v>현재 보류</x:v>
      </x:c>
    </x:row>
    <x:row r="8" ht="30" customHeight="1">
      <x:c r="A8" s="94" t="n">
        <x:v>5</x:v>
      </x:c>
      <x:c r="B8" s="90" t="str">
        <x:v>P2 후보 58건</x:v>
      </x:c>
      <x:c r="C8" s="90" t="str">
        <x:v>분류·항목 후보를 선택해 검증 가능 상태로 전환</x:v>
      </x:c>
      <x:c r="D8" s="91" t="str">
        <x:v>bteam_kosis_review_manual_prioritized_4403.csv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5" hidden="0" customWidth="1"/>
    <x:col min="3" max="3" width="30" hidden="0" customWidth="1"/>
    <x:col min="4" max="4" width="15" hidden="0" customWidth="1"/>
    <x:col min="5" max="5" width="58" hidden="0" customWidth="1"/>
  </x:cols>
  <x:sheetData>
    <x:row r="1" ht="34" customHeight="1">
      <x:c r="A1" s="3" t="str">
        <x:v>수동 판단불가 3건</x:v>
      </x:c>
      <x:c r="B1" s="3"/>
      <x:c r="C1" s="3"/>
      <x:c r="D1" s="3"/>
      <x:c r="E1" s="3"/>
    </x:row>
    <x:row r="3">
      <x:c r="A3" s="9" t="str">
        <x:v>claim_id</x:v>
      </x:c>
      <x:c r="B3" s="9" t="str">
        <x:v>주장 요약</x:v>
      </x:c>
      <x:c r="C3" s="9" t="str">
        <x:v>선택 통계표</x:v>
      </x:c>
      <x:c r="D3" s="9" t="str">
        <x:v>판정</x:v>
      </x:c>
      <x:c r="E3" s="9" t="str">
        <x:v>근거</x:v>
      </x:c>
    </x:row>
    <x:row r="4">
      <x:c r="A4" s="83" t="str">
        <x:v>C13755</x:v>
      </x:c>
      <x:c r="B4" s="84" t="str">
        <x:v>고등어 소매가격 4,731원 · 전년동월비 29.9% 상승</x:v>
      </x:c>
      <x:c r="C4" s="84" t="str">
        <x:v>품목별 수출액·수입액</x:v>
      </x:c>
      <x:c r="D4" s="101" t="str">
        <x:v>판단불가</x:v>
      </x:c>
      <x:c r="E4" s="85" t="str">
        <x:v>소매가격(원/마리)과 무역금액(천달러)은 지표·단위가 다름</x:v>
      </x:c>
    </x:row>
    <x:row r="5">
      <x:c r="A5" s="86" t="str">
        <x:v>C13774</x:v>
      </x:c>
      <x:c r="B5" s="87" t="str">
        <x:v>브라질산 닭고기 수입량 17만8,956t · 비중 71.6%</x:v>
      </x:c>
      <x:c r="C5" s="87" t="str">
        <x:v>품목별 수출액·수입액</x:v>
      </x:c>
      <x:c r="D5" s="102" t="str">
        <x:v>판단불가</x:v>
      </x:c>
      <x:c r="E5" s="88" t="str">
        <x:v>국가별 수입물량·비중이 필요한데 선택 표는 무역금액이며 itm_id도 수출액 코드</x:v>
      </x:c>
    </x:row>
    <x:row r="6">
      <x:c r="A6" s="89" t="str">
        <x:v>C19540</x:v>
      </x:c>
      <x:c r="B6" s="90" t="str">
        <x:v>20대 쉬었음 39만6,000명 · 전년동월비 2,000명 증가</x:v>
      </x:c>
      <x:c r="C6" s="90" t="str">
        <x:v>청년층 고용보조지표</x:v>
      </x:c>
      <x:c r="D6" s="103" t="str">
        <x:v>판단불가</x:v>
      </x:c>
      <x:c r="E6" s="91" t="str">
        <x:v>분류축에 쉬었음 항목이 없고 잠재경제활동인구·실업자 등만 존재</x:v>
      </x:c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" hidden="0" customWidth="1"/>
    <x:col min="3" max="3" width="38" hidden="0" customWidth="1"/>
    <x:col min="4" max="4" width="4" hidden="0" customWidth="1"/>
    <x:col min="5" max="5" width="27" hidden="0" customWidth="1"/>
    <x:col min="6" max="6" width="11" hidden="0" customWidth="1"/>
    <x:col min="7" max="7" width="14" hidden="0" customWidth="1"/>
  </x:cols>
  <x:sheetData>
    <x:row r="1" ht="40" customHeight="1">
      <x:c r="A1" s="140" t="str">
        <x:v>70건 정확시점 재검증</x:v>
      </x:c>
      <x:c r="B1" s="140"/>
      <x:c r="C1" s="140"/>
      <x:c r="D1" s="140"/>
      <x:c r="E1" s="140"/>
      <x:c r="F1" s="140"/>
      <x:c r="G1" s="140"/>
    </x:row>
    <x:row r="2">
      <x:c r="A2" s="196" t="str">
        <x:v>일치 후보 33건 수동검토와 재매핑 8건 처리를 완료해 최종 확정 21건 확보</x:v>
      </x:c>
      <x:c r="B2" s="196"/>
      <x:c r="C2" s="196"/>
      <x:c r="D2" s="196"/>
      <x:c r="E2" s="196"/>
      <x:c r="F2" s="196"/>
      <x:c r="G2" s="196"/>
    </x:row>
    <x:row r="3">
      <x:c r="A3" s="197"/>
      <x:c r="B3" s="197"/>
      <x:c r="C3" s="197"/>
      <x:c r="D3" s="197"/>
      <x:c r="E3" s="197"/>
      <x:c r="F3" s="197"/>
      <x:c r="G3" s="197"/>
    </x:row>
    <x:row r="4">
      <x:c r="A4" s="106" t="str">
        <x:v>자동 재판정</x:v>
      </x:c>
      <x:c r="B4" s="107" t="str">
        <x:v>건수</x:v>
      </x:c>
      <x:c r="C4" s="108" t="str">
        <x:v>비율</x:v>
      </x:c>
      <x:c r="D4" s="68"/>
      <x:c r="E4" s="106" t="str">
        <x:v>33건 최종확정 반영</x:v>
      </x:c>
      <x:c r="F4" s="107" t="str">
        <x:v>건수</x:v>
      </x:c>
      <x:c r="G4" s="108" t="str">
        <x:v>70건 대비</x:v>
      </x:c>
    </x:row>
    <x:row r="5">
      <x:c r="A5" s="118" t="str">
        <x:v>일치</x:v>
      </x:c>
      <x:c r="B5" s="130" t="n">
        <x:v>35</x:v>
      </x:c>
      <x:c r="C5" s="134" t="n">
        <x:f>B5/$B$8</x:f>
        <x:v>0.5</x:v>
      </x:c>
      <x:c r="D5" s="68"/>
      <x:c r="E5" s="277" t="str">
        <x:v>확정 일치</x:v>
      </x:c>
      <x:c r="F5" s="278" t="n">
        <x:v>21</x:v>
      </x:c>
      <x:c r="G5" s="279" t="n">
        <x:v>0.3</x:v>
      </x:c>
    </x:row>
    <x:row r="6">
      <x:c r="A6" s="121" t="str">
        <x:v>불일치</x:v>
      </x:c>
      <x:c r="B6" s="131" t="n">
        <x:v>26</x:v>
      </x:c>
      <x:c r="C6" s="135" t="n">
        <x:f>B6/$B$8</x:f>
        <x:v>0.37142857142857144</x:v>
      </x:c>
      <x:c r="D6" s="68"/>
      <x:c r="E6" s="280" t="str">
        <x:v>직접검증 불가</x:v>
      </x:c>
      <x:c r="F6" s="281" t="n">
        <x:v>12</x:v>
      </x:c>
      <x:c r="G6" s="282" t="n">
        <x:v>0.17142857142857143</x:v>
      </x:c>
    </x:row>
    <x:row r="7">
      <x:c r="A7" s="124" t="str">
        <x:v>판단불가</x:v>
      </x:c>
      <x:c r="B7" s="132" t="n">
        <x:v>9</x:v>
      </x:c>
      <x:c r="C7" s="136" t="n">
        <x:f>B7/$B$8</x:f>
        <x:v>0.12857142857142856</x:v>
      </x:c>
      <x:c r="D7" s="68"/>
      <x:c r="E7" s="283" t="str">
        <x:v>정확시점 불일치</x:v>
      </x:c>
      <x:c r="F7" s="284" t="n">
        <x:v>22</x:v>
      </x:c>
      <x:c r="G7" s="285" t="n">
        <x:v>0.3142857142857143</x:v>
      </x:c>
    </x:row>
    <x:row r="8">
      <x:c r="A8" s="127" t="str">
        <x:v>합계</x:v>
      </x:c>
      <x:c r="B8" s="133" t="n">
        <x:f>SUM(B5:B7)</x:f>
        <x:v>70</x:v>
      </x:c>
      <x:c r="C8" s="137" t="n">
        <x:f>B8/$B$8</x:f>
        <x:v>1</x:v>
      </x:c>
      <x:c r="D8" s="68"/>
      <x:c r="E8" s="283" t="str">
        <x:v>조회실패·전망</x:v>
      </x:c>
      <x:c r="F8" s="284" t="n">
        <x:v>15</x:v>
      </x:c>
      <x:c r="G8" s="285" t="n">
        <x:v>0.21428571428571427</x:v>
      </x:c>
    </x:row>
    <x:row r="9">
      <x:c r="A9" s="68"/>
      <x:c r="B9" s="68"/>
      <x:c r="C9" s="68"/>
      <x:c r="D9" s="68"/>
      <x:c r="E9" s="127" t="str">
        <x:v>합계</x:v>
      </x:c>
      <x:c r="F9" s="133" t="n">
        <x:v>70</x:v>
      </x:c>
      <x:c r="G9" s="137" t="n">
        <x:v>1</x:v>
      </x:c>
    </x:row>
    <x:row r="10">
      <x:c r="A10" s="68"/>
      <x:c r="B10" s="68"/>
      <x:c r="C10" s="68"/>
      <x:c r="D10" s="68"/>
      <x:c r="E10" s="68"/>
      <x:c r="F10" s="68"/>
      <x:c r="G10" s="68"/>
    </x:row>
    <x:row r="11">
      <x:c r="A11" s="68"/>
      <x:c r="B11" s="68"/>
      <x:c r="C11" s="68"/>
      <x:c r="D11" s="68"/>
      <x:c r="E11" s="68"/>
      <x:c r="F11" s="68"/>
      <x:c r="G11" s="68"/>
    </x:row>
    <x:row r="12">
      <x:c r="A12" s="106" t="str">
        <x:v>2,001건 최신 제출 큐</x:v>
      </x:c>
      <x:c r="B12" s="107" t="str">
        <x:v>건수</x:v>
      </x:c>
      <x:c r="C12" s="108" t="str">
        <x:v>의미</x:v>
      </x:c>
      <x:c r="D12" s="68"/>
      <x:c r="E12" s="68"/>
      <x:c r="F12" s="68"/>
      <x:c r="G12" s="68"/>
    </x:row>
    <x:row r="13">
      <x:c r="A13" s="277" t="str">
        <x:v>확정 일치</x:v>
      </x:c>
      <x:c r="B13" s="278" t="n">
        <x:v>21</x:v>
      </x:c>
      <x:c r="C13" s="289" t="str">
        <x:v>기존 확정 15건과 재매핑 확정 6건</x:v>
      </x:c>
      <x:c r="D13" s="68"/>
      <x:c r="E13" s="68"/>
      <x:c r="F13" s="68"/>
      <x:c r="G13" s="68"/>
    </x:row>
    <x:row r="14">
      <x:c r="A14" s="280" t="str">
        <x:v>재검토</x:v>
      </x:c>
      <x:c r="B14" s="281" t="n">
        <x:v>1643</x:v>
      </x:c>
      <x:c r="C14" s="290" t="str">
        <x:v>정확시점·증감률·수준값 재검토</x:v>
      </x:c>
      <x:c r="D14" s="68"/>
      <x:c r="E14" s="68"/>
      <x:c r="F14" s="68"/>
      <x:c r="G14" s="68"/>
    </x:row>
    <x:row r="15">
      <x:c r="A15" s="283" t="str">
        <x:v>판단불가</x:v>
      </x:c>
      <x:c r="B15" s="284" t="n">
        <x:v>337</x:v>
      </x:c>
      <x:c r="C15" s="291" t="str">
        <x:v>기존 판단불가 335건과 재매핑 판단불가 2건</x:v>
      </x:c>
      <x:c r="D15" s="68"/>
      <x:c r="E15" s="68"/>
      <x:c r="F15" s="68"/>
      <x:c r="G15" s="68"/>
    </x:row>
    <x:row r="16">
      <x:c r="A16" s="127" t="str">
        <x:v>합계</x:v>
      </x:c>
      <x:c r="B16" s="133" t="n">
        <x:v>2001</x:v>
      </x:c>
      <x:c r="C16" s="129" t="str">
        <x:v>재매핑을 반영한 v6 결과</x:v>
      </x:c>
      <x:c r="D16" s="68"/>
      <x:c r="E16" s="68"/>
      <x:c r="F16" s="68"/>
      <x:c r="G16" s="68"/>
    </x:row>
    <x:row r="17">
      <x:c r="A17" s="68"/>
      <x:c r="B17" s="68"/>
      <x:c r="C17" s="68"/>
      <x:c r="D17" s="68"/>
      <x:c r="E17" s="68"/>
      <x:c r="F17" s="68"/>
      <x:c r="G17" s="68"/>
    </x:row>
    <x:row r="18" ht="28" customHeight="1">
      <x:c r="A18" s="190" t="str">
        <x:v>최종 확정 일치: 21건. 재매핑 8건 중 6건을 추가 확정했고, 동남아 지역집계와 가공식품 기여도 2건은 KOSIS 직접검증 불가로 정리했습니다.</x:v>
      </x:c>
      <x:c r="B18" s="191"/>
      <x:c r="C18" s="191"/>
      <x:c r="D18" s="191"/>
      <x:c r="E18" s="191"/>
      <x:c r="F18" s="191"/>
      <x:c r="G18" s="192"/>
    </x:row>
    <x:row r="19" ht="28" customHeight="1">
      <x:c r="A19" s="193"/>
      <x:c r="B19" s="194"/>
      <x:c r="C19" s="194"/>
      <x:c r="D19" s="194"/>
      <x:c r="E19" s="194"/>
      <x:c r="F19" s="194"/>
      <x:c r="G19" s="195"/>
    </x:row>
  </x:sheetData>
  <x:mergeCells>
    <x:mergeCell ref="A1:G1"/>
    <x:mergeCell ref="A2:G2"/>
    <x:mergeCell ref="A18:G1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58" hidden="0" customWidth="1"/>
    <x:col min="4" max="4" width="54" hidden="0" customWidth="1"/>
    <x:col min="5" max="5" width="54" hidden="0" customWidth="1"/>
  </x:cols>
  <x:sheetData>
    <x:row r="1" ht="38" customHeight="1">
      <x:c r="A1" s="294" t="str">
        <x:v>일치 후보 33건 최종 확정</x:v>
      </x:c>
      <x:c r="B1" s="294"/>
      <x:c r="C1" s="294"/>
      <x:c r="D1" s="294"/>
      <x:c r="E1" s="294"/>
    </x:row>
    <x:row r="2" ht="28" customHeight="1">
      <x:c r="A2" s="297" t="str">
        <x:v>수동검토와 재매핑 8건 처리를 반영한 최종 결과 · 확정 21건 · 직접검증 불가 12건</x:v>
      </x:c>
      <x:c r="B2" s="297"/>
      <x:c r="C2" s="297"/>
      <x:c r="D2" s="297"/>
      <x:c r="E2" s="297"/>
    </x:row>
    <x:row r="4">
      <x:c r="A4" s="303" t="str">
        <x:v>수동 판정</x:v>
      </x:c>
      <x:c r="B4" s="304" t="str">
        <x:v>건수</x:v>
      </x:c>
      <x:c r="C4" s="305" t="str">
        <x:v>의미</x:v>
      </x:c>
    </x:row>
    <x:row r="5">
      <x:c r="A5" s="306" t="str">
        <x:v>확정일치</x:v>
      </x:c>
      <x:c r="B5" s="307" t="n">
        <x:f>COUNTIF($B$11:$B$43,A5)</x:f>
        <x:v>21</x:v>
      </x:c>
      <x:c r="C5" s="308" t="str">
        <x:v>표·항목·단위·시점과 실제값이 모두 일치</x:v>
      </x:c>
    </x:row>
    <x:row r="6">
      <x:c r="A6" s="309" t="str">
        <x:v>재매핑필요</x:v>
      </x:c>
      <x:c r="B6" s="310" t="n">
        <x:f>COUNTIF($B$11:$B$43,A6)</x:f>
        <x:v>0</x:v>
      </x:c>
      <x:c r="C6" s="311" t="str">
        <x:v>대상 품목·연령·국가·시점 코드를 수정해 재검증</x:v>
      </x:c>
    </x:row>
    <x:row r="7">
      <x:c r="A7" s="312" t="str">
        <x:v>직접검증불가</x:v>
      </x:c>
      <x:c r="B7" s="313" t="n">
        <x:f>COUNTIF($B$11:$B$43,A7)</x:f>
        <x:v>12</x:v>
      </x:c>
      <x:c r="C7" s="314" t="str">
        <x:v>해외지표·전망·모형결과·비지원 주기</x:v>
      </x:c>
    </x:row>
    <x:row r="8">
      <x:c r="A8" s="166" t="str">
        <x:v>합계</x:v>
      </x:c>
      <x:c r="B8" s="167" t="n">
        <x:f>SUM(B5:B7)</x:f>
        <x:v>33</x:v>
      </x:c>
      <x:c r="C8" s="168" t="str">
        <x:v>33건 전체 검토 완료</x:v>
      </x:c>
    </x:row>
    <x:row r="10" ht="30" customHeight="1">
      <x:c r="A10" s="315" t="str">
        <x:v>claim_id</x:v>
      </x:c>
      <x:c r="B10" s="316" t="str">
        <x:v>수동 판정</x:v>
      </x:c>
      <x:c r="C10" s="316" t="str">
        <x:v>주장 원문</x:v>
      </x:c>
      <x:c r="D10" s="316" t="str">
        <x:v>표·항목·단위·시점 확인 결과</x:v>
      </x:c>
      <x:c r="E10" s="317" t="str">
        <x:v>KOSIS 근거</x:v>
      </x:c>
    </x:row>
    <x:row r="11" ht="42" customHeight="1">
      <x:c r="A11" s="256" t="str">
        <x:v>C00090</x:v>
      </x:c>
      <x:c r="B11" s="257" t="str">
        <x:v>확정일치</x:v>
      </x:c>
      <x:c r="C11" s="257" t="str">
        <x:v>◇12월 수출 6.6% 늘어난 614억달러...수출 증가율 5개월 만에 반등 한편 이날 동시에 발표된 지난 12월 수출액은 614억달러로 전년 동월 대비 6.6% 증가했다.</x:v>
      </x:c>
      <x:c r="D11" s="257" t="str">
        <x:v>품목별 수출액 수입액/총액/수출액/천달러, 월별 시점이 주장과 일치</x:v>
      </x:c>
      <x:c r="E11" s="258" t="str">
        <x:v>202312 57,573,193 -&gt; 202412 61,359,250천달러, 전년동월비 6.576%로 주장 6.6%와 일치</x:v>
      </x:c>
    </x:row>
    <x:row r="12" ht="42" customHeight="1">
      <x:c r="A12" s="256" t="str">
        <x:v>C00381</x:v>
      </x:c>
      <x:c r="B12" s="257" t="str">
        <x:v>확정일치</x:v>
      </x:c>
      <x:c r="C12" s="257" t="str">
        <x:v>175개 품목의 평균 물가 상승폭은 3.9%로, 지난해 연간 소비자물가지수 상승폭(2.3%)을 뛰어넘었다.</x:v>
      </x:c>
      <x:c r="D12" s="257" t="str">
        <x:v>소비자물가지수(2020=100)/전국/총지수, 연간 시점이 주장과 일치</x:v>
      </x:c>
      <x:c r="E12" s="258" t="str">
        <x:v>2023 111.59 -&gt; 2024 114.18, 상승률 2.321%로 주장 2.3%와 일치</x:v>
      </x:c>
    </x:row>
    <x:row r="13" ht="42" customHeight="1">
      <x:c r="A13" s="256" t="str">
        <x:v>C00765</x:v>
      </x:c>
      <x:c r="B13" s="257" t="str">
        <x:v>확정일치</x:v>
      </x:c>
      <x:c r="C13" s="257" t="str">
        <x:v>통계청에 따르면 작년 3분기 가계소득은 전 분기보다 5.9% 늘었다.</x:v>
      </x:c>
      <x:c r="D13" s="257" t="str">
        <x:v>가구당 월평균 가계수지/소득/전체가구/원, 분기 시점이 주장과 일치</x:v>
      </x:c>
      <x:c r="E13" s="258" t="str">
        <x:v>2024년 2분기 4,961,283.732원 -&gt; 3분기 5,255,452.363원, 5.929% 증가로 주장 5.9%와 일치</x:v>
      </x:c>
    </x:row>
    <x:row r="14" ht="42" customHeight="1">
      <x:c r="A14" s="256" t="str">
        <x:v>C01303</x:v>
      </x:c>
      <x:c r="B14" s="257" t="str">
        <x:v>직접검증불가</x:v>
      </x:c>
      <x:c r="C14" s="257" t="str">
        <x:v>유럽연합(-2.5%), 일본(-4.2%)은 반면 수출이 줄었다.</x:v>
      </x:c>
      <x:c r="D14" s="257" t="str">
        <x:v>관세청의 1월 1~10일 국가별 수출 증감 주장으로, 현재 연결된 KOSIS 연간 국가별 수출표의 범위와 주기가 다름</x:v>
      </x:c>
      <x:c r="E14" s="258" t="str"/>
    </x:row>
    <x:row r="15" ht="42" customHeight="1">
      <x:c r="A15" s="256" t="str">
        <x:v>C02892</x:v>
      </x:c>
      <x:c r="B15" s="257" t="str">
        <x:v>확정일치</x:v>
      </x:c>
      <x:c r="C15" s="257" t="str">
        <x:v>청년 고용률이 45% 아래로 떨어진 건 코로나가 한창 기승하던 2021년 5월(44.4%) 이후 43개월 만이다.</x:v>
      </x:c>
      <x:c r="D15" s="257" t="str">
        <x:v>연령별 경제활동인구 총괄/15~29세/고용률/%와 2021년 5월 시점이 일치</x:v>
      </x:c>
      <x:c r="E15" s="258" t="str">
        <x:v>202105 청년 고용률 44.4%로 주장 44.4%와 일치</x:v>
      </x:c>
    </x:row>
    <x:row r="16" ht="42" customHeight="1">
      <x:c r="A16" s="256" t="str">
        <x:v>C02893</x:v>
      </x:c>
      <x:c r="B16" s="257" t="str">
        <x:v>확정일치</x:v>
      </x:c>
      <x:c r="C16" s="257" t="str">
        <x:v>12월 기준으로는 지난 2020년 12월(41.3%) 이후 4년 만에 최저치다.</x:v>
      </x:c>
      <x:c r="D16" s="257" t="str">
        <x:v>연령별 경제활동인구 총괄/15~29세/고용률/%와 2020년 12월 시점이 일치</x:v>
      </x:c>
      <x:c r="E16" s="258" t="str">
        <x:v>202012 청년 고용률 41.3%로 주장 41.3%와 일치</x:v>
      </x:c>
    </x:row>
    <x:row r="17" ht="42" customHeight="1">
      <x:c r="A17" s="256" t="str">
        <x:v>C03497</x:v>
      </x:c>
      <x:c r="B17" s="257" t="str">
        <x:v>확정일치</x:v>
      </x:c>
      <x:c r="C17" s="257" t="str">
        <x:v>감소 폭은 지난 2003년(-3.2%) 이후 21년 만에 가장 크다.</x:v>
      </x:c>
      <x:c r="D17" s="257" t="str">
        <x:v>재별 및 상품군별 소매판매액지수/총지수/불변지수, 연간 시점이 주장과 일치</x:v>
      </x:c>
      <x:c r="E17" s="258" t="str">
        <x:v>2002 62.5 -&gt; 2003 60.5, 감소율 -3.2%로 주장 -3.2%와 일치</x:v>
      </x:c>
    </x:row>
    <x:row r="18" ht="42" customHeight="1">
      <x:c r="A18" s="256" t="str">
        <x:v>C04394</x:v>
      </x:c>
      <x:c r="B18" s="257" t="str">
        <x:v>확정일치</x:v>
      </x:c>
      <x:c r="C18" s="257" t="str">
        <x:v>지난해 수출은 전년 대비 8.2% 증가하며 역대 최대 실적을 기록했다.</x:v>
      </x:c>
      <x:c r="D18" s="257" t="str">
        <x:v>품목별 수출액 수입액/총액/수출액/천달러, 연간 시점이 주장과 일치</x:v>
      </x:c>
      <x:c r="E18" s="258" t="str">
        <x:v>2023 632,225,824 -&gt; 2024 683,609,488천달러, 8.127% 증가로 주장 8.2%와 일치</x:v>
      </x:c>
    </x:row>
    <x:row r="19" ht="42" customHeight="1">
      <x:c r="A19" s="256" t="str">
        <x:v>C04595</x:v>
      </x:c>
      <x:c r="B19" s="257" t="str">
        <x:v>직접검증불가</x:v>
      </x:c>
      <x:c r="C19" s="257" t="str">
        <x:v>미 국채 10년물 금리가 단숨에 0.1%포인트 오르는 등 금리는 일제히 상승했다.</x:v>
      </x:c>
      <x:c r="D19" s="257" t="str">
        <x:v>미국 10년물 국채금리 변동으로 국내 KOSIS 소비자물가 통계의 직접 검증 대상이 아님</x:v>
      </x:c>
      <x:c r="E19" s="258" t="str"/>
    </x:row>
    <x:row r="20" ht="42" customHeight="1">
      <x:c r="A20" s="256" t="str">
        <x:v>C05531</x:v>
      </x:c>
      <x:c r="B20" s="257" t="str">
        <x:v>직접검증불가</x:v>
      </x:c>
      <x:c r="C20" s="257" t="str">
        <x:v>5년 후 기대 인플레이션도 연간 3.5%로 전월 대비 0.3%포인트 상승했다.</x:v>
      </x:c>
      <x:c r="D20" s="257" t="str">
        <x:v>미국 미시간대 장기 기대인플레이션으로 국내 KOSIS 소비자물가 통계의 직접 검증 대상이 아님</x:v>
      </x:c>
      <x:c r="E20" s="258" t="str"/>
    </x:row>
    <x:row r="21" ht="42" customHeight="1">
      <x:c r="A21" s="256" t="str">
        <x:v>C05780</x:v>
      </x:c>
      <x:c r="B21" s="257" t="str">
        <x:v>확정일치</x:v>
      </x:c>
      <x:c r="C21" s="257" t="str">
        <x:v>54 지난해 출생아 수가 전년 대비 3.6% 늘어나며 9년 만에 반등한 것으로 나타났다.</x:v>
      </x:c>
      <x:c r="D21" s="257" t="str">
        <x:v>출생아수 합계출산율 자연증가 등/출생아수(명), 연간 시점이 주장과 일치</x:v>
      </x:c>
      <x:c r="E21" s="258" t="str">
        <x:v>2023 230,028명 -&gt; 2024 238,317명, 3.603% 증가로 주장 3.6%와 일치</x:v>
      </x:c>
    </x:row>
    <x:row r="22" ht="42" customHeight="1">
      <x:c r="A22" s="256" t="str">
        <x:v>C06679</x:v>
      </x:c>
      <x:c r="B22" s="257" t="str">
        <x:v>확정일치</x:v>
      </x:c>
      <x:c r="C22" s="257" t="str">
        <x:v>생활물가지수는 지난해 10월(1.2%)을 저점으로 꾸준히 오름세를 보이고 있는데, 소비자들이 실제 체감하는 물가 수준이 높아지고 있음을 시사한다.</x:v>
      </x:c>
      <x:c r="D22" s="257" t="str">
        <x:v>월별 소비자물가 등락률/생활물가지수/전년동월비(%), 월별 시점이 주장과 일치</x:v>
      </x:c>
      <x:c r="E22" s="258" t="str">
        <x:v>202410 생활물가지수 전년동월비 1.2%로 주장 1.2%와 일치</x:v>
      </x:c>
    </x:row>
    <x:row r="23" ht="42" customHeight="1">
      <x:c r="A23" s="256" t="str">
        <x:v>C06797</x:v>
      </x:c>
      <x:c r="B23" s="257" t="str">
        <x:v>직접검증불가</x:v>
      </x:c>
      <x:c r="C23" s="257" t="str">
        <x:v>지역별로는 중국(-14.0%)·EU(-11.6%)·미국(-9.4%)·일본(-7.7%)·동남아(-3.8%) 등 대부분의 수출 상대국에서 줄었다.</x:v>
      </x:c>
      <x:c r="D23" s="257" t="str">
        <x:v>주장 대상은 2025년 1월 동남아 수출 -3.8%이지만 KOSIS 국가별 수출표에는 동남아 집계 분류코드가 없음</x:v>
      </x:c>
      <x:c r="E23" s="258" t="str">
        <x:v>DT_1R11006_FRM101 메타데이터의 국가별 분류 전체를 확인했으나 동남아·아세안 집계코드가 없어 임의 국가 합산을 하지 않음</x:v>
      </x:c>
    </x:row>
    <x:row r="24" ht="42" customHeight="1">
      <x:c r="A24" s="256" t="str">
        <x:v>C09409</x:v>
      </x:c>
      <x:c r="B24" s="257" t="str">
        <x:v>직접검증불가</x:v>
      </x:c>
      <x:c r="C24" s="257" t="str">
        <x:v>상호 관세 발표 전까지만 해도 연 4.218%였던 미 국채 10년물 금리는 4.061%로 급락(국채 가격은 상승)했다.</x:v>
      </x:c>
      <x:c r="D24" s="257" t="str">
        <x:v>미국 10년물 국채금리 수준으로 국내 KOSIS 수출 통계의 직접 검증 대상이 아님</x:v>
      </x:c>
      <x:c r="E24" s="258" t="str"/>
    </x:row>
    <x:row r="25" ht="42" customHeight="1">
      <x:c r="A25" s="256" t="str">
        <x:v>C09952</x:v>
      </x:c>
      <x:c r="B25" s="257" t="str">
        <x:v>확정일치</x:v>
      </x:c>
      <x:c r="C25" s="257" t="str">
        <x:v>지난달 청년층 실업률은 전체 연령대 실업률(3.1%)의 2.4배에 달한다.</x:v>
      </x:c>
      <x:c r="D25" s="257" t="str">
        <x:v>성별 경제활동인구 총괄/계/실업률/%, 월별 시점이 주장과 일치</x:v>
      </x:c>
      <x:c r="E25" s="258" t="str">
        <x:v>202503 전체 실업률 3.1%로 주장 3.1%와 일치</x:v>
      </x:c>
    </x:row>
    <x:row r="26" ht="42" customHeight="1">
      <x:c r="A26" s="256" t="str">
        <x:v>C10227</x:v>
      </x:c>
      <x:c r="B26" s="257" t="str">
        <x:v>직접검증불가</x:v>
      </x:c>
      <x:c r="C26" s="257" t="str">
        <x:v>향후 5년 기대 인플레이션은 4.4%로 3월(4.1%) 대비 0.3%포인트 상승했다.</x:v>
      </x:c>
      <x:c r="D26" s="257" t="str">
        <x:v>미국 미시간대 장기 기대인플레이션으로 국내 KOSIS 소비자물가 통계의 직접 검증 대상이 아님</x:v>
      </x:c>
      <x:c r="E26" s="258" t="str"/>
    </x:row>
    <x:row r="27" ht="42" customHeight="1">
      <x:c r="A27" s="256" t="str">
        <x:v>C12150</x:v>
      </x:c>
      <x:c r="B27" s="257" t="str">
        <x:v>확정일치</x:v>
      </x:c>
      <x:c r="C27" s="257" t="str">
        <x:v>올해 들어 소비자물가는 지난 1월(2.2%)부터 2월(2.0%), 3월(2.1%), 그리고 4월까지 넉 달 연속으로 2%대를 유지하고 있다.</x:v>
      </x:c>
      <x:c r="D27" s="257" t="str">
        <x:v>월별 소비자물가 등락률의 총지수·전년동월비로 2025년 1~4월을 모두 확인</x:v>
      </x:c>
      <x:c r="E27" s="258" t="str">
        <x:v>202501 2.2%, 202502 2.0%, 202503 2.1%, 202504 2.1%로 문장의 네 달 연속 2%대 주장과 일치</x:v>
      </x:c>
    </x:row>
    <x:row r="28" ht="42" customHeight="1">
      <x:c r="A28" s="256" t="str">
        <x:v>C12852</x:v>
      </x:c>
      <x:c r="B28" s="257" t="str">
        <x:v>직접검증불가</x:v>
      </x:c>
      <x:c r="C28" s="257" t="str">
        <x:v>9일 중국 국가통계국에 따르면 4월 중국의 CPI는 지난 3월(-0.1%)과 같은 하락 폭을 보였다.</x:v>
      </x:c>
      <x:c r="D28" s="257" t="str">
        <x:v>중국 소비자물가로 국내 KOSIS 소비자물가지수의 직접 검증 대상이 아님</x:v>
      </x:c>
      <x:c r="E28" s="258" t="str"/>
    </x:row>
    <x:row r="29" ht="42" customHeight="1">
      <x:c r="A29" s="256" t="str">
        <x:v>C14623</x:v>
      </x:c>
      <x:c r="B29" s="257" t="str">
        <x:v>직접검증불가</x:v>
      </x:c>
      <x:c r="C29" s="257" t="str">
        <x:v>홍석철 서울대 경제학부 교수는 “통상 신혼 부부들이 결혼 후 3년간 아이를 많이 낳는다는 점을 고려하면, 올해는 계속 출생아가 늘어나면서 연간 합계출산율이 무난히 0.8명을 넘길 수 있을 것”이라고 했다.</x:v>
      </x:c>
      <x:c r="D29" s="257" t="str">
        <x:v>향후 연간 합계출산율이 0.8명을 넘을 수 있다는 전망 문장으로 현재 실적값과 비교할 수 없음</x:v>
      </x:c>
      <x:c r="E29" s="258" t="str"/>
    </x:row>
    <x:row r="30" ht="42" customHeight="1">
      <x:c r="A30" s="256" t="str">
        <x:v>C15304</x:v>
      </x:c>
      <x:c r="B30" s="257" t="str">
        <x:v>확정일치</x:v>
      </x:c>
      <x:c r="C30" s="257" t="str">
        <x:v>국제 유가 하락 영향으로 휘발유(-3.9%)·경유(-2.6%)·부탄가스(-0.5%)·등유(-3.8%) 등 석유류 물가가 2.3% 떨어진 결과다.</x:v>
      </x:c>
      <x:c r="D30" s="257" t="str">
        <x:v>품목별 소비자물가지수의 전국·석유류로 재매핑하고 전년동월비 계산</x:v>
      </x:c>
      <x:c r="E30" s="258" t="str">
        <x:v>석유류 지수 202405 126.88 -&gt; 202505 123.93, 전년동월비 -2.325%로 주장 -2.3%와 일치</x:v>
      </x:c>
    </x:row>
    <x:row r="31" ht="42" customHeight="1">
      <x:c r="A31" s="256" t="str">
        <x:v>C15976</x:v>
      </x:c>
      <x:c r="B31" s="257" t="str">
        <x:v>확정일치</x:v>
      </x:c>
      <x:c r="C31" s="257" t="str">
        <x:v>인구 대비 취업자 수를 뜻하는 고용률은 지난달 63.8%로 1년 전 대비 0.3%포인트 늘었다.</x:v>
      </x:c>
      <x:c r="D31" s="257" t="str">
        <x:v>성별 경제활동인구 총괄/계/고용률/%, 전년동월 비교로 시점을 교정</x:v>
      </x:c>
      <x:c r="E31" s="258" t="str">
        <x:v>202405 63.5% -&gt; 202505 63.8%, 전년동월 대비 0.3%p 상승으로 주장과 일치</x:v>
      </x:c>
    </x:row>
    <x:row r="32" ht="42" customHeight="1">
      <x:c r="A32" s="256" t="str">
        <x:v>C15980</x:v>
      </x:c>
      <x:c r="B32" s="257" t="str">
        <x:v>확정일치</x:v>
      </x:c>
      <x:c r="C32" s="257" t="str">
        <x:v>실업률은 2.8%로 집계됐다.</x:v>
      </x:c>
      <x:c r="D32" s="257" t="str">
        <x:v>성별 경제활동인구 총괄/계/실업률/%, 연간에서 월간으로 주기를 교정</x:v>
      </x:c>
      <x:c r="E32" s="258" t="str">
        <x:v>202505 전체 실업률 2.8%로 주장 2.8%와 일치</x:v>
      </x:c>
    </x:row>
    <x:row r="33" ht="42" customHeight="1">
      <x:c r="A33" s="256" t="str">
        <x:v>C16083</x:v>
      </x:c>
      <x:c r="B33" s="257" t="str">
        <x:v>확정일치</x:v>
      </x:c>
      <x:c r="C33" s="257" t="str">
        <x:v>모든 연령대를 합친 고용률은 지난달 63.8%로 1년 전보다 0.3%포인트 늘었다.</x:v>
      </x:c>
      <x:c r="D33" s="257" t="str">
        <x:v>성별 경제활동인구 총괄/계/고용률/%, 전년동월 비교로 시점을 교정</x:v>
      </x:c>
      <x:c r="E33" s="258" t="str">
        <x:v>202405 63.5% -&gt; 202505 63.8%, 전년동월 대비 0.3%p 상승으로 주장과 일치</x:v>
      </x:c>
    </x:row>
    <x:row r="34" ht="42" customHeight="1">
      <x:c r="A34" s="256" t="str">
        <x:v>C18098</x:v>
      </x:c>
      <x:c r="B34" s="257" t="str">
        <x:v>확정일치</x:v>
      </x:c>
      <x:c r="C34" s="257" t="str">
        <x:v>두 달 연속 내림세였던 석유류도 지난달 0.3% 올라 상승 전환했다.</x:v>
      </x:c>
      <x:c r="D34" s="257" t="str">
        <x:v>품목별 소비자물가지수의 전국·석유류로 재매핑하고 전년동월비 계산</x:v>
      </x:c>
      <x:c r="E34" s="258" t="str">
        <x:v>석유류 지수 202406 123.18 -&gt; 202506 123.49, 전년동월비 0.252%로 한 자리 반올림 시 주장 0.3%와 일치</x:v>
      </x:c>
    </x:row>
    <x:row r="35" ht="42" customHeight="1">
      <x:c r="A35" s="256" t="str">
        <x:v>C18109</x:v>
      </x:c>
      <x:c r="B35" s="257" t="str">
        <x:v>확정일치</x:v>
      </x:c>
      <x:c r="C35" s="257" t="str">
        <x:v>소비 빈도가 높은 식료품과 외식, 생활용품 물가를 집계한 생활물가지수 상승률은 지난달 2.5%로 전달(2.3%)보다 오름폭이 0.2%포인트 커졌다.</x:v>
      </x:c>
      <x:c r="D35" s="257" t="str">
        <x:v>월별 소비자물가 등락률/생활물가지수/전년동월비(%), 두 월의 등락률 차이를 비교</x:v>
      </x:c>
      <x:c r="E35" s="258" t="str">
        <x:v>202505 2.3% -&gt; 202506 2.5%, 상승폭 0.2%p로 주장과 일치</x:v>
      </x:c>
    </x:row>
    <x:row r="36" ht="42" customHeight="1">
      <x:c r="A36" s="256" t="str">
        <x:v>C18208</x:v>
      </x:c>
      <x:c r="B36" s="257" t="str">
        <x:v>확정일치</x:v>
      </x:c>
      <x:c r="C36" s="257" t="str">
        <x:v>외식 물가도 3.1%나 뛰었다.</x:v>
      </x:c>
      <x:c r="D36" s="257" t="str">
        <x:v>품목별 소비자물가지수의 전국·외식으로 재매핑하고 전년동월비 계산</x:v>
      </x:c>
      <x:c r="E36" s="258" t="str">
        <x:v>외식 지수 202406 121.08 -&gt; 202506 124.79, 전년동월비 3.064%로 한 자리 반올림 시 주장 3.1%와 일치</x:v>
      </x:c>
    </x:row>
    <x:row r="37" ht="42" customHeight="1">
      <x:c r="A37" s="256" t="str">
        <x:v>C18693</x:v>
      </x:c>
      <x:c r="B37" s="257" t="str">
        <x:v>직접검증불가</x:v>
      </x:c>
      <x:c r="C37" s="257" t="str">
        <x:v>글로벌 경기가 좋아서 세계산업지수가 0.8% 오르면 국내 소비자물가가 0.12%포인트 상승했다.</x:v>
      </x:c>
      <x:c r="D37" s="257" t="str">
        <x:v>세계산업지수 충격과 국내 물가의 관계를 추정한 모형 결과로 KOSIS 원자료 단일값으로 직접 검증할 수 없음</x:v>
      </x:c>
      <x:c r="E37" s="258" t="str"/>
    </x:row>
    <x:row r="38" ht="42" customHeight="1">
      <x:c r="A38" s="256" t="str">
        <x:v>C18694</x:v>
      </x:c>
      <x:c r="B38" s="257" t="str">
        <x:v>직접검증불가</x:v>
      </x:c>
      <x:c r="C38" s="257" t="str">
        <x:v>둘째, 국제 원자재 가격이 1.9% 오를 때 국내 물가는 0.12%포인트 상승했다.</x:v>
      </x:c>
      <x:c r="D38" s="257" t="str">
        <x:v>국제 원자재 가격 충격과 국내 물가의 관계를 추정한 모형 결과로 KOSIS 원자료 단일값으로 직접 검증할 수 없음</x:v>
      </x:c>
      <x:c r="E38" s="258" t="str"/>
    </x:row>
    <x:row r="39" ht="42" customHeight="1">
      <x:c r="A39" s="256" t="str">
        <x:v>C18696</x:v>
      </x:c>
      <x:c r="B39" s="257" t="str">
        <x:v>직접검증불가</x:v>
      </x:c>
      <x:c r="C39" s="257" t="str">
        <x:v>넷째, 한국은행이 기준금리를 0.12%포인트 인상하면 물가는 0.09%포인트 하락했다.</x:v>
      </x:c>
      <x:c r="D39" s="257" t="str">
        <x:v>기준금리 충격과 물가의 관계를 추정한 모형 결과로 KOSIS 원자료 단일값으로 직접 검증할 수 없음</x:v>
      </x:c>
      <x:c r="E39" s="258" t="str"/>
    </x:row>
    <x:row r="40" ht="42" customHeight="1">
      <x:c r="A40" s="256" t="str">
        <x:v>C19960</x:v>
      </x:c>
      <x:c r="B40" s="257" t="str">
        <x:v>확정일치</x:v>
      </x:c>
      <x:c r="C40" s="257" t="str">
        <x:v>20대 고용률은 지난해 9월(-0.2%포인트) 이후 13개월 연속 오르지 못하고 있다.</x:v>
      </x:c>
      <x:c r="D40" s="257" t="str">
        <x:v>연령별 경제활동인구 총괄의 20~29세·고용률로 재매핑하고 전년동월 비교</x:v>
      </x:c>
      <x:c r="E40" s="258" t="str">
        <x:v>20대 고용률 202409 60.9% -&gt; 202509 60.7%, 전년동월 대비 -0.2%p로 주장과 일치</x:v>
      </x:c>
    </x:row>
    <x:row r="41" ht="42" customHeight="1">
      <x:c r="A41" s="256" t="str">
        <x:v>C20235</x:v>
      </x:c>
      <x:c r="B41" s="257" t="str">
        <x:v>확정일치</x:v>
      </x:c>
      <x:c r="C41" s="257" t="str">
        <x:v>2일 국가데이터처에 따르면, 올해 3분기(7~9월) 15~29세 실업률은 5.1%로 전년 같은 기간(4.9%) 대비 0.2%포인트 상승했다.</x:v>
      </x:c>
      <x:c r="D41" s="257" t="str">
        <x:v>연령별 경제활동인구 총괄의 15~29세 경제활동인구와 실업자를 3개월 합산해 분기 실업률 계산</x:v>
      </x:c>
      <x:c r="E41" s="258" t="str">
        <x:v>2024Q3 584.5/11,875.2=4.922%(4.9%), 2025Q3 573.6/11,340.9=5.058%(5.1%); 공표 반올림값 차이 0.2%p로 주장과 일치</x:v>
      </x:c>
    </x:row>
    <x:row r="42" ht="42" customHeight="1">
      <x:c r="A42" s="256" t="str">
        <x:v>C20290</x:v>
      </x:c>
      <x:c r="B42" s="257" t="str">
        <x:v>직접검증불가</x:v>
      </x:c>
      <x:c r="C42" s="257" t="str">
        <x:v>가공식품 물가는 전년 같은 달 대비 3.5% 오르면서 전체 물가를 0.30%포인트 끌어올렸다.</x:v>
      </x:c>
      <x:c r="D42" s="257" t="str">
        <x:v>가공식품 물가상승률 3.5%는 확인되지만 주장 대상 0.30%p 기여도는 KOSIS 소비자물가 표에 제공되지 않음</x:v>
      </x:c>
      <x:c r="E42" s="258" t="str">
        <x:v>가공식품 지수 202410 120.56 -&gt; 202510 124.74, 전년동월비 3.467%(3.5%)는 일치. 소비자물가조사 15개 KOSIS 표 메타에서 기여도·가중치 항목은 확인되지 않음</x:v>
      </x:c>
    </x:row>
    <x:row r="43" ht="42" customHeight="1">
      <x:c r="A43" s="259" t="str">
        <x:v>C20300</x:v>
      </x:c>
      <x:c r="B43" s="260" t="str">
        <x:v>확정일치</x:v>
      </x:c>
      <x:c r="C43" s="260" t="str">
        <x:v>지난해 7월(2.6%) 이후 가장 높다.</x:v>
      </x:c>
      <x:c r="D43" s="260" t="str">
        <x:v>월별 소비자물가 등락률/총지수/전년동월비(%), 월별 시점이 주장과 일치</x:v>
      </x:c>
      <x:c r="E43" s="261" t="str">
        <x:v>202407 총지수 전년동월비 2.6%로 주장 2.6%와 일치</x:v>
      </x:c>
    </x:row>
  </x:sheetData>
  <x:mergeCells>
    <x:mergeCell ref="A1:E1"/>
    <x:mergeCell ref="A2:E2"/>
  </x:mergeCells>
  <x:conditionalFormatting sqref="B11:B43">
    <x:cfRule type="containsText" dxfId="3" priority="1" operator="containsText" text="확정일치"/>
    <x:cfRule type="containsText" dxfId="4" priority="2" operator="containsText" text="재매핑필요"/>
    <x:cfRule type="containsText" dxfId="5" priority="3" operator="containsText" text="직접검증불가"/>
  </x:conditionalFormatting>
  <x:pageMargins left="0.7" right="0.7" top="0.75" bottom="0.75" header="0.3" footer="0.3"/>
</x:worksheet>
</file>