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dff2375bb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cp_auto_gold_200" sheetId="1" r:id="Re6f69bd6386b4dbd"/>
    <x:sheet xmlns:r="http://schemas.openxmlformats.org/officeDocument/2006/relationships" name="Summary" sheetId="2" r:id="Rfa6f48463fc7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17365D"/>
      <x:name val="Carlito"/>
    </x:font>
    <x:font>
      <x:i/>
      <x:sz val="11"/>
      <x:color rgb="FF7C57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4CC"/>
      </x:patternFill>
    </x:fill>
  </x:fills>
  <x:borders count="24">
    <x:border/>
    <x:border/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0" fontId="0" fillId="0" borderId="20" xfId="0" applyNumberFormat="1" applyFont="1" applyFill="1" applyBorder="1"/>
    <x:xf numFmtId="200" fontId="0" fillId="0" borderId="21" xfId="0" applyNumberFormat="1" applyFont="1" applyFill="1" applyBorder="1"/>
    <x:xf numFmtId="200" fontId="0" fillId="0" borderId="22" xfId="0" applyNumberFormat="1" applyFont="1" applyFill="1" applyBorder="1"/>
    <x:xf numFmtId="200" fontId="0" fillId="0" borderId="23" xfId="0" applyNumberFormat="1" applyFont="1" applyFill="1" applyBorder="1"/>
    <x:xf numFmtId="200" fontId="4" fillId="0" borderId="18" xfId="0" applyNumberFormat="1" applyFont="1" applyFill="1" applyBorder="1"/>
    <x:xf numFmtId="200" fontId="4" fillId="0" borderId="19" xfId="0" applyNumberFormat="1" applyFont="1" applyFill="1" applyBorder="1"/>
    <x:xf numFmtId="200" fontId="4" fillId="0" borderId="20" xfId="0" applyNumberFormat="1" applyFont="1" applyFill="1" applyBorder="1"/>
    <x:xf numFmtId="200" fontId="4" fillId="0" borderId="21" xfId="0" applyNumberFormat="1" applyFont="1" applyFill="1" applyBorder="1"/>
    <x:xf numFmtId="200" fontId="4" fillId="0" borderId="22" xfId="0" applyNumberFormat="1" applyFont="1" applyFill="1" applyBorder="1"/>
    <x:xf numFmtId="200" fontId="4" fillId="0" borderId="2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96e3f24944c28" /><Relationship Type="http://schemas.openxmlformats.org/officeDocument/2006/relationships/theme" Target="/xl/theme/theme1.xml" Id="Rd75ccfbf9606413a" /><Relationship Type="http://schemas.openxmlformats.org/officeDocument/2006/relationships/sharedStrings" Target="/xl/sharedStrings.xml" Id="Red715fcf6468476f" /><Relationship Type="http://schemas.openxmlformats.org/officeDocument/2006/relationships/worksheet" Target="/xl/worksheets/sheet1.xml" Id="Re6f69bd6386b4dbd" /><Relationship Type="http://schemas.openxmlformats.org/officeDocument/2006/relationships/worksheet" Target="/xl/worksheets/sheet2.xml" Id="Rfa6f48463fc74098" /></Relationships>
</file>

<file path=xl/tables/table1.xml><?xml version="1.0" encoding="utf-8"?>
<x:table xmlns:x="http://schemas.openxmlformats.org/spreadsheetml/2006/main" id="1" name="McpAutoGold200Table" displayName="McpAutoGold200Table" ref="A1:AX201" headerRowCount="1" totalsRowCount="0" totalsRowShown="0">
  <x:autoFilter ref="A1:AX201"/>
  <x:tableColumns count="50">
    <x:tableColumn id="1" name="claim_id"/>
    <x:tableColumn id="2" name="claim_measurement_id"/>
    <x:tableColumn id="3" name="article_id"/>
    <x:tableColumn id="4" name="title"/>
    <x:tableColumn id="5" name="date"/>
    <x:tableColumn id="6" name="url"/>
    <x:tableColumn id="7" name="claim_text"/>
    <x:tableColumn id="8" name="measurement_text"/>
    <x:tableColumn id="9" name="measurement_usage"/>
    <x:tableColumn id="10" name="claim_domain_scope"/>
    <x:tableColumn id="11" name="measurement_binding_source"/>
    <x:tableColumn id="12" name="measurement_role"/>
    <x:tableColumn id="13" name="measurement_indicator"/>
    <x:tableColumn id="14" name="measurement_item"/>
    <x:tableColumn id="15" name="value"/>
    <x:tableColumn id="16" name="unit"/>
    <x:tableColumn id="17" name="measurement_period"/>
    <x:tableColumn id="18" name="measurement_prd_se"/>
    <x:tableColumn id="19" name="gold_verifiable"/>
    <x:tableColumn id="20" name="gold_measurement_correct"/>
    <x:tableColumn id="21" name="gold_ready"/>
    <x:tableColumn id="22" name="gold_label_tier"/>
    <x:tableColumn id="23" name="gold_org_id"/>
    <x:tableColumn id="24" name="gold_tbl_id"/>
    <x:tableColumn id="25" name="gold_tbl_name"/>
    <x:tableColumn id="26" name="gold_itm_id"/>
    <x:tableColumn id="27" name="gold_itm_name"/>
    <x:tableColumn id="28" name="gold_obj_l1"/>
    <x:tableColumn id="29" name="gold_obj_l1_name"/>
    <x:tableColumn id="30" name="gold_prd_se"/>
    <x:tableColumn id="31" name="gold_period"/>
    <x:tableColumn id="32" name="gold_previous_period"/>
    <x:tableColumn id="33" name="gold_value_type"/>
    <x:tableColumn id="34" name="gold_derivation_method"/>
    <x:tableColumn id="35" name="gold_source_unit"/>
    <x:tableColumn id="36" name="gold_source_value"/>
    <x:tableColumn id="37" name="gold_source_previous_value"/>
    <x:tableColumn id="38" name="gold_actual_value"/>
    <x:tableColumn id="39" name="gold_claim_signed_value"/>
    <x:tableColumn id="40" name="gold_abs_error"/>
    <x:tableColumn id="41" name="gold_relative_error_pct"/>
    <x:tableColumn id="42" name="gold_tolerance"/>
    <x:tableColumn id="43" name="gold_verdict"/>
    <x:tableColumn id="44" name="gold_coordinate_status"/>
    <x:tableColumn id="45" name="gold_confidence"/>
    <x:tableColumn id="46" name="gold_reason"/>
    <x:tableColumn id="47" name="gold_evidence_url"/>
    <x:tableColumn id="48" name="gold_retrieved_at"/>
    <x:tableColumn id="49" name="gold_label_source"/>
    <x:tableColumn id="50" name="human_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5e18d2956c41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36" hidden="0" customWidth="1"/>
    <x:col min="5" max="5" width="12" hidden="0" customWidth="1"/>
    <x:col min="6" max="6" width="32" hidden="0" customWidth="1"/>
    <x:col min="7" max="7" width="48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28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</x:cols>
  <x:sheetData>
    <x:row r="1" ht="42" customHeight="1">
      <x:c r="A1" s="22" t="str">
        <x:v>claim_id</x:v>
      </x:c>
      <x:c r="B1" s="23" t="str">
        <x:v>claim_measurement_id</x:v>
      </x:c>
      <x:c r="C1" s="23" t="str">
        <x:v>article_id</x:v>
      </x:c>
      <x:c r="D1" s="23" t="str">
        <x:v>title</x:v>
      </x:c>
      <x:c r="E1" s="23" t="str">
        <x:v>date</x:v>
      </x:c>
      <x:c r="F1" s="23" t="str">
        <x:v>url</x:v>
      </x:c>
      <x:c r="G1" s="23" t="str">
        <x:v>claim_text</x:v>
      </x:c>
      <x:c r="H1" s="23" t="str">
        <x:v>measurement_text</x:v>
      </x:c>
      <x:c r="I1" s="23" t="str">
        <x:v>measurement_usage</x:v>
      </x:c>
      <x:c r="J1" s="23" t="str">
        <x:v>claim_domain_scope</x:v>
      </x:c>
      <x:c r="K1" s="23" t="str">
        <x:v>measurement_binding_source</x:v>
      </x:c>
      <x:c r="L1" s="23" t="str">
        <x:v>measurement_role</x:v>
      </x:c>
      <x:c r="M1" s="23" t="str">
        <x:v>measurement_indicator</x:v>
      </x:c>
      <x:c r="N1" s="23" t="str">
        <x:v>measurement_item</x:v>
      </x:c>
      <x:c r="O1" s="23" t="str">
        <x:v>value</x:v>
      </x:c>
      <x:c r="P1" s="23" t="str">
        <x:v>unit</x:v>
      </x:c>
      <x:c r="Q1" s="23" t="str">
        <x:v>measurement_period</x:v>
      </x:c>
      <x:c r="R1" s="23" t="str">
        <x:v>measurement_prd_se</x:v>
      </x:c>
      <x:c r="S1" s="23" t="str">
        <x:v>gold_verifiable</x:v>
      </x:c>
      <x:c r="T1" s="23" t="str">
        <x:v>gold_measurement_correct</x:v>
      </x:c>
      <x:c r="U1" s="23" t="str">
        <x:v>gold_ready</x:v>
      </x:c>
      <x:c r="V1" s="23" t="str">
        <x:v>gold_label_tier</x:v>
      </x:c>
      <x:c r="W1" s="23" t="str">
        <x:v>gold_org_id</x:v>
      </x:c>
      <x:c r="X1" s="23" t="str">
        <x:v>gold_tbl_id</x:v>
      </x:c>
      <x:c r="Y1" s="23" t="str">
        <x:v>gold_tbl_name</x:v>
      </x:c>
      <x:c r="Z1" s="23" t="str">
        <x:v>gold_itm_id</x:v>
      </x:c>
      <x:c r="AA1" s="23" t="str">
        <x:v>gold_itm_name</x:v>
      </x:c>
      <x:c r="AB1" s="23" t="str">
        <x:v>gold_obj_l1</x:v>
      </x:c>
      <x:c r="AC1" s="23" t="str">
        <x:v>gold_obj_l1_name</x:v>
      </x:c>
      <x:c r="AD1" s="23" t="str">
        <x:v>gold_prd_se</x:v>
      </x:c>
      <x:c r="AE1" s="23" t="str">
        <x:v>gold_period</x:v>
      </x:c>
      <x:c r="AF1" s="23" t="str">
        <x:v>gold_previous_period</x:v>
      </x:c>
      <x:c r="AG1" s="23" t="str">
        <x:v>gold_value_type</x:v>
      </x:c>
      <x:c r="AH1" s="23" t="str">
        <x:v>gold_derivation_method</x:v>
      </x:c>
      <x:c r="AI1" s="23" t="str">
        <x:v>gold_source_unit</x:v>
      </x:c>
      <x:c r="AJ1" s="23" t="str">
        <x:v>gold_source_value</x:v>
      </x:c>
      <x:c r="AK1" s="23" t="str">
        <x:v>gold_source_previous_value</x:v>
      </x:c>
      <x:c r="AL1" s="23" t="str">
        <x:v>gold_actual_value</x:v>
      </x:c>
      <x:c r="AM1" s="23" t="str">
        <x:v>gold_claim_signed_value</x:v>
      </x:c>
      <x:c r="AN1" s="23" t="str">
        <x:v>gold_abs_error</x:v>
      </x:c>
      <x:c r="AO1" s="23" t="str">
        <x:v>gold_relative_error_pct</x:v>
      </x:c>
      <x:c r="AP1" s="23" t="str">
        <x:v>gold_tolerance</x:v>
      </x:c>
      <x:c r="AQ1" s="23" t="str">
        <x:v>gold_verdict</x:v>
      </x:c>
      <x:c r="AR1" s="23" t="str">
        <x:v>gold_coordinate_status</x:v>
      </x:c>
      <x:c r="AS1" s="23" t="str">
        <x:v>gold_confidence</x:v>
      </x:c>
      <x:c r="AT1" s="23" t="str">
        <x:v>gold_reason</x:v>
      </x:c>
      <x:c r="AU1" s="23" t="str">
        <x:v>gold_evidence_url</x:v>
      </x:c>
      <x:c r="AV1" s="23" t="str">
        <x:v>gold_retrieved_at</x:v>
      </x:c>
      <x:c r="AW1" s="23" t="str">
        <x:v>gold_label_source</x:v>
      </x:c>
      <x:c r="AX1" s="24" t="str">
        <x:v>human_reviewed</x:v>
      </x:c>
    </x:row>
    <x:row r="2">
      <x:c r="A2" s="30" t="str">
        <x:v>A0002-CG0001</x:v>
      </x:c>
      <x:c r="B2" s="30" t="str">
        <x:v>A0002-CG0001-m1</x:v>
      </x:c>
      <x:c r="C2" s="30" t="str">
        <x:v>A0002</x:v>
      </x:c>
      <x:c r="D2" s="30" t="str">
        <x:v>폴크스바겐, 전기차 정보 부실 관리 논란</x:v>
      </x:c>
      <x:c r="E2" s="30" t="str">
        <x:v>2025-01-01</x:v>
      </x:c>
      <x:c r="F2" s="30" t="str">
        <x:v>https://www.chosun.com/economy/auto/2025/01/01/S7LNVYUONNHU3KF3WJWFZZ3NVE</x:v>
      </x:c>
      <x:c r="G2" s="31" t="str">
        <x:v>전기차 전환에 뒤처지며 창사 87년 만에 처음으로 독일 자국 내 공장 폐쇄에 나선 폴크스바겐이 이번엔 전기차 약 80만대의 운행 데이터와 소유주 정보를 온라인에서 부실 관리했다는 논란에 휩싸였다.</x:v>
      </x:c>
      <x:c r="H2" s="30" t="str">
        <x:v>창사 87년 만에 처음으로</x:v>
      </x:c>
      <x:c r="I2" s="30" t="str">
        <x:v>KOSIS_VALUE</x:v>
      </x:c>
      <x:c r="J2" s="30" t="str">
        <x:v>국내공식통계</x:v>
      </x:c>
      <x:c r="K2" s="30" t="str">
        <x:v>codex_common_codebook</x:v>
      </x:c>
      <x:c r="L2" s="30" t="str">
        <x:v>참고값</x:v>
      </x:c>
      <x:c r="M2" s="30" t="str">
        <x:v>N/A</x:v>
      </x:c>
      <x:c r="N2" s="30" t="str">
        <x:v>전기차</x:v>
      </x:c>
      <x:c r="O2" s="30" t="str">
        <x:v>87</x:v>
      </x:c>
      <x:c r="P2" s="30" t="str">
        <x:v>년</x:v>
      </x:c>
      <x:c r="Q2" s="30" t="str">
        <x:v>N/A</x:v>
      </x:c>
      <x:c r="R2" s="30" t="str">
        <x:v>N/A</x:v>
      </x:c>
      <x:c r="S2" s="30" t="str">
        <x:v>N</x:v>
      </x:c>
      <x:c r="T2" s="30" t="str">
        <x:v>N</x:v>
      </x:c>
      <x:c r="U2" s="30" t="str">
        <x:v>N</x:v>
      </x:c>
      <x:c r="V2" s="30" t="str">
        <x:v>MEASUREMENT_ERROR</x:v>
      </x:c>
      <x:c r="W2" s="30" t="str">
        <x:v>N/A</x:v>
      </x:c>
      <x:c r="X2" s="30" t="str">
        <x:v>N/A</x:v>
      </x:c>
      <x:c r="Y2" s="30" t="str">
        <x:v>N/A</x:v>
      </x:c>
      <x:c r="Z2" s="30" t="str">
        <x:v>N/A</x:v>
      </x:c>
      <x:c r="AA2" s="30" t="str">
        <x:v>N/A</x:v>
      </x:c>
      <x:c r="AB2" s="30" t="str">
        <x:v>N/A</x:v>
      </x:c>
      <x:c r="AC2" s="30" t="str">
        <x:v>N/A</x:v>
      </x:c>
      <x:c r="AD2" s="30" t="str">
        <x:v>N/A</x:v>
      </x:c>
      <x:c r="AE2" s="30" t="str">
        <x:v>N/A</x:v>
      </x:c>
      <x:c r="AF2" s="30" t="str">
        <x:v>N/A</x:v>
      </x:c>
      <x:c r="AG2" s="30" t="str">
        <x:v>N/A</x:v>
      </x:c>
      <x:c r="AH2" s="30" t="str">
        <x:v>N/A</x:v>
      </x:c>
      <x:c r="AI2" s="30" t="str">
        <x:v>N/A</x:v>
      </x:c>
      <x:c r="AJ2" s="30" t="str">
        <x:v>N/A</x:v>
      </x:c>
      <x:c r="AK2" s="30" t="str">
        <x:v>N/A</x:v>
      </x:c>
      <x:c r="AL2" s="30" t="str">
        <x:v>N/A</x:v>
      </x:c>
      <x:c r="AM2" s="30" t="str">
        <x:v>N/A</x:v>
      </x:c>
      <x:c r="AN2" s="30" t="str">
        <x:v>N/A</x:v>
      </x:c>
      <x:c r="AO2" s="30" t="str">
        <x:v>N/A</x:v>
      </x:c>
      <x:c r="AP2" s="30" t="str">
        <x:v>N/A</x:v>
      </x:c>
      <x:c r="AQ2" s="30" t="str">
        <x:v>판단불가</x:v>
      </x:c>
      <x:c r="AR2" s="30" t="str">
        <x:v>NOT_APPLICABLE</x:v>
      </x:c>
      <x:c r="AS2" s="30" t="str">
        <x:v>HIGH</x:v>
      </x:c>
      <x:c r="AT2" s="31" t="str">
        <x:v>OUT_OF_KOSIS_SCOPE; INDICATOR_MISSING; 잠긴 Codex 공통 골드의 제외 판정을 유지함.</x:v>
      </x:c>
      <x:c r="AU2" s="30" t="str">
        <x:v>N/A</x:v>
      </x:c>
      <x:c r="AV2" s="30" t="n">
        <x:v>46239.31775462963</x:v>
      </x:c>
      <x:c r="AW2" s="30" t="str">
        <x:v>CODEX_COMMON_GOLD_V1_200</x:v>
      </x:c>
      <x:c r="AX2" s="30" t="str">
        <x:v>N</x:v>
      </x:c>
    </x:row>
    <x:row r="3">
      <x:c r="A3" s="32" t="str">
        <x:v>A0002-CG0002</x:v>
      </x:c>
      <x:c r="B3" s="32" t="str">
        <x:v>A0002-CG0002-m1</x:v>
      </x:c>
      <x:c r="C3" s="32" t="str">
        <x:v>A0002</x:v>
      </x:c>
      <x:c r="D3" s="32" t="str">
        <x:v>폴크스바겐, 전기차 정보 부실 관리 논란</x:v>
      </x:c>
      <x:c r="E3" s="32" t="str">
        <x:v>2025-01-01</x:v>
      </x:c>
      <x:c r="F3" s="32" t="str">
        <x:v>https://www.chosun.com/economy/auto/2025/01/01/S7LNVYUONNHU3KF3WJWFZZ3NVE</x:v>
      </x:c>
      <x:c r="G3" s="33" t="str">
        <x:v>전기차 전환에 뒤처지며 창사 87년 만에 처음으로 독일 자국 내 공장 폐쇄에 나선 폴크스바겐이 이번엔 전기차 약 80만대의 운행 데이터와 소유주 정보를 온라인에서 부실 관리했다는 논란에 휩싸였다.</x:v>
      </x:c>
      <x:c r="H3" s="32" t="str">
        <x:v>전기차 약 80만대</x:v>
      </x:c>
      <x:c r="I3" s="32" t="str">
        <x:v>KOSIS_VALUE</x:v>
      </x:c>
      <x:c r="J3" s="32" t="str">
        <x:v>국내공식통계</x:v>
      </x:c>
      <x:c r="K3" s="32" t="str">
        <x:v>codex_common_codebook</x:v>
      </x:c>
      <x:c r="L3" s="32" t="str">
        <x:v>현재값</x:v>
      </x:c>
      <x:c r="M3" s="32" t="str">
        <x:v>운행 데이터와 소유주 정보의 수량</x:v>
      </x:c>
      <x:c r="N3" s="32" t="str">
        <x:v>전기차</x:v>
      </x:c>
      <x:c r="O3" s="32" t="str">
        <x:v>800000</x:v>
      </x:c>
      <x:c r="P3" s="32" t="str">
        <x:v>대</x:v>
      </x:c>
      <x:c r="Q3" s="32" t="str">
        <x:v>N/A</x:v>
      </x:c>
      <x:c r="R3" s="32" t="str">
        <x:v>N/A</x:v>
      </x:c>
      <x:c r="S3" s="32" t="str">
        <x:v>N</x:v>
      </x:c>
      <x:c r="T3" s="32" t="str">
        <x:v>N</x:v>
      </x:c>
      <x:c r="U3" s="32" t="str">
        <x:v>N</x:v>
      </x:c>
      <x:c r="V3" s="32" t="str">
        <x:v>MEASUREMENT_ERROR</x:v>
      </x:c>
      <x:c r="W3" s="32" t="str">
        <x:v>N/A</x:v>
      </x:c>
      <x:c r="X3" s="32" t="str">
        <x:v>N/A</x:v>
      </x:c>
      <x:c r="Y3" s="32" t="str">
        <x:v>N/A</x:v>
      </x:c>
      <x:c r="Z3" s="32" t="str">
        <x:v>N/A</x:v>
      </x:c>
      <x:c r="AA3" s="32" t="str">
        <x:v>N/A</x:v>
      </x:c>
      <x:c r="AB3" s="32" t="str">
        <x:v>N/A</x:v>
      </x:c>
      <x:c r="AC3" s="32" t="str">
        <x:v>N/A</x:v>
      </x:c>
      <x:c r="AD3" s="32" t="str">
        <x:v>N/A</x:v>
      </x:c>
      <x:c r="AE3" s="32" t="str">
        <x:v>N/A</x:v>
      </x:c>
      <x:c r="AF3" s="32" t="str">
        <x:v>N/A</x:v>
      </x:c>
      <x:c r="AG3" s="32" t="str">
        <x:v>N/A</x:v>
      </x:c>
      <x:c r="AH3" s="32" t="str">
        <x:v>N/A</x:v>
      </x:c>
      <x:c r="AI3" s="32" t="str">
        <x:v>N/A</x:v>
      </x:c>
      <x:c r="AJ3" s="32" t="str">
        <x:v>N/A</x:v>
      </x:c>
      <x:c r="AK3" s="32" t="str">
        <x:v>N/A</x:v>
      </x:c>
      <x:c r="AL3" s="32" t="str">
        <x:v>N/A</x:v>
      </x:c>
      <x:c r="AM3" s="32" t="str">
        <x:v>N/A</x:v>
      </x:c>
      <x:c r="AN3" s="32" t="str">
        <x:v>N/A</x:v>
      </x:c>
      <x:c r="AO3" s="32" t="str">
        <x:v>N/A</x:v>
      </x:c>
      <x:c r="AP3" s="32" t="str">
        <x:v>N/A</x:v>
      </x:c>
      <x:c r="AQ3" s="32" t="str">
        <x:v>판단불가</x:v>
      </x:c>
      <x:c r="AR3" s="32" t="str">
        <x:v>NOT_APPLICABLE</x:v>
      </x:c>
      <x:c r="AS3" s="32" t="str">
        <x:v>HIGH</x:v>
      </x:c>
      <x:c r="AT3" s="33" t="str">
        <x:v>OUT_OF_KOSIS_SCOPE; PERIOD_OR_PERIODICITY_MISSING; 잠긴 Codex 공통 골드의 제외 판정을 유지함.</x:v>
      </x:c>
      <x:c r="AU3" s="32" t="str">
        <x:v>N/A</x:v>
      </x:c>
      <x:c r="AV3" s="32" t="n">
        <x:v>46239.31775462963</x:v>
      </x:c>
      <x:c r="AW3" s="32" t="str">
        <x:v>CODEX_COMMON_GOLD_V1_200</x:v>
      </x:c>
      <x:c r="AX3" s="32" t="str">
        <x:v>N</x:v>
      </x:c>
    </x:row>
    <x:row r="4">
      <x:c r="A4" s="32" t="str">
        <x:v>A0002-CG0003</x:v>
      </x:c>
      <x:c r="B4" s="32" t="str">
        <x:v>A0002-CG0003-m1</x:v>
      </x:c>
      <x:c r="C4" s="32" t="str">
        <x:v>A0002</x:v>
      </x:c>
      <x:c r="D4" s="32" t="str">
        <x:v>폴크스바겐, 전기차 정보 부실 관리 논란</x:v>
      </x:c>
      <x:c r="E4" s="32" t="str">
        <x:v>2025-01-01</x:v>
      </x:c>
      <x:c r="F4" s="32" t="str">
        <x:v>https://www.chosun.com/economy/auto/2025/01/01/S7LNVYUONNHU3KF3WJWFZZ3NVE</x:v>
      </x:c>
      <x:c r="G4" s="33" t="str">
        <x:v>지난달 31일 독일 슈피겔 등 외신에 따르면, 폴크스바겐과 아우디, 세아트, 스코다 등 폴크스바겐그룹 전기차 80만대에서 수집한 수 테라바이트 규모 데이터가 지난 몇 달간 암호화되지 않은 채로 아마존 클라우드에 방치됐던 것으로 나타났다.</x:v>
      </x:c>
      <x:c r="H4" s="32" t="str">
        <x:v>80만대</x:v>
      </x:c>
      <x:c r="I4" s="32" t="str">
        <x:v>KOSIS_VALUE</x:v>
      </x:c>
      <x:c r="J4" s="32" t="str">
        <x:v>국내공식통계</x:v>
      </x:c>
      <x:c r="K4" s="32" t="str">
        <x:v>codex_common_codebook</x:v>
      </x:c>
      <x:c r="L4" s="32" t="str">
        <x:v>현재값</x:v>
      </x:c>
      <x:c r="M4" s="32" t="str">
        <x:v>전기차 데이터 노출 대수</x:v>
      </x:c>
      <x:c r="N4" s="32" t="str">
        <x:v>전기차</x:v>
      </x:c>
      <x:c r="O4" s="32" t="str">
        <x:v>800000</x:v>
      </x:c>
      <x:c r="P4" s="32" t="str">
        <x:v>대</x:v>
      </x:c>
      <x:c r="Q4" s="32" t="str">
        <x:v>N/A</x:v>
      </x:c>
      <x:c r="R4" s="32" t="str">
        <x:v>N/A</x:v>
      </x:c>
      <x:c r="S4" s="32" t="str">
        <x:v>N</x:v>
      </x:c>
      <x:c r="T4" s="32" t="str">
        <x:v>N</x:v>
      </x:c>
      <x:c r="U4" s="32" t="str">
        <x:v>N</x:v>
      </x:c>
      <x:c r="V4" s="32" t="str">
        <x:v>MEASUREMENT_ERROR</x:v>
      </x:c>
      <x:c r="W4" s="32" t="str">
        <x:v>N/A</x:v>
      </x:c>
      <x:c r="X4" s="32" t="str">
        <x:v>N/A</x:v>
      </x:c>
      <x:c r="Y4" s="32" t="str">
        <x:v>N/A</x:v>
      </x:c>
      <x:c r="Z4" s="32" t="str">
        <x:v>N/A</x:v>
      </x:c>
      <x:c r="AA4" s="32" t="str">
        <x:v>N/A</x:v>
      </x:c>
      <x:c r="AB4" s="32" t="str">
        <x:v>N/A</x:v>
      </x:c>
      <x:c r="AC4" s="32" t="str">
        <x:v>N/A</x:v>
      </x:c>
      <x:c r="AD4" s="32" t="str">
        <x:v>N/A</x:v>
      </x:c>
      <x:c r="AE4" s="32" t="str">
        <x:v>N/A</x:v>
      </x:c>
      <x:c r="AF4" s="32" t="str">
        <x:v>N/A</x:v>
      </x:c>
      <x:c r="AG4" s="32" t="str">
        <x:v>N/A</x:v>
      </x:c>
      <x:c r="AH4" s="32" t="str">
        <x:v>N/A</x:v>
      </x:c>
      <x:c r="AI4" s="32" t="str">
        <x:v>N/A</x:v>
      </x:c>
      <x:c r="AJ4" s="32" t="str">
        <x:v>N/A</x:v>
      </x:c>
      <x:c r="AK4" s="32" t="str">
        <x:v>N/A</x:v>
      </x:c>
      <x:c r="AL4" s="32" t="str">
        <x:v>N/A</x:v>
      </x:c>
      <x:c r="AM4" s="32" t="str">
        <x:v>N/A</x:v>
      </x:c>
      <x:c r="AN4" s="32" t="str">
        <x:v>N/A</x:v>
      </x:c>
      <x:c r="AO4" s="32" t="str">
        <x:v>N/A</x:v>
      </x:c>
      <x:c r="AP4" s="32" t="str">
        <x:v>N/A</x:v>
      </x:c>
      <x:c r="AQ4" s="32" t="str">
        <x:v>판단불가</x:v>
      </x:c>
      <x:c r="AR4" s="32" t="str">
        <x:v>NOT_APPLICABLE</x:v>
      </x:c>
      <x:c r="AS4" s="32" t="str">
        <x:v>HIGH</x:v>
      </x:c>
      <x:c r="AT4" s="33" t="str">
        <x:v>OUT_OF_KOSIS_SCOPE; PERIOD_OR_PERIODICITY_MISSING; 잠긴 Codex 공통 골드의 제외 판정을 유지함.</x:v>
      </x:c>
      <x:c r="AU4" s="32" t="str">
        <x:v>N/A</x:v>
      </x:c>
      <x:c r="AV4" s="32" t="n">
        <x:v>46239.31775462963</x:v>
      </x:c>
      <x:c r="AW4" s="32" t="str">
        <x:v>CODEX_COMMON_GOLD_V1_200</x:v>
      </x:c>
      <x:c r="AX4" s="32" t="str">
        <x:v>N</x:v>
      </x:c>
    </x:row>
    <x:row r="5">
      <x:c r="A5" s="32" t="str">
        <x:v>A0003-CG0016</x:v>
      </x:c>
      <x:c r="B5" s="32" t="str">
        <x:v>A0003-CG0016-m1</x:v>
      </x:c>
      <x:c r="C5" s="32" t="str">
        <x:v>A0003</x:v>
      </x:c>
      <x:c r="D5" s="32" t="str">
        <x:v>최저임금 1만30원으로 인상… 육아휴직 급여 최대 월 250만원</x:v>
      </x:c>
      <x:c r="E5" s="32" t="str">
        <x:v>2025-01-01</x:v>
      </x:c>
      <x:c r="F5" s="32" t="str">
        <x:v>https://www.chosun.com/economy/economy_general/2025/01/01/ADO7O3Q4WJBCJAX6UUEY4MSBV4</x:v>
      </x:c>
      <x:c r="G5" s="33" t="str">
        <x:v>▲ 병 봉급 인상 =병 봉급을 병장 기준 월 125만원에서 150만원으로 늘린다.</x:v>
      </x:c>
      <x:c r="H5" s="32" t="str">
        <x:v>125만원</x:v>
      </x:c>
      <x:c r="I5" s="32" t="str">
        <x:v>KOSIS_VALUE</x:v>
      </x:c>
      <x:c r="J5" s="32" t="str">
        <x:v>국내공식통계</x:v>
      </x:c>
      <x:c r="K5" s="32" t="str">
        <x:v>codex_common_codebook</x:v>
      </x:c>
      <x:c r="L5" s="32" t="str">
        <x:v>이전값</x:v>
      </x:c>
      <x:c r="M5" s="32" t="str">
        <x:v>군인 봉급</x:v>
      </x:c>
      <x:c r="N5" s="32" t="str">
        <x:v>군인 봉급</x:v>
      </x:c>
      <x:c r="O5" s="32" t="str">
        <x:v>1250000</x:v>
      </x:c>
      <x:c r="P5" s="32" t="str">
        <x:v>원</x:v>
      </x:c>
      <x:c r="Q5" s="32" t="str">
        <x:v>2025</x:v>
      </x:c>
      <x:c r="R5" s="32" t="str">
        <x:v>Y</x:v>
      </x:c>
      <x:c r="S5" s="32" t="str">
        <x:v>N</x:v>
      </x:c>
      <x:c r="T5" s="32" t="str">
        <x:v>Y</x:v>
      </x:c>
      <x:c r="U5" s="32" t="str">
        <x:v>N</x:v>
      </x:c>
      <x:c r="V5" s="32" t="str">
        <x:v>MCP_NOT_VERIFIABLE</x:v>
      </x:c>
      <x:c r="W5" s="32" t="str">
        <x:v>N/A</x:v>
      </x:c>
      <x:c r="X5" s="32" t="str">
        <x:v>N/A</x:v>
      </x:c>
      <x:c r="Y5" s="32" t="str">
        <x:v>N/A</x:v>
      </x:c>
      <x:c r="Z5" s="32" t="str">
        <x:v>N/A</x:v>
      </x:c>
      <x:c r="AA5" s="32" t="str">
        <x:v>N/A</x:v>
      </x:c>
      <x:c r="AB5" s="32" t="str">
        <x:v>N/A</x:v>
      </x:c>
      <x:c r="AC5" s="32" t="str">
        <x:v>N/A</x:v>
      </x:c>
      <x:c r="AD5" s="32" t="str">
        <x:v>N/A</x:v>
      </x:c>
      <x:c r="AE5" s="32" t="str">
        <x:v>N/A</x:v>
      </x:c>
      <x:c r="AF5" s="32" t="str">
        <x:v>N/A</x:v>
      </x:c>
      <x:c r="AG5" s="32" t="str">
        <x:v>N/A</x:v>
      </x:c>
      <x:c r="AH5" s="32" t="str">
        <x:v>N/A</x:v>
      </x:c>
      <x:c r="AI5" s="32" t="str">
        <x:v>N/A</x:v>
      </x:c>
      <x:c r="AJ5" s="32" t="str">
        <x:v>N/A</x:v>
      </x:c>
      <x:c r="AK5" s="32" t="str">
        <x:v>N/A</x:v>
      </x:c>
      <x:c r="AL5" s="32" t="str">
        <x:v>N/A</x:v>
      </x:c>
      <x:c r="AM5" s="32" t="str">
        <x:v>N/A</x:v>
      </x:c>
      <x:c r="AN5" s="32" t="str">
        <x:v>N/A</x:v>
      </x:c>
      <x:c r="AO5" s="32" t="str">
        <x:v>N/A</x:v>
      </x:c>
      <x:c r="AP5" s="32" t="str">
        <x:v>N/A</x:v>
      </x:c>
      <x:c r="AQ5" s="32" t="str">
        <x:v>판단불가</x:v>
      </x:c>
      <x:c r="AR5" s="32" t="str">
        <x:v>NOT_APPLICABLE</x:v>
      </x:c>
      <x:c r="AS5" s="32" t="str">
        <x:v>HIGH</x:v>
      </x:c>
      <x:c r="AT5" s="33" t="str">
        <x:v>OUT_OF_KOSIS_SCOPE; MEASUREMENT_CORRECT; 잠긴 Codex 공통 골드의 제외 판정을 유지함.</x:v>
      </x:c>
      <x:c r="AU5" s="32" t="str">
        <x:v>N/A</x:v>
      </x:c>
      <x:c r="AV5" s="32" t="n">
        <x:v>46239.31775462963</x:v>
      </x:c>
      <x:c r="AW5" s="32" t="str">
        <x:v>CODEX_COMMON_GOLD_V1_200</x:v>
      </x:c>
      <x:c r="AX5" s="32" t="str">
        <x:v>N</x:v>
      </x:c>
    </x:row>
    <x:row r="6">
      <x:c r="A6" s="32" t="str">
        <x:v>A0003-CG0017</x:v>
      </x:c>
      <x:c r="B6" s="32" t="str">
        <x:v>A0003-CG0017-m1</x:v>
      </x:c>
      <x:c r="C6" s="32" t="str">
        <x:v>A0003</x:v>
      </x:c>
      <x:c r="D6" s="32" t="str">
        <x:v>최저임금 1만30원으로 인상… 육아휴직 급여 최대 월 250만원</x:v>
      </x:c>
      <x:c r="E6" s="32" t="str">
        <x:v>2025-01-01</x:v>
      </x:c>
      <x:c r="F6" s="32" t="str">
        <x:v>https://www.chosun.com/economy/economy_general/2025/01/01/ADO7O3Q4WJBCJAX6UUEY4MSBV4</x:v>
      </x:c>
      <x:c r="G6" s="33" t="str">
        <x:v>▲ 병 봉급 인상 =병 봉급을 병장 기준 월 125만원에서 150만원으로 늘린다.</x:v>
      </x:c>
      <x:c r="H6" s="32" t="str">
        <x:v>150만원</x:v>
      </x:c>
      <x:c r="I6" s="32" t="str">
        <x:v>KOSIS_VALUE</x:v>
      </x:c>
      <x:c r="J6" s="32" t="str">
        <x:v>국내공식통계</x:v>
      </x:c>
      <x:c r="K6" s="32" t="str">
        <x:v>codex_common_codebook</x:v>
      </x:c>
      <x:c r="L6" s="32" t="str">
        <x:v>현재값</x:v>
      </x:c>
      <x:c r="M6" s="32" t="str">
        <x:v>군인 봉급</x:v>
      </x:c>
      <x:c r="N6" s="32" t="str">
        <x:v>군인 봉급</x:v>
      </x:c>
      <x:c r="O6" s="32" t="str">
        <x:v>1500000</x:v>
      </x:c>
      <x:c r="P6" s="32" t="str">
        <x:v>원</x:v>
      </x:c>
      <x:c r="Q6" s="32" t="str">
        <x:v>2025</x:v>
      </x:c>
      <x:c r="R6" s="32" t="str">
        <x:v>Y</x:v>
      </x:c>
      <x:c r="S6" s="32" t="str">
        <x:v>N</x:v>
      </x:c>
      <x:c r="T6" s="32" t="str">
        <x:v>Y</x:v>
      </x:c>
      <x:c r="U6" s="32" t="str">
        <x:v>N</x:v>
      </x:c>
      <x:c r="V6" s="32" t="str">
        <x:v>MCP_NOT_VERIFIABLE</x:v>
      </x:c>
      <x:c r="W6" s="32" t="str">
        <x:v>N/A</x:v>
      </x:c>
      <x:c r="X6" s="32" t="str">
        <x:v>N/A</x:v>
      </x:c>
      <x:c r="Y6" s="32" t="str">
        <x:v>N/A</x:v>
      </x:c>
      <x:c r="Z6" s="32" t="str">
        <x:v>N/A</x:v>
      </x:c>
      <x:c r="AA6" s="32" t="str">
        <x:v>N/A</x:v>
      </x:c>
      <x:c r="AB6" s="32" t="str">
        <x:v>N/A</x:v>
      </x:c>
      <x:c r="AC6" s="32" t="str">
        <x:v>N/A</x:v>
      </x:c>
      <x:c r="AD6" s="32" t="str">
        <x:v>N/A</x:v>
      </x:c>
      <x:c r="AE6" s="32" t="str">
        <x:v>N/A</x:v>
      </x:c>
      <x:c r="AF6" s="32" t="str">
        <x:v>N/A</x:v>
      </x:c>
      <x:c r="AG6" s="32" t="str">
        <x:v>N/A</x:v>
      </x:c>
      <x:c r="AH6" s="32" t="str">
        <x:v>N/A</x:v>
      </x:c>
      <x:c r="AI6" s="32" t="str">
        <x:v>N/A</x:v>
      </x:c>
      <x:c r="AJ6" s="32" t="str">
        <x:v>N/A</x:v>
      </x:c>
      <x:c r="AK6" s="32" t="str">
        <x:v>N/A</x:v>
      </x:c>
      <x:c r="AL6" s="32" t="str">
        <x:v>N/A</x:v>
      </x:c>
      <x:c r="AM6" s="32" t="str">
        <x:v>N/A</x:v>
      </x:c>
      <x:c r="AN6" s="32" t="str">
        <x:v>N/A</x:v>
      </x:c>
      <x:c r="AO6" s="32" t="str">
        <x:v>N/A</x:v>
      </x:c>
      <x:c r="AP6" s="32" t="str">
        <x:v>N/A</x:v>
      </x:c>
      <x:c r="AQ6" s="32" t="str">
        <x:v>판단불가</x:v>
      </x:c>
      <x:c r="AR6" s="32" t="str">
        <x:v>NOT_APPLICABLE</x:v>
      </x:c>
      <x:c r="AS6" s="32" t="str">
        <x:v>HIGH</x:v>
      </x:c>
      <x:c r="AT6" s="33" t="str">
        <x:v>OUT_OF_KOSIS_SCOPE; MEASUREMENT_CORRECT; 잠긴 Codex 공통 골드의 제외 판정을 유지함.</x:v>
      </x:c>
      <x:c r="AU6" s="32" t="str">
        <x:v>N/A</x:v>
      </x:c>
      <x:c r="AV6" s="32" t="n">
        <x:v>46239.31775462963</x:v>
      </x:c>
      <x:c r="AW6" s="32" t="str">
        <x:v>CODEX_COMMON_GOLD_V1_200</x:v>
      </x:c>
      <x:c r="AX6" s="32" t="str">
        <x:v>N</x:v>
      </x:c>
    </x:row>
    <x:row r="7">
      <x:c r="A7" s="32" t="str">
        <x:v>A0003-CG0018</x:v>
      </x:c>
      <x:c r="B7" s="32" t="str">
        <x:v>A0003-CG0018-m1</x:v>
      </x:c>
      <x:c r="C7" s="32" t="str">
        <x:v>A0003</x:v>
      </x:c>
      <x:c r="D7" s="32" t="str">
        <x:v>최저임금 1만30원으로 인상… 육아휴직 급여 최대 월 250만원</x:v>
      </x:c>
      <x:c r="E7" s="32" t="str">
        <x:v>2025-01-01</x:v>
      </x:c>
      <x:c r="F7" s="32" t="str">
        <x:v>https://www.chosun.com/economy/economy_general/2025/01/01/ADO7O3Q4WJBCJAX6UUEY4MSBV4</x:v>
      </x:c>
      <x:c r="G7" s="33" t="str">
        <x:v>▲ 맞벌이 가구의 근로장려금 수급 요건 완화 =맞벌이 가구가 근로장려금을 받기 위한 소득기준이 연 3800만원 미만에서 연 4400만원 미만으로 확대된다.</x:v>
      </x:c>
      <x:c r="H7" s="32" t="str">
        <x:v>3800만원</x:v>
      </x:c>
      <x:c r="I7" s="32" t="str">
        <x:v>KOSIS_VALUE</x:v>
      </x:c>
      <x:c r="J7" s="32" t="str">
        <x:v>국내공식통계</x:v>
      </x:c>
      <x:c r="K7" s="32" t="str">
        <x:v>codex_common_codebook</x:v>
      </x:c>
      <x:c r="L7" s="32" t="str">
        <x:v>참고값</x:v>
      </x:c>
      <x:c r="M7" s="32" t="str">
        <x:v>근로장려금 수급 요건 소득기준</x:v>
      </x:c>
      <x:c r="N7" s="32" t="str">
        <x:v>근로장려금 수급 요건 소득기준</x:v>
      </x:c>
      <x:c r="O7" s="32" t="str">
        <x:v>38000000</x:v>
      </x:c>
      <x:c r="P7" s="32" t="str">
        <x:v>원</x:v>
      </x:c>
      <x:c r="Q7" s="32" t="str">
        <x:v>2025</x:v>
      </x:c>
      <x:c r="R7" s="32" t="str">
        <x:v>Y</x:v>
      </x:c>
      <x:c r="S7" s="32" t="str">
        <x:v>N</x:v>
      </x:c>
      <x:c r="T7" s="32" t="str">
        <x:v>Y</x:v>
      </x:c>
      <x:c r="U7" s="32" t="str">
        <x:v>N</x:v>
      </x:c>
      <x:c r="V7" s="32" t="str">
        <x:v>MCP_NOT_VERIFIABLE</x:v>
      </x:c>
      <x:c r="W7" s="32" t="str">
        <x:v>N/A</x:v>
      </x:c>
      <x:c r="X7" s="32" t="str">
        <x:v>N/A</x:v>
      </x:c>
      <x:c r="Y7" s="32" t="str">
        <x:v>N/A</x:v>
      </x:c>
      <x:c r="Z7" s="32" t="str">
        <x:v>N/A</x:v>
      </x:c>
      <x:c r="AA7" s="32" t="str">
        <x:v>N/A</x:v>
      </x:c>
      <x:c r="AB7" s="32" t="str">
        <x:v>N/A</x:v>
      </x:c>
      <x:c r="AC7" s="32" t="str">
        <x:v>N/A</x:v>
      </x:c>
      <x:c r="AD7" s="32" t="str">
        <x:v>N/A</x:v>
      </x:c>
      <x:c r="AE7" s="32" t="str">
        <x:v>N/A</x:v>
      </x:c>
      <x:c r="AF7" s="32" t="str">
        <x:v>N/A</x:v>
      </x:c>
      <x:c r="AG7" s="32" t="str">
        <x:v>N/A</x:v>
      </x:c>
      <x:c r="AH7" s="32" t="str">
        <x:v>N/A</x:v>
      </x:c>
      <x:c r="AI7" s="32" t="str">
        <x:v>N/A</x:v>
      </x:c>
      <x:c r="AJ7" s="32" t="str">
        <x:v>N/A</x:v>
      </x:c>
      <x:c r="AK7" s="32" t="str">
        <x:v>N/A</x:v>
      </x:c>
      <x:c r="AL7" s="32" t="str">
        <x:v>N/A</x:v>
      </x:c>
      <x:c r="AM7" s="32" t="str">
        <x:v>N/A</x:v>
      </x:c>
      <x:c r="AN7" s="32" t="str">
        <x:v>N/A</x:v>
      </x:c>
      <x:c r="AO7" s="32" t="str">
        <x:v>N/A</x:v>
      </x:c>
      <x:c r="AP7" s="32" t="str">
        <x:v>N/A</x:v>
      </x:c>
      <x:c r="AQ7" s="32" t="str">
        <x:v>판단불가</x:v>
      </x:c>
      <x:c r="AR7" s="32" t="str">
        <x:v>NOT_APPLICABLE</x:v>
      </x:c>
      <x:c r="AS7" s="32" t="str">
        <x:v>HIGH</x:v>
      </x:c>
      <x:c r="AT7" s="33" t="str">
        <x:v>OUT_OF_KOSIS_SCOPE; MEASUREMENT_CORRECT; 잠긴 Codex 공통 골드의 제외 판정을 유지함.</x:v>
      </x:c>
      <x:c r="AU7" s="32" t="str">
        <x:v>N/A</x:v>
      </x:c>
      <x:c r="AV7" s="32" t="n">
        <x:v>46239.31775462963</x:v>
      </x:c>
      <x:c r="AW7" s="32" t="str">
        <x:v>CODEX_COMMON_GOLD_V1_200</x:v>
      </x:c>
      <x:c r="AX7" s="32" t="str">
        <x:v>N</x:v>
      </x:c>
    </x:row>
    <x:row r="8">
      <x:c r="A8" s="32" t="str">
        <x:v>A0006-CG0131</x:v>
      </x:c>
      <x:c r="B8" s="32" t="str">
        <x:v>A0006-CG0131-m1</x:v>
      </x:c>
      <x:c r="C8" s="32" t="str">
        <x:v>A0006</x:v>
      </x:c>
      <x:c r="D8" s="32" t="str">
        <x:v>2024년 수출, 6838억달러로 ‘역대 최대’ 경신</x:v>
      </x:c>
      <x:c r="E8" s="32" t="str">
        <x:v>2025-01-01</x:v>
      </x:c>
      <x:c r="F8" s="32" t="str">
        <x:v>https://www.chosun.com/economy/industry-company/2025/01/01/2UPTGREAPRAWRG4XUBRMLONSKY</x:v>
      </x:c>
      <x:c r="G8" s="33" t="str">
        <x:v>2022년 당시 수출액은 역대 최대를 기록하면서도 472억달러 적자를 냈던 것과 다른 결과다.</x:v>
      </x:c>
      <x:c r="H8" s="32" t="str">
        <x:v>472억달러</x:v>
      </x:c>
      <x:c r="I8" s="32" t="str">
        <x:v>KOSIS_VALUE</x:v>
      </x:c>
      <x:c r="J8" s="32" t="str">
        <x:v>국내공식통계</x:v>
      </x:c>
      <x:c r="K8" s="32" t="str">
        <x:v>codex_common_codebook</x:v>
      </x:c>
      <x:c r="L8" s="32" t="str">
        <x:v>이전값</x:v>
      </x:c>
      <x:c r="M8" s="32" t="str">
        <x:v>무역수지</x:v>
      </x:c>
      <x:c r="N8" s="32" t="str">
        <x:v>무역수지</x:v>
      </x:c>
      <x:c r="O8" s="32" t="str">
        <x:v>47200000000</x:v>
      </x:c>
      <x:c r="P8" s="32" t="str">
        <x:v>달러</x:v>
      </x:c>
      <x:c r="Q8" s="32" t="str">
        <x:v>2022</x:v>
      </x:c>
      <x:c r="R8" s="32" t="str">
        <x:v>Y</x:v>
      </x:c>
      <x:c r="S8" s="32" t="str">
        <x:v>Y</x:v>
      </x:c>
      <x:c r="T8" s="32" t="str">
        <x:v>Y</x:v>
      </x:c>
      <x:c r="U8" s="32" t="str">
        <x:v>Y</x:v>
      </x:c>
      <x:c r="V8" s="32" t="str">
        <x:v>CODEBOOK_KOSIS</x:v>
      </x:c>
      <x:c r="W8" s="32" t="str">
        <x:v>360</x:v>
      </x:c>
      <x:c r="X8" s="32" t="str">
        <x:v>DT_1R11001_FRM101</x:v>
      </x:c>
      <x:c r="Y8" s="32" t="str">
        <x:v>품목별 수출액, 수입액</x:v>
      </x:c>
      <x:c r="Z8" s="32" t="str">
        <x:v>N/A</x:v>
      </x:c>
      <x:c r="AA8" s="32" t="str">
        <x:v>N/A</x:v>
      </x:c>
      <x:c r="AB8" s="32" t="str">
        <x:v>N/A</x:v>
      </x:c>
      <x:c r="AC8" s="32" t="str">
        <x:v>N/A</x:v>
      </x:c>
      <x:c r="AD8" s="32" t="str">
        <x:v>Y</x:v>
      </x:c>
      <x:c r="AE8" s="32" t="str">
        <x:v>2022</x:v>
      </x:c>
      <x:c r="AF8" s="32" t="str">
        <x:v>N/A</x:v>
      </x:c>
      <x:c r="AG8" s="32" t="str">
        <x:v>이전값</x:v>
      </x:c>
      <x:c r="AH8" s="32" t="str">
        <x:v>TABLE_SERIES_LABEL</x:v>
      </x:c>
      <x:c r="AI8" s="32" t="str">
        <x:v>N/A</x:v>
      </x:c>
      <x:c r="AJ8" s="32" t="str">
        <x:v>N/A</x:v>
      </x:c>
      <x:c r="AK8" s="32" t="str">
        <x:v>N/A</x:v>
      </x:c>
      <x:c r="AL8" s="32" t="str">
        <x:v>N/A</x:v>
      </x:c>
      <x:c r="AM8" s="32" t="str">
        <x:v>47200000000</x:v>
      </x:c>
      <x:c r="AN8" s="32" t="str">
        <x:v>N/A</x:v>
      </x:c>
      <x:c r="AO8" s="32" t="str">
        <x:v>N/A</x:v>
      </x:c>
      <x:c r="AP8" s="32" t="str">
        <x:v>N/A</x:v>
      </x:c>
      <x:c r="AQ8" s="32" t="str">
        <x:v>값검증대기</x:v>
      </x:c>
      <x:c r="AR8" s="32" t="str">
        <x:v>TABLE_ONLY</x:v>
      </x:c>
      <x:c r="AS8" s="32" t="str">
        <x:v>HIGH</x:v>
      </x:c>
      <x:c r="AT8" s="33" t="str">
        <x:v>READY:TRADE_OFFICIAL_SERIES; 잠긴 Codex 공통 골드에서 측정·검증 가능 판정, KOSIS MCP로 통계표명 재확인, 세부 항목·분류·실제값은 미확정.</x:v>
      </x:c>
      <x:c r="AU8" s="32" t="str">
        <x:v>https://kosis.kr/statHtml/statHtml.do?orgId=360&amp;tblId=DT_1R11001_FRM101&amp;vw_cd=MT_ZTITLE</x:v>
      </x:c>
      <x:c r="AV8" s="32" t="n">
        <x:v>46239.31775462963</x:v>
      </x:c>
      <x:c r="AW8" s="32" t="str">
        <x:v>CODEX_COMMON_GOLD_V1+KOSIS_MCP_TABLE_INFO_200</x:v>
      </x:c>
      <x:c r="AX8" s="32" t="str">
        <x:v>N</x:v>
      </x:c>
    </x:row>
    <x:row r="9">
      <x:c r="A9" s="32" t="str">
        <x:v>A0006-CG0133</x:v>
      </x:c>
      <x:c r="B9" s="32" t="str">
        <x:v>A0006-CG0133-m1</x:v>
      </x:c>
      <x:c r="C9" s="32" t="str">
        <x:v>A0006</x:v>
      </x:c>
      <x:c r="D9" s="32" t="str">
        <x:v>2024년 수출, 6838억달러로 ‘역대 최대’ 경신</x:v>
      </x:c>
      <x:c r="E9" s="32" t="str">
        <x:v>2025-01-01</x:v>
      </x:c>
      <x:c r="F9" s="32" t="str">
        <x:v>https://www.chosun.com/economy/industry-company/2025/01/01/2UPTGREAPRAWRG4XUBRMLONSKY</x:v>
      </x:c>
      <x:c r="G9" s="33" t="str">
        <x:v>무역수지는 전년 대비 621억 달러 개선된 518억 달러의 흑자를 기록했다.</x:v>
      </x:c>
      <x:c r="H9" s="32" t="str">
        <x:v>518억 달러</x:v>
      </x:c>
      <x:c r="I9" s="32" t="str">
        <x:v>KOSIS_VALUE</x:v>
      </x:c>
      <x:c r="J9" s="32" t="str">
        <x:v>국내공식통계</x:v>
      </x:c>
      <x:c r="K9" s="32" t="str">
        <x:v>codex_common_codebook</x:v>
      </x:c>
      <x:c r="L9" s="32" t="str">
        <x:v>현재값</x:v>
      </x:c>
      <x:c r="M9" s="32" t="str">
        <x:v>무역수지</x:v>
      </x:c>
      <x:c r="N9" s="32" t="str">
        <x:v>무역수지</x:v>
      </x:c>
      <x:c r="O9" s="32" t="str">
        <x:v>51800000000</x:v>
      </x:c>
      <x:c r="P9" s="32" t="str">
        <x:v>달러</x:v>
      </x:c>
      <x:c r="Q9" s="32" t="str">
        <x:v>2024</x:v>
      </x:c>
      <x:c r="R9" s="32" t="str">
        <x:v>Y</x:v>
      </x:c>
      <x:c r="S9" s="32" t="str">
        <x:v>Y</x:v>
      </x:c>
      <x:c r="T9" s="32" t="str">
        <x:v>Y</x:v>
      </x:c>
      <x:c r="U9" s="32" t="str">
        <x:v>Y</x:v>
      </x:c>
      <x:c r="V9" s="32" t="str">
        <x:v>CODEBOOK_KOSIS</x:v>
      </x:c>
      <x:c r="W9" s="32" t="str">
        <x:v>360</x:v>
      </x:c>
      <x:c r="X9" s="32" t="str">
        <x:v>DT_1R11001_FRM101</x:v>
      </x:c>
      <x:c r="Y9" s="32" t="str">
        <x:v>품목별 수출액, 수입액</x:v>
      </x:c>
      <x:c r="Z9" s="32" t="str">
        <x:v>N/A</x:v>
      </x:c>
      <x:c r="AA9" s="32" t="str">
        <x:v>N/A</x:v>
      </x:c>
      <x:c r="AB9" s="32" t="str">
        <x:v>N/A</x:v>
      </x:c>
      <x:c r="AC9" s="32" t="str">
        <x:v>N/A</x:v>
      </x:c>
      <x:c r="AD9" s="32" t="str">
        <x:v>Y</x:v>
      </x:c>
      <x:c r="AE9" s="32" t="str">
        <x:v>2024</x:v>
      </x:c>
      <x:c r="AF9" s="32" t="str">
        <x:v>N/A</x:v>
      </x:c>
      <x:c r="AG9" s="32" t="str">
        <x:v>현재값</x:v>
      </x:c>
      <x:c r="AH9" s="32" t="str">
        <x:v>TABLE_SERIES_LABEL</x:v>
      </x:c>
      <x:c r="AI9" s="32" t="str">
        <x:v>N/A</x:v>
      </x:c>
      <x:c r="AJ9" s="32" t="str">
        <x:v>N/A</x:v>
      </x:c>
      <x:c r="AK9" s="32" t="str">
        <x:v>N/A</x:v>
      </x:c>
      <x:c r="AL9" s="32" t="str">
        <x:v>N/A</x:v>
      </x:c>
      <x:c r="AM9" s="32" t="str">
        <x:v>51800000000</x:v>
      </x:c>
      <x:c r="AN9" s="32" t="str">
        <x:v>N/A</x:v>
      </x:c>
      <x:c r="AO9" s="32" t="str">
        <x:v>N/A</x:v>
      </x:c>
      <x:c r="AP9" s="32" t="str">
        <x:v>N/A</x:v>
      </x:c>
      <x:c r="AQ9" s="32" t="str">
        <x:v>값검증대기</x:v>
      </x:c>
      <x:c r="AR9" s="32" t="str">
        <x:v>TABLE_ONLY</x:v>
      </x:c>
      <x:c r="AS9" s="32" t="str">
        <x:v>HIGH</x:v>
      </x:c>
      <x:c r="AT9" s="33" t="str">
        <x:v>READY:TRADE_OFFICIAL_SERIES; 잠긴 Codex 공통 골드에서 측정·검증 가능 판정, KOSIS MCP로 통계표명 재확인, 세부 항목·분류·실제값은 미확정.</x:v>
      </x:c>
      <x:c r="AU9" s="32" t="str">
        <x:v>https://kosis.kr/statHtml/statHtml.do?orgId=360&amp;tblId=DT_1R11001_FRM101&amp;vw_cd=MT_ZTITLE</x:v>
      </x:c>
      <x:c r="AV9" s="32" t="n">
        <x:v>46239.31775462963</x:v>
      </x:c>
      <x:c r="AW9" s="32" t="str">
        <x:v>CODEX_COMMON_GOLD_V1+KOSIS_MCP_TABLE_INFO_200</x:v>
      </x:c>
      <x:c r="AX9" s="32" t="str">
        <x:v>N</x:v>
      </x:c>
    </x:row>
    <x:row r="10">
      <x:c r="A10" s="32" t="str">
        <x:v>A0006-CG0134</x:v>
      </x:c>
      <x:c r="B10" s="32" t="str">
        <x:v>A0006-CG0134-m1</x:v>
      </x:c>
      <x:c r="C10" s="32" t="str">
        <x:v>A0006</x:v>
      </x:c>
      <x:c r="D10" s="32" t="str">
        <x:v>2024년 수출, 6838억달러로 ‘역대 최대’ 경신</x:v>
      </x:c>
      <x:c r="E10" s="32" t="str">
        <x:v>2025-01-01</x:v>
      </x:c>
      <x:c r="F10" s="32" t="str">
        <x:v>https://www.chosun.com/economy/industry-company/2025/01/01/2UPTGREAPRAWRG4XUBRMLONSKY</x:v>
      </x:c>
      <x:c r="G10" s="33" t="str">
        <x:v>무역수지는 전년 대비 621억 달러 개선된 518억 달러의 흑자를 기록했다.</x:v>
      </x:c>
      <x:c r="H10" s="32" t="str">
        <x:v>621억 달러</x:v>
      </x:c>
      <x:c r="I10" s="32" t="str">
        <x:v>KOSIS_VALUE</x:v>
      </x:c>
      <x:c r="J10" s="32" t="str">
        <x:v>국내공식통계</x:v>
      </x:c>
      <x:c r="K10" s="32" t="str">
        <x:v>codex_common_codebook</x:v>
      </x:c>
      <x:c r="L10" s="32" t="str">
        <x:v>현재값</x:v>
      </x:c>
      <x:c r="M10" s="32" t="str">
        <x:v>무역수지 변화폭</x:v>
      </x:c>
      <x:c r="N10" s="32" t="str">
        <x:v>무역수지 변화폭</x:v>
      </x:c>
      <x:c r="O10" s="32" t="str">
        <x:v>62100000000</x:v>
      </x:c>
      <x:c r="P10" s="32" t="str">
        <x:v>달러</x:v>
      </x:c>
      <x:c r="Q10" s="32" t="str">
        <x:v>2024</x:v>
      </x:c>
      <x:c r="R10" s="32" t="str">
        <x:v>Y</x:v>
      </x:c>
      <x:c r="S10" s="32" t="str">
        <x:v>Y</x:v>
      </x:c>
      <x:c r="T10" s="32" t="str">
        <x:v>Y</x:v>
      </x:c>
      <x:c r="U10" s="32" t="str">
        <x:v>Y</x:v>
      </x:c>
      <x:c r="V10" s="32" t="str">
        <x:v>CODEBOOK_KOSIS</x:v>
      </x:c>
      <x:c r="W10" s="32" t="str">
        <x:v>360</x:v>
      </x:c>
      <x:c r="X10" s="32" t="str">
        <x:v>DT_1R11001_FRM101</x:v>
      </x:c>
      <x:c r="Y10" s="32" t="str">
        <x:v>품목별 수출액, 수입액</x:v>
      </x:c>
      <x:c r="Z10" s="32" t="str">
        <x:v>N/A</x:v>
      </x:c>
      <x:c r="AA10" s="32" t="str">
        <x:v>N/A</x:v>
      </x:c>
      <x:c r="AB10" s="32" t="str">
        <x:v>N/A</x:v>
      </x:c>
      <x:c r="AC10" s="32" t="str">
        <x:v>N/A</x:v>
      </x:c>
      <x:c r="AD10" s="32" t="str">
        <x:v>Y</x:v>
      </x:c>
      <x:c r="AE10" s="32" t="str">
        <x:v>2024</x:v>
      </x:c>
      <x:c r="AF10" s="32" t="str">
        <x:v>N/A</x:v>
      </x:c>
      <x:c r="AG10" s="32" t="str">
        <x:v>현재값</x:v>
      </x:c>
      <x:c r="AH10" s="32" t="str">
        <x:v>TABLE_SERIES_LABEL</x:v>
      </x:c>
      <x:c r="AI10" s="32" t="str">
        <x:v>N/A</x:v>
      </x:c>
      <x:c r="AJ10" s="32" t="str">
        <x:v>N/A</x:v>
      </x:c>
      <x:c r="AK10" s="32" t="str">
        <x:v>N/A</x:v>
      </x:c>
      <x:c r="AL10" s="32" t="str">
        <x:v>N/A</x:v>
      </x:c>
      <x:c r="AM10" s="32" t="str">
        <x:v>62100000000</x:v>
      </x:c>
      <x:c r="AN10" s="32" t="str">
        <x:v>N/A</x:v>
      </x:c>
      <x:c r="AO10" s="32" t="str">
        <x:v>N/A</x:v>
      </x:c>
      <x:c r="AP10" s="32" t="str">
        <x:v>N/A</x:v>
      </x:c>
      <x:c r="AQ10" s="32" t="str">
        <x:v>값검증대기</x:v>
      </x:c>
      <x:c r="AR10" s="32" t="str">
        <x:v>TABLE_ONLY</x:v>
      </x:c>
      <x:c r="AS10" s="32" t="str">
        <x:v>HIGH</x:v>
      </x:c>
      <x:c r="AT10" s="33" t="str">
        <x:v>READY:TRADE_OFFICIAL_SERIES; 잠긴 Codex 공통 골드에서 측정·검증 가능 판정, KOSIS MCP로 통계표명 재확인, 세부 항목·분류·실제값은 미확정.</x:v>
      </x:c>
      <x:c r="AU10" s="32" t="str">
        <x:v>https://kosis.kr/statHtml/statHtml.do?orgId=360&amp;tblId=DT_1R11001_FRM101&amp;vw_cd=MT_ZTITLE</x:v>
      </x:c>
      <x:c r="AV10" s="32" t="n">
        <x:v>46239.31775462963</x:v>
      </x:c>
      <x:c r="AW10" s="32" t="str">
        <x:v>CODEX_COMMON_GOLD_V1+KOSIS_MCP_TABLE_INFO_200</x:v>
      </x:c>
      <x:c r="AX10" s="32" t="str">
        <x:v>N</x:v>
      </x:c>
    </x:row>
    <x:row r="11">
      <x:c r="A11" s="32" t="str">
        <x:v>A0006-CG0135</x:v>
      </x:c>
      <x:c r="B11" s="32" t="str">
        <x:v>A0006-CG0135-m1</x:v>
      </x:c>
      <x:c r="C11" s="32" t="str">
        <x:v>A0006</x:v>
      </x:c>
      <x:c r="D11" s="32" t="str">
        <x:v>2024년 수출, 6838억달러로 ‘역대 최대’ 경신</x:v>
      </x:c>
      <x:c r="E11" s="32" t="str">
        <x:v>2025-01-01</x:v>
      </x:c>
      <x:c r="F11" s="32" t="str">
        <x:v>https://www.chosun.com/economy/industry-company/2025/01/01/2UPTGREAPRAWRG4XUBRMLONSKY</x:v>
      </x:c>
      <x:c r="G11" s="33" t="str">
        <x:v>이에 2018년(697억 달러 흑자) 이후 최대 흑자를 기록하게 됐다.</x:v>
      </x:c>
      <x:c r="H11" s="32" t="str">
        <x:v>697억 달러</x:v>
      </x:c>
      <x:c r="I11" s="32" t="str">
        <x:v>KOSIS_VALUE</x:v>
      </x:c>
      <x:c r="J11" s="32" t="str">
        <x:v>국내공식통계</x:v>
      </x:c>
      <x:c r="K11" s="32" t="str">
        <x:v>codex_common_codebook</x:v>
      </x:c>
      <x:c r="L11" s="32" t="str">
        <x:v>현재값</x:v>
      </x:c>
      <x:c r="M11" s="32" t="str">
        <x:v>무역수지</x:v>
      </x:c>
      <x:c r="N11" s="32" t="str">
        <x:v>무역수지</x:v>
      </x:c>
      <x:c r="O11" s="32" t="str">
        <x:v>69700000000</x:v>
      </x:c>
      <x:c r="P11" s="32" t="str">
        <x:v>달러</x:v>
      </x:c>
      <x:c r="Q11" s="32" t="str">
        <x:v>2018</x:v>
      </x:c>
      <x:c r="R11" s="32" t="str">
        <x:v>Y</x:v>
      </x:c>
      <x:c r="S11" s="32" t="str">
        <x:v>Y</x:v>
      </x:c>
      <x:c r="T11" s="32" t="str">
        <x:v>Y</x:v>
      </x:c>
      <x:c r="U11" s="32" t="str">
        <x:v>Y</x:v>
      </x:c>
      <x:c r="V11" s="32" t="str">
        <x:v>CODEBOOK_KOSIS</x:v>
      </x:c>
      <x:c r="W11" s="32" t="str">
        <x:v>360</x:v>
      </x:c>
      <x:c r="X11" s="32" t="str">
        <x:v>DT_1R11001_FRM101</x:v>
      </x:c>
      <x:c r="Y11" s="32" t="str">
        <x:v>품목별 수출액, 수입액</x:v>
      </x:c>
      <x:c r="Z11" s="32" t="str">
        <x:v>N/A</x:v>
      </x:c>
      <x:c r="AA11" s="32" t="str">
        <x:v>N/A</x:v>
      </x:c>
      <x:c r="AB11" s="32" t="str">
        <x:v>N/A</x:v>
      </x:c>
      <x:c r="AC11" s="32" t="str">
        <x:v>N/A</x:v>
      </x:c>
      <x:c r="AD11" s="32" t="str">
        <x:v>Y</x:v>
      </x:c>
      <x:c r="AE11" s="32" t="str">
        <x:v>2018</x:v>
      </x:c>
      <x:c r="AF11" s="32" t="str">
        <x:v>N/A</x:v>
      </x:c>
      <x:c r="AG11" s="32" t="str">
        <x:v>현재값</x:v>
      </x:c>
      <x:c r="AH11" s="32" t="str">
        <x:v>TABLE_SERIES_LABEL</x:v>
      </x:c>
      <x:c r="AI11" s="32" t="str">
        <x:v>N/A</x:v>
      </x:c>
      <x:c r="AJ11" s="32" t="str">
        <x:v>N/A</x:v>
      </x:c>
      <x:c r="AK11" s="32" t="str">
        <x:v>N/A</x:v>
      </x:c>
      <x:c r="AL11" s="32" t="str">
        <x:v>N/A</x:v>
      </x:c>
      <x:c r="AM11" s="32" t="str">
        <x:v>69700000000</x:v>
      </x:c>
      <x:c r="AN11" s="32" t="str">
        <x:v>N/A</x:v>
      </x:c>
      <x:c r="AO11" s="32" t="str">
        <x:v>N/A</x:v>
      </x:c>
      <x:c r="AP11" s="32" t="str">
        <x:v>N/A</x:v>
      </x:c>
      <x:c r="AQ11" s="32" t="str">
        <x:v>값검증대기</x:v>
      </x:c>
      <x:c r="AR11" s="32" t="str">
        <x:v>TABLE_ONLY</x:v>
      </x:c>
      <x:c r="AS11" s="32" t="str">
        <x:v>HIGH</x:v>
      </x:c>
      <x:c r="AT11" s="33" t="str">
        <x:v>READY:TRADE_OFFICIAL_SERIES; 잠긴 Codex 공통 골드에서 측정·검증 가능 판정, KOSIS MCP로 통계표명 재확인, 세부 항목·분류·실제값은 미확정.</x:v>
      </x:c>
      <x:c r="AU11" s="32" t="str">
        <x:v>https://kosis.kr/statHtml/statHtml.do?orgId=360&amp;tblId=DT_1R11001_FRM101&amp;vw_cd=MT_ZTITLE</x:v>
      </x:c>
      <x:c r="AV11" s="32" t="n">
        <x:v>46239.31775462963</x:v>
      </x:c>
      <x:c r="AW11" s="32" t="str">
        <x:v>CODEX_COMMON_GOLD_V1+KOSIS_MCP_TABLE_INFO_200</x:v>
      </x:c>
      <x:c r="AX11" s="32" t="str">
        <x:v>N</x:v>
      </x:c>
    </x:row>
    <x:row r="12">
      <x:c r="A12" s="32" t="str">
        <x:v>A0006-CG0137</x:v>
      </x:c>
      <x:c r="B12" s="32" t="str">
        <x:v>A0006-CG0137-m1</x:v>
      </x:c>
      <x:c r="C12" s="32" t="str">
        <x:v>A0006</x:v>
      </x:c>
      <x:c r="D12" s="32" t="str">
        <x:v>2024년 수출, 6838억달러로 ‘역대 최대’ 경신</x:v>
      </x:c>
      <x:c r="E12" s="32" t="str">
        <x:v>2025-01-01</x:v>
      </x:c>
      <x:c r="F12" s="32" t="str">
        <x:v>https://www.chosun.com/economy/industry-company/2025/01/01/2UPTGREAPRAWRG4XUBRMLONSKY</x:v>
      </x:c>
      <x:c r="G12" s="33" t="str">
        <x:v>2024년에는 에너지 수입이 감소하면서 전체 수입이 전년 대비 1.6% 감소한 덕에 무역수지가 개선됐다.</x:v>
      </x:c>
      <x:c r="H12" s="32" t="str">
        <x:v>1.6%</x:v>
      </x:c>
      <x:c r="I12" s="32" t="str">
        <x:v>KOSIS_VALUE</x:v>
      </x:c>
      <x:c r="J12" s="32" t="str">
        <x:v>국내공식통계</x:v>
      </x:c>
      <x:c r="K12" s="32" t="str">
        <x:v>codex_common_codebook</x:v>
      </x:c>
      <x:c r="L12" s="32" t="str">
        <x:v>증감률</x:v>
      </x:c>
      <x:c r="M12" s="32" t="str">
        <x:v>전체 수입 증감률</x:v>
      </x:c>
      <x:c r="N12" s="32" t="str">
        <x:v>전체 수입 증감률</x:v>
      </x:c>
      <x:c r="O12" s="32" t="str">
        <x:v>1.6</x:v>
      </x:c>
      <x:c r="P12" s="32" t="str">
        <x:v>%</x:v>
      </x:c>
      <x:c r="Q12" s="32" t="str">
        <x:v>2024</x:v>
      </x:c>
      <x:c r="R12" s="32" t="str">
        <x:v>Y</x:v>
      </x:c>
      <x:c r="S12" s="32" t="str">
        <x:v>Y</x:v>
      </x:c>
      <x:c r="T12" s="32" t="str">
        <x:v>Y</x:v>
      </x:c>
      <x:c r="U12" s="32" t="str">
        <x:v>Y</x:v>
      </x:c>
      <x:c r="V12" s="32" t="str">
        <x:v>CODEBOOK_KOSIS</x:v>
      </x:c>
      <x:c r="W12" s="32" t="str">
        <x:v>360</x:v>
      </x:c>
      <x:c r="X12" s="32" t="str">
        <x:v>DT_1R11001_FRM101</x:v>
      </x:c>
      <x:c r="Y12" s="32" t="str">
        <x:v>품목별 수출액, 수입액</x:v>
      </x:c>
      <x:c r="Z12" s="32" t="str">
        <x:v>N/A</x:v>
      </x:c>
      <x:c r="AA12" s="32" t="str">
        <x:v>N/A</x:v>
      </x:c>
      <x:c r="AB12" s="32" t="str">
        <x:v>N/A</x:v>
      </x:c>
      <x:c r="AC12" s="32" t="str">
        <x:v>N/A</x:v>
      </x:c>
      <x:c r="AD12" s="32" t="str">
        <x:v>Y</x:v>
      </x:c>
      <x:c r="AE12" s="32" t="str">
        <x:v>2024</x:v>
      </x:c>
      <x:c r="AF12" s="32" t="str">
        <x:v>N/A</x:v>
      </x:c>
      <x:c r="AG12" s="32" t="str">
        <x:v>증감률</x:v>
      </x:c>
      <x:c r="AH12" s="32" t="str">
        <x:v>TABLE_SERIES_LABEL</x:v>
      </x:c>
      <x:c r="AI12" s="32" t="str">
        <x:v>N/A</x:v>
      </x:c>
      <x:c r="AJ12" s="32" t="str">
        <x:v>N/A</x:v>
      </x:c>
      <x:c r="AK12" s="32" t="str">
        <x:v>N/A</x:v>
      </x:c>
      <x:c r="AL12" s="32" t="str">
        <x:v>N/A</x:v>
      </x:c>
      <x:c r="AM12" s="32" t="str">
        <x:v>1.6</x:v>
      </x:c>
      <x:c r="AN12" s="32" t="str">
        <x:v>N/A</x:v>
      </x:c>
      <x:c r="AO12" s="32" t="str">
        <x:v>N/A</x:v>
      </x:c>
      <x:c r="AP12" s="32" t="str">
        <x:v>N/A</x:v>
      </x:c>
      <x:c r="AQ12" s="32" t="str">
        <x:v>값검증대기</x:v>
      </x:c>
      <x:c r="AR12" s="32" t="str">
        <x:v>TABLE_ONLY</x:v>
      </x:c>
      <x:c r="AS12" s="32" t="str">
        <x:v>HIGH</x:v>
      </x:c>
      <x:c r="AT12" s="33" t="str">
        <x:v>READY:TRADE_OFFICIAL_SERIES; 잠긴 Codex 공통 골드에서 측정·검증 가능 판정, KOSIS MCP로 통계표명 재확인, 세부 항목·분류·실제값은 미확정.</x:v>
      </x:c>
      <x:c r="AU12" s="32" t="str">
        <x:v>https://kosis.kr/statHtml/statHtml.do?orgId=360&amp;tblId=DT_1R11001_FRM101&amp;vw_cd=MT_ZTITLE</x:v>
      </x:c>
      <x:c r="AV12" s="32" t="n">
        <x:v>46239.31775462963</x:v>
      </x:c>
      <x:c r="AW12" s="32" t="str">
        <x:v>CODEX_COMMON_GOLD_V1+KOSIS_MCP_TABLE_INFO_200</x:v>
      </x:c>
      <x:c r="AX12" s="32" t="str">
        <x:v>N</x:v>
      </x:c>
    </x:row>
    <x:row r="13">
      <x:c r="A13" s="32" t="str">
        <x:v>A0006-CG0138</x:v>
      </x:c>
      <x:c r="B13" s="32" t="str">
        <x:v>A0006-CG0138-m1</x:v>
      </x:c>
      <x:c r="C13" s="32" t="str">
        <x:v>A0006</x:v>
      </x:c>
      <x:c r="D13" s="32" t="str">
        <x:v>2024년 수출, 6838억달러로 ‘역대 최대’ 경신</x:v>
      </x:c>
      <x:c r="E13" s="32" t="str">
        <x:v>2025-01-01</x:v>
      </x:c>
      <x:c r="F13" s="32" t="str">
        <x:v>https://www.chosun.com/economy/industry-company/2025/01/01/2UPTGREAPRAWRG4XUBRMLONSKY</x:v>
      </x:c>
      <x:c r="G13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13" s="32" t="str">
        <x:v>117억 달러</x:v>
      </x:c>
      <x:c r="I13" s="32" t="str">
        <x:v>KOSIS_VALUE</x:v>
      </x:c>
      <x:c r="J13" s="32" t="str">
        <x:v>국내공식통계</x:v>
      </x:c>
      <x:c r="K13" s="32" t="str">
        <x:v>codex_common_codebook</x:v>
      </x:c>
      <x:c r="L13" s="32" t="str">
        <x:v>현재값</x:v>
      </x:c>
      <x:c r="M13" s="32" t="str">
        <x:v>농수산식품 수출액</x:v>
      </x:c>
      <x:c r="N13" s="32" t="str">
        <x:v>농수산식품</x:v>
      </x:c>
      <x:c r="O13" s="32" t="str">
        <x:v>11700000000</x:v>
      </x:c>
      <x:c r="P13" s="32" t="str">
        <x:v>달러</x:v>
      </x:c>
      <x:c r="Q13" s="32" t="str">
        <x:v>2024</x:v>
      </x:c>
      <x:c r="R13" s="32" t="str">
        <x:v>Y</x:v>
      </x:c>
      <x:c r="S13" s="32" t="str">
        <x:v>Y</x:v>
      </x:c>
      <x:c r="T13" s="32" t="str">
        <x:v>Y</x:v>
      </x:c>
      <x:c r="U13" s="32" t="str">
        <x:v>Y</x:v>
      </x:c>
      <x:c r="V13" s="32" t="str">
        <x:v>CODEBOOK_KOSIS</x:v>
      </x:c>
      <x:c r="W13" s="32" t="str">
        <x:v>360</x:v>
      </x:c>
      <x:c r="X13" s="32" t="str">
        <x:v>DT_1R11001_FRM101</x:v>
      </x:c>
      <x:c r="Y13" s="32" t="str">
        <x:v>품목별 수출액, 수입액</x:v>
      </x:c>
      <x:c r="Z13" s="32" t="str">
        <x:v>N/A</x:v>
      </x:c>
      <x:c r="AA13" s="32" t="str">
        <x:v>N/A</x:v>
      </x:c>
      <x:c r="AB13" s="32" t="str">
        <x:v>N/A</x:v>
      </x:c>
      <x:c r="AC13" s="32" t="str">
        <x:v>N/A</x:v>
      </x:c>
      <x:c r="AD13" s="32" t="str">
        <x:v>Y</x:v>
      </x:c>
      <x:c r="AE13" s="32" t="str">
        <x:v>2024</x:v>
      </x:c>
      <x:c r="AF13" s="32" t="str">
        <x:v>N/A</x:v>
      </x:c>
      <x:c r="AG13" s="32" t="str">
        <x:v>현재값</x:v>
      </x:c>
      <x:c r="AH13" s="32" t="str">
        <x:v>TABLE_SERIES_LABEL</x:v>
      </x:c>
      <x:c r="AI13" s="32" t="str">
        <x:v>N/A</x:v>
      </x:c>
      <x:c r="AJ13" s="32" t="str">
        <x:v>N/A</x:v>
      </x:c>
      <x:c r="AK13" s="32" t="str">
        <x:v>N/A</x:v>
      </x:c>
      <x:c r="AL13" s="32" t="str">
        <x:v>N/A</x:v>
      </x:c>
      <x:c r="AM13" s="32" t="str">
        <x:v>11700000000</x:v>
      </x:c>
      <x:c r="AN13" s="32" t="str">
        <x:v>N/A</x:v>
      </x:c>
      <x:c r="AO13" s="32" t="str">
        <x:v>N/A</x:v>
      </x:c>
      <x:c r="AP13" s="32" t="str">
        <x:v>N/A</x:v>
      </x:c>
      <x:c r="AQ13" s="32" t="str">
        <x:v>값검증대기</x:v>
      </x:c>
      <x:c r="AR13" s="32" t="str">
        <x:v>TABLE_ONLY</x:v>
      </x:c>
      <x:c r="AS13" s="32" t="str">
        <x:v>HIGH</x:v>
      </x:c>
      <x:c r="AT13" s="33" t="str">
        <x:v>READY:TRADE_OFFICIAL_SERIES; 잠긴 Codex 공통 골드에서 측정·검증 가능 판정, KOSIS MCP로 통계표명 재확인, 세부 항목·분류·실제값은 미확정.</x:v>
      </x:c>
      <x:c r="AU13" s="32" t="str">
        <x:v>https://kosis.kr/statHtml/statHtml.do?orgId=360&amp;tblId=DT_1R11001_FRM101&amp;vw_cd=MT_ZTITLE</x:v>
      </x:c>
      <x:c r="AV13" s="32" t="n">
        <x:v>46239.31775462963</x:v>
      </x:c>
      <x:c r="AW13" s="32" t="str">
        <x:v>CODEX_COMMON_GOLD_V1+KOSIS_MCP_TABLE_INFO_200</x:v>
      </x:c>
      <x:c r="AX13" s="32" t="str">
        <x:v>N</x:v>
      </x:c>
    </x:row>
    <x:row r="14">
      <x:c r="A14" s="32" t="str">
        <x:v>A0006-CG0139</x:v>
      </x:c>
      <x:c r="B14" s="32" t="str">
        <x:v>A0006-CG0139-m1</x:v>
      </x:c>
      <x:c r="C14" s="32" t="str">
        <x:v>A0006</x:v>
      </x:c>
      <x:c r="D14" s="32" t="str">
        <x:v>2024년 수출, 6838억달러로 ‘역대 최대’ 경신</x:v>
      </x:c>
      <x:c r="E14" s="32" t="str">
        <x:v>2025-01-01</x:v>
      </x:c>
      <x:c r="F14" s="32" t="str">
        <x:v>https://www.chosun.com/economy/industry-company/2025/01/01/2UPTGREAPRAWRG4XUBRMLONSKY</x:v>
      </x:c>
      <x:c r="G14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14" s="32" t="str">
        <x:v>7.6%</x:v>
      </x:c>
      <x:c r="I14" s="32" t="str">
        <x:v>KOSIS_VALUE</x:v>
      </x:c>
      <x:c r="J14" s="32" t="str">
        <x:v>국내공식통계</x:v>
      </x:c>
      <x:c r="K14" s="32" t="str">
        <x:v>codex_common_codebook</x:v>
      </x:c>
      <x:c r="L14" s="32" t="str">
        <x:v>증감률</x:v>
      </x:c>
      <x:c r="M14" s="32" t="str">
        <x:v>농수산식품 수출 증감률</x:v>
      </x:c>
      <x:c r="N14" s="32" t="str">
        <x:v>농수산식품</x:v>
      </x:c>
      <x:c r="O14" s="32" t="str">
        <x:v>7.6</x:v>
      </x:c>
      <x:c r="P14" s="32" t="str">
        <x:v>%</x:v>
      </x:c>
      <x:c r="Q14" s="32" t="str">
        <x:v>2024</x:v>
      </x:c>
      <x:c r="R14" s="32" t="str">
        <x:v>Y</x:v>
      </x:c>
      <x:c r="S14" s="32" t="str">
        <x:v>Y</x:v>
      </x:c>
      <x:c r="T14" s="32" t="str">
        <x:v>Y</x:v>
      </x:c>
      <x:c r="U14" s="32" t="str">
        <x:v>Y</x:v>
      </x:c>
      <x:c r="V14" s="32" t="str">
        <x:v>CODEBOOK_KOSIS</x:v>
      </x:c>
      <x:c r="W14" s="32" t="str">
        <x:v>360</x:v>
      </x:c>
      <x:c r="X14" s="32" t="str">
        <x:v>DT_1R11001_FRM101</x:v>
      </x:c>
      <x:c r="Y14" s="32" t="str">
        <x:v>품목별 수출액, 수입액</x:v>
      </x:c>
      <x:c r="Z14" s="32" t="str">
        <x:v>N/A</x:v>
      </x:c>
      <x:c r="AA14" s="32" t="str">
        <x:v>N/A</x:v>
      </x:c>
      <x:c r="AB14" s="32" t="str">
        <x:v>N/A</x:v>
      </x:c>
      <x:c r="AC14" s="32" t="str">
        <x:v>N/A</x:v>
      </x:c>
      <x:c r="AD14" s="32" t="str">
        <x:v>Y</x:v>
      </x:c>
      <x:c r="AE14" s="32" t="str">
        <x:v>2024</x:v>
      </x:c>
      <x:c r="AF14" s="32" t="str">
        <x:v>N/A</x:v>
      </x:c>
      <x:c r="AG14" s="32" t="str">
        <x:v>증감률</x:v>
      </x:c>
      <x:c r="AH14" s="32" t="str">
        <x:v>TABLE_SERIES_LABEL</x:v>
      </x:c>
      <x:c r="AI14" s="32" t="str">
        <x:v>N/A</x:v>
      </x:c>
      <x:c r="AJ14" s="32" t="str">
        <x:v>N/A</x:v>
      </x:c>
      <x:c r="AK14" s="32" t="str">
        <x:v>N/A</x:v>
      </x:c>
      <x:c r="AL14" s="32" t="str">
        <x:v>N/A</x:v>
      </x:c>
      <x:c r="AM14" s="32" t="str">
        <x:v>7.6</x:v>
      </x:c>
      <x:c r="AN14" s="32" t="str">
        <x:v>N/A</x:v>
      </x:c>
      <x:c r="AO14" s="32" t="str">
        <x:v>N/A</x:v>
      </x:c>
      <x:c r="AP14" s="32" t="str">
        <x:v>N/A</x:v>
      </x:c>
      <x:c r="AQ14" s="32" t="str">
        <x:v>값검증대기</x:v>
      </x:c>
      <x:c r="AR14" s="32" t="str">
        <x:v>TABLE_ONLY</x:v>
      </x:c>
      <x:c r="AS14" s="32" t="str">
        <x:v>HIGH</x:v>
      </x:c>
      <x:c r="AT14" s="33" t="str">
        <x:v>READY:TRADE_OFFICIAL_SERIES; 잠긴 Codex 공통 골드에서 측정·검증 가능 판정, KOSIS MCP로 통계표명 재확인, 세부 항목·분류·실제값은 미확정.</x:v>
      </x:c>
      <x:c r="AU14" s="32" t="str">
        <x:v>https://kosis.kr/statHtml/statHtml.do?orgId=360&amp;tblId=DT_1R11001_FRM101&amp;vw_cd=MT_ZTITLE</x:v>
      </x:c>
      <x:c r="AV14" s="32" t="n">
        <x:v>46239.31775462963</x:v>
      </x:c>
      <x:c r="AW14" s="32" t="str">
        <x:v>CODEX_COMMON_GOLD_V1+KOSIS_MCP_TABLE_INFO_200</x:v>
      </x:c>
      <x:c r="AX14" s="32" t="str">
        <x:v>N</x:v>
      </x:c>
    </x:row>
    <x:row r="15">
      <x:c r="A15" s="32" t="str">
        <x:v>A0006-CG0140</x:v>
      </x:c>
      <x:c r="B15" s="32" t="str">
        <x:v>A0006-CG0140-m1</x:v>
      </x:c>
      <x:c r="C15" s="32" t="str">
        <x:v>A0006</x:v>
      </x:c>
      <x:c r="D15" s="32" t="str">
        <x:v>2024년 수출, 6838억달러로 ‘역대 최대’ 경신</x:v>
      </x:c>
      <x:c r="E15" s="32" t="str">
        <x:v>2025-01-01</x:v>
      </x:c>
      <x:c r="F15" s="32" t="str">
        <x:v>https://www.chosun.com/economy/industry-company/2025/01/01/2UPTGREAPRAWRG4XUBRMLONSKY</x:v>
      </x:c>
      <x:c r="G15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15" s="32" t="str">
        <x:v>13.1%</x:v>
      </x:c>
      <x:c r="I15" s="32" t="str">
        <x:v>KOSIS_VALUE</x:v>
      </x:c>
      <x:c r="J15" s="32" t="str">
        <x:v>국내공식통계</x:v>
      </x:c>
      <x:c r="K15" s="32" t="str">
        <x:v>codex_common_codebook</x:v>
      </x:c>
      <x:c r="L15" s="32" t="str">
        <x:v>증감률</x:v>
      </x:c>
      <x:c r="M15" s="32" t="str">
        <x:v>바이오헬스 수출 증감률</x:v>
      </x:c>
      <x:c r="N15" s="32" t="str">
        <x:v>바이오헬스</x:v>
      </x:c>
      <x:c r="O15" s="32" t="str">
        <x:v>13.1</x:v>
      </x:c>
      <x:c r="P15" s="32" t="str">
        <x:v>%</x:v>
      </x:c>
      <x:c r="Q15" s="32" t="str">
        <x:v>2024</x:v>
      </x:c>
      <x:c r="R15" s="32" t="str">
        <x:v>Y</x:v>
      </x:c>
      <x:c r="S15" s="32" t="str">
        <x:v>Y</x:v>
      </x:c>
      <x:c r="T15" s="32" t="str">
        <x:v>Y</x:v>
      </x:c>
      <x:c r="U15" s="32" t="str">
        <x:v>Y</x:v>
      </x:c>
      <x:c r="V15" s="32" t="str">
        <x:v>CODEBOOK_KOSIS</x:v>
      </x:c>
      <x:c r="W15" s="32" t="str">
        <x:v>360</x:v>
      </x:c>
      <x:c r="X15" s="32" t="str">
        <x:v>DT_1R11001_FRM101</x:v>
      </x:c>
      <x:c r="Y15" s="32" t="str">
        <x:v>품목별 수출액, 수입액</x:v>
      </x:c>
      <x:c r="Z15" s="32" t="str">
        <x:v>N/A</x:v>
      </x:c>
      <x:c r="AA15" s="32" t="str">
        <x:v>N/A</x:v>
      </x:c>
      <x:c r="AB15" s="32" t="str">
        <x:v>N/A</x:v>
      </x:c>
      <x:c r="AC15" s="32" t="str">
        <x:v>N/A</x:v>
      </x:c>
      <x:c r="AD15" s="32" t="str">
        <x:v>Y</x:v>
      </x:c>
      <x:c r="AE15" s="32" t="str">
        <x:v>2024</x:v>
      </x:c>
      <x:c r="AF15" s="32" t="str">
        <x:v>N/A</x:v>
      </x:c>
      <x:c r="AG15" s="32" t="str">
        <x:v>증감률</x:v>
      </x:c>
      <x:c r="AH15" s="32" t="str">
        <x:v>TABLE_SERIES_LABEL</x:v>
      </x:c>
      <x:c r="AI15" s="32" t="str">
        <x:v>N/A</x:v>
      </x:c>
      <x:c r="AJ15" s="32" t="str">
        <x:v>N/A</x:v>
      </x:c>
      <x:c r="AK15" s="32" t="str">
        <x:v>N/A</x:v>
      </x:c>
      <x:c r="AL15" s="32" t="str">
        <x:v>N/A</x:v>
      </x:c>
      <x:c r="AM15" s="32" t="str">
        <x:v>13.1</x:v>
      </x:c>
      <x:c r="AN15" s="32" t="str">
        <x:v>N/A</x:v>
      </x:c>
      <x:c r="AO15" s="32" t="str">
        <x:v>N/A</x:v>
      </x:c>
      <x:c r="AP15" s="32" t="str">
        <x:v>N/A</x:v>
      </x:c>
      <x:c r="AQ15" s="32" t="str">
        <x:v>값검증대기</x:v>
      </x:c>
      <x:c r="AR15" s="32" t="str">
        <x:v>TABLE_ONLY</x:v>
      </x:c>
      <x:c r="AS15" s="32" t="str">
        <x:v>HIGH</x:v>
      </x:c>
      <x:c r="AT15" s="33" t="str">
        <x:v>READY:TRADE_OFFICIAL_SERIES; 잠긴 Codex 공통 골드에서 측정·검증 가능 판정, KOSIS MCP로 통계표명 재확인, 세부 항목·분류·실제값은 미확정.</x:v>
      </x:c>
      <x:c r="AU15" s="32" t="str">
        <x:v>https://kosis.kr/statHtml/statHtml.do?orgId=360&amp;tblId=DT_1R11001_FRM101&amp;vw_cd=MT_ZTITLE</x:v>
      </x:c>
      <x:c r="AV15" s="32" t="n">
        <x:v>46239.31775462963</x:v>
      </x:c>
      <x:c r="AW15" s="32" t="str">
        <x:v>CODEX_COMMON_GOLD_V1+KOSIS_MCP_TABLE_INFO_200</x:v>
      </x:c>
      <x:c r="AX15" s="32" t="str">
        <x:v>N</x:v>
      </x:c>
    </x:row>
    <x:row r="16">
      <x:c r="A16" s="32" t="str">
        <x:v>A0006-CG0141</x:v>
      </x:c>
      <x:c r="B16" s="32" t="str">
        <x:v>A0006-CG0141-m1</x:v>
      </x:c>
      <x:c r="C16" s="32" t="str">
        <x:v>A0006</x:v>
      </x:c>
      <x:c r="D16" s="32" t="str">
        <x:v>2024년 수출, 6838억달러로 ‘역대 최대’ 경신</x:v>
      </x:c>
      <x:c r="E16" s="32" t="str">
        <x:v>2025-01-01</x:v>
      </x:c>
      <x:c r="F16" s="32" t="str">
        <x:v>https://www.chosun.com/economy/industry-company/2025/01/01/2UPTGREAPRAWRG4XUBRMLONSKY</x:v>
      </x:c>
      <x:c r="G16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16" s="32" t="str">
        <x:v>151억 달러</x:v>
      </x:c>
      <x:c r="I16" s="32" t="str">
        <x:v>KOSIS_VALUE</x:v>
      </x:c>
      <x:c r="J16" s="32" t="str">
        <x:v>국내공식통계</x:v>
      </x:c>
      <x:c r="K16" s="32" t="str">
        <x:v>codex_common_codebook</x:v>
      </x:c>
      <x:c r="L16" s="32" t="str">
        <x:v>현재값</x:v>
      </x:c>
      <x:c r="M16" s="32" t="str">
        <x:v>바이오헬스 수출액</x:v>
      </x:c>
      <x:c r="N16" s="32" t="str">
        <x:v>바이오헬스</x:v>
      </x:c>
      <x:c r="O16" s="32" t="str">
        <x:v>15100000000</x:v>
      </x:c>
      <x:c r="P16" s="32" t="str">
        <x:v>달러</x:v>
      </x:c>
      <x:c r="Q16" s="32" t="str">
        <x:v>2024</x:v>
      </x:c>
      <x:c r="R16" s="32" t="str">
        <x:v>Y</x:v>
      </x:c>
      <x:c r="S16" s="32" t="str">
        <x:v>Y</x:v>
      </x:c>
      <x:c r="T16" s="32" t="str">
        <x:v>Y</x:v>
      </x:c>
      <x:c r="U16" s="32" t="str">
        <x:v>Y</x:v>
      </x:c>
      <x:c r="V16" s="32" t="str">
        <x:v>CODEBOOK_KOSIS</x:v>
      </x:c>
      <x:c r="W16" s="32" t="str">
        <x:v>360</x:v>
      </x:c>
      <x:c r="X16" s="32" t="str">
        <x:v>DT_1R11001_FRM101</x:v>
      </x:c>
      <x:c r="Y16" s="32" t="str">
        <x:v>품목별 수출액, 수입액</x:v>
      </x:c>
      <x:c r="Z16" s="32" t="str">
        <x:v>N/A</x:v>
      </x:c>
      <x:c r="AA16" s="32" t="str">
        <x:v>N/A</x:v>
      </x:c>
      <x:c r="AB16" s="32" t="str">
        <x:v>N/A</x:v>
      </x:c>
      <x:c r="AC16" s="32" t="str">
        <x:v>N/A</x:v>
      </x:c>
      <x:c r="AD16" s="32" t="str">
        <x:v>Y</x:v>
      </x:c>
      <x:c r="AE16" s="32" t="str">
        <x:v>2024</x:v>
      </x:c>
      <x:c r="AF16" s="32" t="str">
        <x:v>N/A</x:v>
      </x:c>
      <x:c r="AG16" s="32" t="str">
        <x:v>현재값</x:v>
      </x:c>
      <x:c r="AH16" s="32" t="str">
        <x:v>TABLE_SERIES_LABEL</x:v>
      </x:c>
      <x:c r="AI16" s="32" t="str">
        <x:v>N/A</x:v>
      </x:c>
      <x:c r="AJ16" s="32" t="str">
        <x:v>N/A</x:v>
      </x:c>
      <x:c r="AK16" s="32" t="str">
        <x:v>N/A</x:v>
      </x:c>
      <x:c r="AL16" s="32" t="str">
        <x:v>N/A</x:v>
      </x:c>
      <x:c r="AM16" s="32" t="str">
        <x:v>15100000000</x:v>
      </x:c>
      <x:c r="AN16" s="32" t="str">
        <x:v>N/A</x:v>
      </x:c>
      <x:c r="AO16" s="32" t="str">
        <x:v>N/A</x:v>
      </x:c>
      <x:c r="AP16" s="32" t="str">
        <x:v>N/A</x:v>
      </x:c>
      <x:c r="AQ16" s="32" t="str">
        <x:v>값검증대기</x:v>
      </x:c>
      <x:c r="AR16" s="32" t="str">
        <x:v>TABLE_ONLY</x:v>
      </x:c>
      <x:c r="AS16" s="32" t="str">
        <x:v>HIGH</x:v>
      </x:c>
      <x:c r="AT16" s="33" t="str">
        <x:v>READY:TRADE_OFFICIAL_SERIES; 잠긴 Codex 공통 골드에서 측정·검증 가능 판정, KOSIS MCP로 통계표명 재확인, 세부 항목·분류·실제값은 미확정.</x:v>
      </x:c>
      <x:c r="AU16" s="32" t="str">
        <x:v>https://kosis.kr/statHtml/statHtml.do?orgId=360&amp;tblId=DT_1R11001_FRM101&amp;vw_cd=MT_ZTITLE</x:v>
      </x:c>
      <x:c r="AV16" s="32" t="n">
        <x:v>46239.31775462963</x:v>
      </x:c>
      <x:c r="AW16" s="32" t="str">
        <x:v>CODEX_COMMON_GOLD_V1+KOSIS_MCP_TABLE_INFO_200</x:v>
      </x:c>
      <x:c r="AX16" s="32" t="str">
        <x:v>N</x:v>
      </x:c>
    </x:row>
    <x:row r="17">
      <x:c r="A17" s="32" t="str">
        <x:v>A0006-CG0142</x:v>
      </x:c>
      <x:c r="B17" s="32" t="str">
        <x:v>A0006-CG0142-m1</x:v>
      </x:c>
      <x:c r="C17" s="32" t="str">
        <x:v>A0006</x:v>
      </x:c>
      <x:c r="D17" s="32" t="str">
        <x:v>2024년 수출, 6838억달러로 ‘역대 최대’ 경신</x:v>
      </x:c>
      <x:c r="E17" s="32" t="str">
        <x:v>2025-01-01</x:v>
      </x:c>
      <x:c r="F17" s="32" t="str">
        <x:v>https://www.chosun.com/economy/industry-company/2025/01/01/2UPTGREAPRAWRG4XUBRMLONSKY</x:v>
      </x:c>
      <x:c r="G17" s="33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17" s="32" t="str">
        <x:v>1292억 달러</x:v>
      </x:c>
      <x:c r="I17" s="32" t="str">
        <x:v>KOSIS_VALUE</x:v>
      </x:c>
      <x:c r="J17" s="32" t="str">
        <x:v>국내공식통계</x:v>
      </x:c>
      <x:c r="K17" s="32" t="str">
        <x:v>codex_common_codebook</x:v>
      </x:c>
      <x:c r="L17" s="32" t="str">
        <x:v>이전값</x:v>
      </x:c>
      <x:c r="M17" s="32" t="str">
        <x:v>반도체 수출액</x:v>
      </x:c>
      <x:c r="N17" s="32" t="str">
        <x:v>반도체</x:v>
      </x:c>
      <x:c r="O17" s="32" t="str">
        <x:v>129200000000</x:v>
      </x:c>
      <x:c r="P17" s="32" t="str">
        <x:v>달러</x:v>
      </x:c>
      <x:c r="Q17" s="32" t="str">
        <x:v>2022</x:v>
      </x:c>
      <x:c r="R17" s="32" t="str">
        <x:v>Y</x:v>
      </x:c>
      <x:c r="S17" s="32" t="str">
        <x:v>Y</x:v>
      </x:c>
      <x:c r="T17" s="32" t="str">
        <x:v>Y</x:v>
      </x:c>
      <x:c r="U17" s="32" t="str">
        <x:v>Y</x:v>
      </x:c>
      <x:c r="V17" s="32" t="str">
        <x:v>CODEBOOK_KOSIS</x:v>
      </x:c>
      <x:c r="W17" s="32" t="str">
        <x:v>360</x:v>
      </x:c>
      <x:c r="X17" s="32" t="str">
        <x:v>DT_1R11001_FRM101</x:v>
      </x:c>
      <x:c r="Y17" s="32" t="str">
        <x:v>품목별 수출액, 수입액</x:v>
      </x:c>
      <x:c r="Z17" s="32" t="str">
        <x:v>N/A</x:v>
      </x:c>
      <x:c r="AA17" s="32" t="str">
        <x:v>N/A</x:v>
      </x:c>
      <x:c r="AB17" s="32" t="str">
        <x:v>N/A</x:v>
      </x:c>
      <x:c r="AC17" s="32" t="str">
        <x:v>N/A</x:v>
      </x:c>
      <x:c r="AD17" s="32" t="str">
        <x:v>Y</x:v>
      </x:c>
      <x:c r="AE17" s="32" t="str">
        <x:v>2022</x:v>
      </x:c>
      <x:c r="AF17" s="32" t="str">
        <x:v>N/A</x:v>
      </x:c>
      <x:c r="AG17" s="32" t="str">
        <x:v>이전값</x:v>
      </x:c>
      <x:c r="AH17" s="32" t="str">
        <x:v>TABLE_SERIES_LABEL</x:v>
      </x:c>
      <x:c r="AI17" s="32" t="str">
        <x:v>N/A</x:v>
      </x:c>
      <x:c r="AJ17" s="32" t="str">
        <x:v>N/A</x:v>
      </x:c>
      <x:c r="AK17" s="32" t="str">
        <x:v>N/A</x:v>
      </x:c>
      <x:c r="AL17" s="32" t="str">
        <x:v>N/A</x:v>
      </x:c>
      <x:c r="AM17" s="32" t="str">
        <x:v>129200000000</x:v>
      </x:c>
      <x:c r="AN17" s="32" t="str">
        <x:v>N/A</x:v>
      </x:c>
      <x:c r="AO17" s="32" t="str">
        <x:v>N/A</x:v>
      </x:c>
      <x:c r="AP17" s="32" t="str">
        <x:v>N/A</x:v>
      </x:c>
      <x:c r="AQ17" s="32" t="str">
        <x:v>값검증대기</x:v>
      </x:c>
      <x:c r="AR17" s="32" t="str">
        <x:v>TABLE_ONLY</x:v>
      </x:c>
      <x:c r="AS17" s="32" t="str">
        <x:v>HIGH</x:v>
      </x:c>
      <x:c r="AT17" s="33" t="str">
        <x:v>READY:TRADE_OFFICIAL_SERIES; 잠긴 Codex 공통 골드에서 측정·검증 가능 판정, KOSIS MCP로 통계표명 재확인, 세부 항목·분류·실제값은 미확정.</x:v>
      </x:c>
      <x:c r="AU17" s="32" t="str">
        <x:v>https://kosis.kr/statHtml/statHtml.do?orgId=360&amp;tblId=DT_1R11001_FRM101&amp;vw_cd=MT_ZTITLE</x:v>
      </x:c>
      <x:c r="AV17" s="32" t="n">
        <x:v>46239.31775462963</x:v>
      </x:c>
      <x:c r="AW17" s="32" t="str">
        <x:v>CODEX_COMMON_GOLD_V1+KOSIS_MCP_TABLE_INFO_200</x:v>
      </x:c>
      <x:c r="AX17" s="32" t="str">
        <x:v>N</x:v>
      </x:c>
    </x:row>
    <x:row r="18">
      <x:c r="A18" s="32" t="str">
        <x:v>A0006-CG0147</x:v>
      </x:c>
      <x:c r="B18" s="32" t="str">
        <x:v>A0006-CG0147-m1</x:v>
      </x:c>
      <x:c r="C18" s="32" t="str">
        <x:v>A0006</x:v>
      </x:c>
      <x:c r="D18" s="32" t="str">
        <x:v>2024년 수출, 6838억달러로 ‘역대 최대’ 경신</x:v>
      </x:c>
      <x:c r="E18" s="32" t="str">
        <x:v>2025-01-01</x:v>
      </x:c>
      <x:c r="F18" s="32" t="str">
        <x:v>https://www.chosun.com/economy/industry-company/2025/01/01/2UPTGREAPRAWRG4XUBRMLONSKY</x:v>
      </x:c>
      <x:c r="G18" s="33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18" s="32" t="str">
        <x:v>43.9%</x:v>
      </x:c>
      <x:c r="I18" s="32" t="str">
        <x:v>KOSIS_VALUE</x:v>
      </x:c>
      <x:c r="J18" s="32" t="str">
        <x:v>국내공식통계</x:v>
      </x:c>
      <x:c r="K18" s="32" t="str">
        <x:v>codex_common_codebook</x:v>
      </x:c>
      <x:c r="L18" s="32" t="str">
        <x:v>증감률</x:v>
      </x:c>
      <x:c r="M18" s="32" t="str">
        <x:v>반도체 수출 증감률</x:v>
      </x:c>
      <x:c r="N18" s="32" t="str">
        <x:v>반도체</x:v>
      </x:c>
      <x:c r="O18" s="32" t="str">
        <x:v>43.9</x:v>
      </x:c>
      <x:c r="P18" s="32" t="str">
        <x:v>%</x:v>
      </x:c>
      <x:c r="Q18" s="32" t="str">
        <x:v>2024</x:v>
      </x:c>
      <x:c r="R18" s="32" t="str">
        <x:v>Y</x:v>
      </x:c>
      <x:c r="S18" s="32" t="str">
        <x:v>Y</x:v>
      </x:c>
      <x:c r="T18" s="32" t="str">
        <x:v>Y</x:v>
      </x:c>
      <x:c r="U18" s="32" t="str">
        <x:v>Y</x:v>
      </x:c>
      <x:c r="V18" s="32" t="str">
        <x:v>CODEBOOK_KOSIS</x:v>
      </x:c>
      <x:c r="W18" s="32" t="str">
        <x:v>360</x:v>
      </x:c>
      <x:c r="X18" s="32" t="str">
        <x:v>DT_1R11001_FRM101</x:v>
      </x:c>
      <x:c r="Y18" s="32" t="str">
        <x:v>품목별 수출액, 수입액</x:v>
      </x:c>
      <x:c r="Z18" s="32" t="str">
        <x:v>N/A</x:v>
      </x:c>
      <x:c r="AA18" s="32" t="str">
        <x:v>N/A</x:v>
      </x:c>
      <x:c r="AB18" s="32" t="str">
        <x:v>N/A</x:v>
      </x:c>
      <x:c r="AC18" s="32" t="str">
        <x:v>N/A</x:v>
      </x:c>
      <x:c r="AD18" s="32" t="str">
        <x:v>Y</x:v>
      </x:c>
      <x:c r="AE18" s="32" t="str">
        <x:v>2024</x:v>
      </x:c>
      <x:c r="AF18" s="32" t="str">
        <x:v>N/A</x:v>
      </x:c>
      <x:c r="AG18" s="32" t="str">
        <x:v>증감률</x:v>
      </x:c>
      <x:c r="AH18" s="32" t="str">
        <x:v>TABLE_SERIES_LABEL</x:v>
      </x:c>
      <x:c r="AI18" s="32" t="str">
        <x:v>N/A</x:v>
      </x:c>
      <x:c r="AJ18" s="32" t="str">
        <x:v>N/A</x:v>
      </x:c>
      <x:c r="AK18" s="32" t="str">
        <x:v>N/A</x:v>
      </x:c>
      <x:c r="AL18" s="32" t="str">
        <x:v>N/A</x:v>
      </x:c>
      <x:c r="AM18" s="32" t="str">
        <x:v>43.9</x:v>
      </x:c>
      <x:c r="AN18" s="32" t="str">
        <x:v>N/A</x:v>
      </x:c>
      <x:c r="AO18" s="32" t="str">
        <x:v>N/A</x:v>
      </x:c>
      <x:c r="AP18" s="32" t="str">
        <x:v>N/A</x:v>
      </x:c>
      <x:c r="AQ18" s="32" t="str">
        <x:v>값검증대기</x:v>
      </x:c>
      <x:c r="AR18" s="32" t="str">
        <x:v>TABLE_ONLY</x:v>
      </x:c>
      <x:c r="AS18" s="32" t="str">
        <x:v>HIGH</x:v>
      </x:c>
      <x:c r="AT18" s="33" t="str">
        <x:v>READY:TRADE_OFFICIAL_SERIES; 잠긴 Codex 공통 골드에서 측정·검증 가능 판정, KOSIS MCP로 통계표명 재확인, 세부 항목·분류·실제값은 미확정.</x:v>
      </x:c>
      <x:c r="AU18" s="32" t="str">
        <x:v>https://kosis.kr/statHtml/statHtml.do?orgId=360&amp;tblId=DT_1R11001_FRM101&amp;vw_cd=MT_ZTITLE</x:v>
      </x:c>
      <x:c r="AV18" s="32" t="n">
        <x:v>46239.31775462963</x:v>
      </x:c>
      <x:c r="AW18" s="32" t="str">
        <x:v>CODEX_COMMON_GOLD_V1+KOSIS_MCP_TABLE_INFO_200</x:v>
      </x:c>
      <x:c r="AX18" s="32" t="str">
        <x:v>N</x:v>
      </x:c>
    </x:row>
    <x:row r="19">
      <x:c r="A19" s="32" t="str">
        <x:v>A0006-CG0149</x:v>
      </x:c>
      <x:c r="B19" s="32" t="str">
        <x:v>A0006-CG0149-m1</x:v>
      </x:c>
      <x:c r="C19" s="32" t="str">
        <x:v>A0006</x:v>
      </x:c>
      <x:c r="D19" s="32" t="str">
        <x:v>2024년 수출, 6838억달러로 ‘역대 최대’ 경신</x:v>
      </x:c>
      <x:c r="E19" s="32" t="str">
        <x:v>2025-01-01</x:v>
      </x:c>
      <x:c r="F19" s="32" t="str">
        <x:v>https://www.chosun.com/economy/industry-company/2025/01/01/2UPTGREAPRAWRG4XUBRMLONSKY</x:v>
      </x:c>
      <x:c r="G19" s="33" t="str">
        <x:v>석유화학 수출은 480억 달러로, 하반기 유가 하락에 따른 수출단가 하락에도 불구하고 수출물량이 확대되면서 5% 증가했다.</x:v>
      </x:c>
      <x:c r="H19" s="32" t="str">
        <x:v>480억 달러</x:v>
      </x:c>
      <x:c r="I19" s="32" t="str">
        <x:v>KOSIS_VALUE</x:v>
      </x:c>
      <x:c r="J19" s="32" t="str">
        <x:v>국내공식통계</x:v>
      </x:c>
      <x:c r="K19" s="32" t="str">
        <x:v>codex_common_codebook</x:v>
      </x:c>
      <x:c r="L19" s="32" t="str">
        <x:v>현재값</x:v>
      </x:c>
      <x:c r="M19" s="32" t="str">
        <x:v>석유화학 수출액</x:v>
      </x:c>
      <x:c r="N19" s="32" t="str">
        <x:v>석유화학</x:v>
      </x:c>
      <x:c r="O19" s="32" t="str">
        <x:v>48000000000</x:v>
      </x:c>
      <x:c r="P19" s="32" t="str">
        <x:v>달러</x:v>
      </x:c>
      <x:c r="Q19" s="32" t="str">
        <x:v>2024</x:v>
      </x:c>
      <x:c r="R19" s="32" t="str">
        <x:v>Y</x:v>
      </x:c>
      <x:c r="S19" s="32" t="str">
        <x:v>Y</x:v>
      </x:c>
      <x:c r="T19" s="32" t="str">
        <x:v>Y</x:v>
      </x:c>
      <x:c r="U19" s="32" t="str">
        <x:v>Y</x:v>
      </x:c>
      <x:c r="V19" s="32" t="str">
        <x:v>CODEBOOK_KOSIS</x:v>
      </x:c>
      <x:c r="W19" s="32" t="str">
        <x:v>360</x:v>
      </x:c>
      <x:c r="X19" s="32" t="str">
        <x:v>DT_1R11001_FRM101</x:v>
      </x:c>
      <x:c r="Y19" s="32" t="str">
        <x:v>품목별 수출액, 수입액</x:v>
      </x:c>
      <x:c r="Z19" s="32" t="str">
        <x:v>N/A</x:v>
      </x:c>
      <x:c r="AA19" s="32" t="str">
        <x:v>N/A</x:v>
      </x:c>
      <x:c r="AB19" s="32" t="str">
        <x:v>N/A</x:v>
      </x:c>
      <x:c r="AC19" s="32" t="str">
        <x:v>N/A</x:v>
      </x:c>
      <x:c r="AD19" s="32" t="str">
        <x:v>Y</x:v>
      </x:c>
      <x:c r="AE19" s="32" t="str">
        <x:v>2024</x:v>
      </x:c>
      <x:c r="AF19" s="32" t="str">
        <x:v>N/A</x:v>
      </x:c>
      <x:c r="AG19" s="32" t="str">
        <x:v>현재값</x:v>
      </x:c>
      <x:c r="AH19" s="32" t="str">
        <x:v>TABLE_SERIES_LABEL</x:v>
      </x:c>
      <x:c r="AI19" s="32" t="str">
        <x:v>N/A</x:v>
      </x:c>
      <x:c r="AJ19" s="32" t="str">
        <x:v>N/A</x:v>
      </x:c>
      <x:c r="AK19" s="32" t="str">
        <x:v>N/A</x:v>
      </x:c>
      <x:c r="AL19" s="32" t="str">
        <x:v>N/A</x:v>
      </x:c>
      <x:c r="AM19" s="32" t="str">
        <x:v>48000000000</x:v>
      </x:c>
      <x:c r="AN19" s="32" t="str">
        <x:v>N/A</x:v>
      </x:c>
      <x:c r="AO19" s="32" t="str">
        <x:v>N/A</x:v>
      </x:c>
      <x:c r="AP19" s="32" t="str">
        <x:v>N/A</x:v>
      </x:c>
      <x:c r="AQ19" s="32" t="str">
        <x:v>값검증대기</x:v>
      </x:c>
      <x:c r="AR19" s="32" t="str">
        <x:v>TABLE_ONLY</x:v>
      </x:c>
      <x:c r="AS19" s="32" t="str">
        <x:v>HIGH</x:v>
      </x:c>
      <x:c r="AT19" s="33" t="str">
        <x:v>READY:TRADE_OFFICIAL_SERIES; 잠긴 Codex 공통 골드에서 측정·검증 가능 판정, KOSIS MCP로 통계표명 재확인, 세부 항목·분류·실제값은 미확정.</x:v>
      </x:c>
      <x:c r="AU19" s="32" t="str">
        <x:v>https://kosis.kr/statHtml/statHtml.do?orgId=360&amp;tblId=DT_1R11001_FRM101&amp;vw_cd=MT_ZTITLE</x:v>
      </x:c>
      <x:c r="AV19" s="32" t="n">
        <x:v>46239.31775462963</x:v>
      </x:c>
      <x:c r="AW19" s="32" t="str">
        <x:v>CODEX_COMMON_GOLD_V1+KOSIS_MCP_TABLE_INFO_200</x:v>
      </x:c>
      <x:c r="AX19" s="32" t="str">
        <x:v>N</x:v>
      </x:c>
    </x:row>
    <x:row r="20">
      <x:c r="A20" s="32" t="str">
        <x:v>A0006-CG0150</x:v>
      </x:c>
      <x:c r="B20" s="32" t="str">
        <x:v>A0006-CG0150-m1</x:v>
      </x:c>
      <x:c r="C20" s="32" t="str">
        <x:v>A0006</x:v>
      </x:c>
      <x:c r="D20" s="32" t="str">
        <x:v>2024년 수출, 6838억달러로 ‘역대 최대’ 경신</x:v>
      </x:c>
      <x:c r="E20" s="32" t="str">
        <x:v>2025-01-01</x:v>
      </x:c>
      <x:c r="F20" s="32" t="str">
        <x:v>https://www.chosun.com/economy/industry-company/2025/01/01/2UPTGREAPRAWRG4XUBRMLONSKY</x:v>
      </x:c>
      <x:c r="G20" s="33" t="str">
        <x:v>석유화학 수출은 480억 달러로, 하반기 유가 하락에 따른 수출단가 하락에도 불구하고 수출물량이 확대되면서 5% 증가했다.</x:v>
      </x:c>
      <x:c r="H20" s="32" t="str">
        <x:v>5%</x:v>
      </x:c>
      <x:c r="I20" s="32" t="str">
        <x:v>KOSIS_VALUE</x:v>
      </x:c>
      <x:c r="J20" s="32" t="str">
        <x:v>국내공식통계</x:v>
      </x:c>
      <x:c r="K20" s="32" t="str">
        <x:v>codex_common_codebook</x:v>
      </x:c>
      <x:c r="L20" s="32" t="str">
        <x:v>증감률</x:v>
      </x:c>
      <x:c r="M20" s="32" t="str">
        <x:v>석유화학 수출액 증감률</x:v>
      </x:c>
      <x:c r="N20" s="32" t="str">
        <x:v>석유화학</x:v>
      </x:c>
      <x:c r="O20" s="32" t="str">
        <x:v>5</x:v>
      </x:c>
      <x:c r="P20" s="32" t="str">
        <x:v>%</x:v>
      </x:c>
      <x:c r="Q20" s="32" t="str">
        <x:v>2024</x:v>
      </x:c>
      <x:c r="R20" s="32" t="str">
        <x:v>Y</x:v>
      </x:c>
      <x:c r="S20" s="32" t="str">
        <x:v>Y</x:v>
      </x:c>
      <x:c r="T20" s="32" t="str">
        <x:v>Y</x:v>
      </x:c>
      <x:c r="U20" s="32" t="str">
        <x:v>Y</x:v>
      </x:c>
      <x:c r="V20" s="32" t="str">
        <x:v>CODEBOOK_KOSIS</x:v>
      </x:c>
      <x:c r="W20" s="32" t="str">
        <x:v>360</x:v>
      </x:c>
      <x:c r="X20" s="32" t="str">
        <x:v>DT_1R11001_FRM101</x:v>
      </x:c>
      <x:c r="Y20" s="32" t="str">
        <x:v>품목별 수출액, 수입액</x:v>
      </x:c>
      <x:c r="Z20" s="32" t="str">
        <x:v>N/A</x:v>
      </x:c>
      <x:c r="AA20" s="32" t="str">
        <x:v>N/A</x:v>
      </x:c>
      <x:c r="AB20" s="32" t="str">
        <x:v>N/A</x:v>
      </x:c>
      <x:c r="AC20" s="32" t="str">
        <x:v>N/A</x:v>
      </x:c>
      <x:c r="AD20" s="32" t="str">
        <x:v>Y</x:v>
      </x:c>
      <x:c r="AE20" s="32" t="str">
        <x:v>2024</x:v>
      </x:c>
      <x:c r="AF20" s="32" t="str">
        <x:v>N/A</x:v>
      </x:c>
      <x:c r="AG20" s="32" t="str">
        <x:v>증감률</x:v>
      </x:c>
      <x:c r="AH20" s="32" t="str">
        <x:v>TABLE_SERIES_LABEL</x:v>
      </x:c>
      <x:c r="AI20" s="32" t="str">
        <x:v>N/A</x:v>
      </x:c>
      <x:c r="AJ20" s="32" t="str">
        <x:v>N/A</x:v>
      </x:c>
      <x:c r="AK20" s="32" t="str">
        <x:v>N/A</x:v>
      </x:c>
      <x:c r="AL20" s="32" t="str">
        <x:v>N/A</x:v>
      </x:c>
      <x:c r="AM20" s="32" t="str">
        <x:v>5</x:v>
      </x:c>
      <x:c r="AN20" s="32" t="str">
        <x:v>N/A</x:v>
      </x:c>
      <x:c r="AO20" s="32" t="str">
        <x:v>N/A</x:v>
      </x:c>
      <x:c r="AP20" s="32" t="str">
        <x:v>N/A</x:v>
      </x:c>
      <x:c r="AQ20" s="32" t="str">
        <x:v>값검증대기</x:v>
      </x:c>
      <x:c r="AR20" s="32" t="str">
        <x:v>TABLE_ONLY</x:v>
      </x:c>
      <x:c r="AS20" s="32" t="str">
        <x:v>HIGH</x:v>
      </x:c>
      <x:c r="AT20" s="33" t="str">
        <x:v>READY:TRADE_OFFICIAL_SERIES; 잠긴 Codex 공통 골드에서 측정·검증 가능 판정, KOSIS MCP로 통계표명 재확인, 세부 항목·분류·실제값은 미확정.</x:v>
      </x:c>
      <x:c r="AU20" s="32" t="str">
        <x:v>https://kosis.kr/statHtml/statHtml.do?orgId=360&amp;tblId=DT_1R11001_FRM101&amp;vw_cd=MT_ZTITLE</x:v>
      </x:c>
      <x:c r="AV20" s="32" t="n">
        <x:v>46239.31775462963</x:v>
      </x:c>
      <x:c r="AW20" s="32" t="str">
        <x:v>CODEX_COMMON_GOLD_V1+KOSIS_MCP_TABLE_INFO_200</x:v>
      </x:c>
      <x:c r="AX20" s="32" t="str">
        <x:v>N</x:v>
      </x:c>
    </x:row>
    <x:row r="21">
      <x:c r="A21" s="32" t="str">
        <x:v>A0006-CG0151</x:v>
      </x:c>
      <x:c r="B21" s="32" t="str">
        <x:v>A0006-CG0151-m1</x:v>
      </x:c>
      <x:c r="C21" s="32" t="str">
        <x:v>A0006</x:v>
      </x:c>
      <x:c r="D21" s="32" t="str">
        <x:v>2024년 수출, 6838억달러로 ‘역대 최대’ 경신</x:v>
      </x:c>
      <x:c r="E21" s="32" t="str">
        <x:v>2025-01-01</x:v>
      </x:c>
      <x:c r="F21" s="32" t="str">
        <x:v>https://www.chosun.com/economy/industry-company/2025/01/01/2UPTGREAPRAWRG4XUBRMLONSKY</x:v>
      </x:c>
      <x:c r="G21" s="33" t="str">
        <x:v>선박 수출은 2021년 높은 선가로 수주한 LNG 운반선, 대형 컨테이너선 등 고부가 선박이 본격 수출되면서 두 자릿수(18%) 증가한 256억 달러를 기록했다.</x:v>
      </x:c>
      <x:c r="H21" s="32" t="str">
        <x:v>두 자릿수(18%)</x:v>
      </x:c>
      <x:c r="I21" s="32" t="str">
        <x:v>KOSIS_VALUE</x:v>
      </x:c>
      <x:c r="J21" s="32" t="str">
        <x:v>국내공식통계</x:v>
      </x:c>
      <x:c r="K21" s="32" t="str">
        <x:v>codex_common_codebook</x:v>
      </x:c>
      <x:c r="L21" s="32" t="str">
        <x:v>증감률</x:v>
      </x:c>
      <x:c r="M21" s="32" t="str">
        <x:v>선박 수출 증감률</x:v>
      </x:c>
      <x:c r="N21" s="32" t="str">
        <x:v>선박</x:v>
      </x:c>
      <x:c r="O21" s="32" t="str">
        <x:v>18</x:v>
      </x:c>
      <x:c r="P21" s="32" t="str">
        <x:v>%</x:v>
      </x:c>
      <x:c r="Q21" s="32" t="str">
        <x:v>2024</x:v>
      </x:c>
      <x:c r="R21" s="32" t="str">
        <x:v>Y</x:v>
      </x:c>
      <x:c r="S21" s="32" t="str">
        <x:v>Y</x:v>
      </x:c>
      <x:c r="T21" s="32" t="str">
        <x:v>Y</x:v>
      </x:c>
      <x:c r="U21" s="32" t="str">
        <x:v>Y</x:v>
      </x:c>
      <x:c r="V21" s="32" t="str">
        <x:v>CODEBOOK_KOSIS</x:v>
      </x:c>
      <x:c r="W21" s="32" t="str">
        <x:v>360</x:v>
      </x:c>
      <x:c r="X21" s="32" t="str">
        <x:v>DT_1R11001_FRM101</x:v>
      </x:c>
      <x:c r="Y21" s="32" t="str">
        <x:v>품목별 수출액, 수입액</x:v>
      </x:c>
      <x:c r="Z21" s="32" t="str">
        <x:v>N/A</x:v>
      </x:c>
      <x:c r="AA21" s="32" t="str">
        <x:v>N/A</x:v>
      </x:c>
      <x:c r="AB21" s="32" t="str">
        <x:v>N/A</x:v>
      </x:c>
      <x:c r="AC21" s="32" t="str">
        <x:v>N/A</x:v>
      </x:c>
      <x:c r="AD21" s="32" t="str">
        <x:v>Y</x:v>
      </x:c>
      <x:c r="AE21" s="32" t="str">
        <x:v>2024</x:v>
      </x:c>
      <x:c r="AF21" s="32" t="str">
        <x:v>N/A</x:v>
      </x:c>
      <x:c r="AG21" s="32" t="str">
        <x:v>증감률</x:v>
      </x:c>
      <x:c r="AH21" s="32" t="str">
        <x:v>TABLE_SERIES_LABEL</x:v>
      </x:c>
      <x:c r="AI21" s="32" t="str">
        <x:v>N/A</x:v>
      </x:c>
      <x:c r="AJ21" s="32" t="str">
        <x:v>N/A</x:v>
      </x:c>
      <x:c r="AK21" s="32" t="str">
        <x:v>N/A</x:v>
      </x:c>
      <x:c r="AL21" s="32" t="str">
        <x:v>N/A</x:v>
      </x:c>
      <x:c r="AM21" s="32" t="str">
        <x:v>18</x:v>
      </x:c>
      <x:c r="AN21" s="32" t="str">
        <x:v>N/A</x:v>
      </x:c>
      <x:c r="AO21" s="32" t="str">
        <x:v>N/A</x:v>
      </x:c>
      <x:c r="AP21" s="32" t="str">
        <x:v>N/A</x:v>
      </x:c>
      <x:c r="AQ21" s="32" t="str">
        <x:v>값검증대기</x:v>
      </x:c>
      <x:c r="AR21" s="32" t="str">
        <x:v>TABLE_ONLY</x:v>
      </x:c>
      <x:c r="AS21" s="32" t="str">
        <x:v>HIGH</x:v>
      </x:c>
      <x:c r="AT21" s="33" t="str">
        <x:v>READY:TRADE_OFFICIAL_SERIES; 잠긴 Codex 공통 골드에서 측정·검증 가능 판정, KOSIS MCP로 통계표명 재확인, 세부 항목·분류·실제값은 미확정.</x:v>
      </x:c>
      <x:c r="AU21" s="32" t="str">
        <x:v>https://kosis.kr/statHtml/statHtml.do?orgId=360&amp;tblId=DT_1R11001_FRM101&amp;vw_cd=MT_ZTITLE</x:v>
      </x:c>
      <x:c r="AV21" s="32" t="n">
        <x:v>46239.31775462963</x:v>
      </x:c>
      <x:c r="AW21" s="32" t="str">
        <x:v>CODEX_COMMON_GOLD_V1+KOSIS_MCP_TABLE_INFO_200</x:v>
      </x:c>
      <x:c r="AX21" s="32" t="str">
        <x:v>N</x:v>
      </x:c>
    </x:row>
    <x:row r="22">
      <x:c r="A22" s="32" t="str">
        <x:v>A0006-CG0152</x:v>
      </x:c>
      <x:c r="B22" s="32" t="str">
        <x:v>A0006-CG0152-m1</x:v>
      </x:c>
      <x:c r="C22" s="32" t="str">
        <x:v>A0006</x:v>
      </x:c>
      <x:c r="D22" s="32" t="str">
        <x:v>2024년 수출, 6838억달러로 ‘역대 최대’ 경신</x:v>
      </x:c>
      <x:c r="E22" s="32" t="str">
        <x:v>2025-01-01</x:v>
      </x:c>
      <x:c r="F22" s="32" t="str">
        <x:v>https://www.chosun.com/economy/industry-company/2025/01/01/2UPTGREAPRAWRG4XUBRMLONSKY</x:v>
      </x:c>
      <x:c r="G22" s="33" t="str">
        <x:v>선박 수출은 2021년 높은 선가로 수주한 LNG 운반선, 대형 컨테이너선 등 고부가 선박이 본격 수출되면서 두 자릿수(18%) 증가한 256억 달러를 기록했다.</x:v>
      </x:c>
      <x:c r="H22" s="32" t="str">
        <x:v>256억 달러</x:v>
      </x:c>
      <x:c r="I22" s="32" t="str">
        <x:v>KOSIS_VALUE</x:v>
      </x:c>
      <x:c r="J22" s="32" t="str">
        <x:v>국내공식통계</x:v>
      </x:c>
      <x:c r="K22" s="32" t="str">
        <x:v>codex_common_codebook</x:v>
      </x:c>
      <x:c r="L22" s="32" t="str">
        <x:v>현재값</x:v>
      </x:c>
      <x:c r="M22" s="32" t="str">
        <x:v>선박 수출액</x:v>
      </x:c>
      <x:c r="N22" s="32" t="str">
        <x:v>선박</x:v>
      </x:c>
      <x:c r="O22" s="32" t="str">
        <x:v>25600000000</x:v>
      </x:c>
      <x:c r="P22" s="32" t="str">
        <x:v>달러</x:v>
      </x:c>
      <x:c r="Q22" s="32" t="str">
        <x:v>2024</x:v>
      </x:c>
      <x:c r="R22" s="32" t="str">
        <x:v>Y</x:v>
      </x:c>
      <x:c r="S22" s="32" t="str">
        <x:v>Y</x:v>
      </x:c>
      <x:c r="T22" s="32" t="str">
        <x:v>Y</x:v>
      </x:c>
      <x:c r="U22" s="32" t="str">
        <x:v>Y</x:v>
      </x:c>
      <x:c r="V22" s="32" t="str">
        <x:v>CODEBOOK_KOSIS</x:v>
      </x:c>
      <x:c r="W22" s="32" t="str">
        <x:v>360</x:v>
      </x:c>
      <x:c r="X22" s="32" t="str">
        <x:v>DT_1R11001_FRM101</x:v>
      </x:c>
      <x:c r="Y22" s="32" t="str">
        <x:v>품목별 수출액, 수입액</x:v>
      </x:c>
      <x:c r="Z22" s="32" t="str">
        <x:v>N/A</x:v>
      </x:c>
      <x:c r="AA22" s="32" t="str">
        <x:v>N/A</x:v>
      </x:c>
      <x:c r="AB22" s="32" t="str">
        <x:v>N/A</x:v>
      </x:c>
      <x:c r="AC22" s="32" t="str">
        <x:v>N/A</x:v>
      </x:c>
      <x:c r="AD22" s="32" t="str">
        <x:v>Y</x:v>
      </x:c>
      <x:c r="AE22" s="32" t="str">
        <x:v>2024</x:v>
      </x:c>
      <x:c r="AF22" s="32" t="str">
        <x:v>N/A</x:v>
      </x:c>
      <x:c r="AG22" s="32" t="str">
        <x:v>현재값</x:v>
      </x:c>
      <x:c r="AH22" s="32" t="str">
        <x:v>TABLE_SERIES_LABEL</x:v>
      </x:c>
      <x:c r="AI22" s="32" t="str">
        <x:v>N/A</x:v>
      </x:c>
      <x:c r="AJ22" s="32" t="str">
        <x:v>N/A</x:v>
      </x:c>
      <x:c r="AK22" s="32" t="str">
        <x:v>N/A</x:v>
      </x:c>
      <x:c r="AL22" s="32" t="str">
        <x:v>N/A</x:v>
      </x:c>
      <x:c r="AM22" s="32" t="str">
        <x:v>25600000000</x:v>
      </x:c>
      <x:c r="AN22" s="32" t="str">
        <x:v>N/A</x:v>
      </x:c>
      <x:c r="AO22" s="32" t="str">
        <x:v>N/A</x:v>
      </x:c>
      <x:c r="AP22" s="32" t="str">
        <x:v>N/A</x:v>
      </x:c>
      <x:c r="AQ22" s="32" t="str">
        <x:v>값검증대기</x:v>
      </x:c>
      <x:c r="AR22" s="32" t="str">
        <x:v>TABLE_ONLY</x:v>
      </x:c>
      <x:c r="AS22" s="32" t="str">
        <x:v>HIGH</x:v>
      </x:c>
      <x:c r="AT22" s="33" t="str">
        <x:v>READY:TRADE_OFFICIAL_SERIES; 잠긴 Codex 공통 골드에서 측정·검증 가능 판정, KOSIS MCP로 통계표명 재확인, 세부 항목·분류·실제값은 미확정.</x:v>
      </x:c>
      <x:c r="AU22" s="32" t="str">
        <x:v>https://kosis.kr/statHtml/statHtml.do?orgId=360&amp;tblId=DT_1R11001_FRM101&amp;vw_cd=MT_ZTITLE</x:v>
      </x:c>
      <x:c r="AV22" s="32" t="n">
        <x:v>46239.31775462963</x:v>
      </x:c>
      <x:c r="AW22" s="32" t="str">
        <x:v>CODEX_COMMON_GOLD_V1+KOSIS_MCP_TABLE_INFO_200</x:v>
      </x:c>
      <x:c r="AX22" s="32" t="str">
        <x:v>N</x:v>
      </x:c>
    </x:row>
    <x:row r="23">
      <x:c r="A23" s="32" t="str">
        <x:v>A0006-CG0153</x:v>
      </x:c>
      <x:c r="B23" s="32" t="str">
        <x:v>A0006-CG0153-m1</x:v>
      </x:c>
      <x:c r="C23" s="32" t="str">
        <x:v>A0006</x:v>
      </x:c>
      <x:c r="D23" s="32" t="str">
        <x:v>2024년 수출, 6838억달러로 ‘역대 최대’ 경신</x:v>
      </x:c>
      <x:c r="E23" s="32" t="str">
        <x:v>2025-01-01</x:v>
      </x:c>
      <x:c r="F23" s="32" t="str">
        <x:v>https://www.chosun.com/economy/industry-company/2025/01/01/2UPTGREAPRAWRG4XUBRMLONSKY</x:v>
      </x:c>
      <x:c r="G23" s="33" t="str">
        <x:v>자동차 수출은 하반기 주요 완성차·부품업계 파업 등에 따른 일부 생산 차질 영향으로 전년도와 보합세인 708억 달러(-0.1%)를 기록하였으며, 2년 연속 700억 달러 이상의 호실적을 이어갔다.</x:v>
      </x:c>
      <x:c r="H23" s="32" t="str">
        <x:v>-0.1%</x:v>
      </x:c>
      <x:c r="I23" s="32" t="str">
        <x:v>KOSIS_VALUE</x:v>
      </x:c>
      <x:c r="J23" s="32" t="str">
        <x:v>국내공식통계</x:v>
      </x:c>
      <x:c r="K23" s="32" t="str">
        <x:v>codex_common_codebook</x:v>
      </x:c>
      <x:c r="L23" s="32" t="str">
        <x:v>증감률</x:v>
      </x:c>
      <x:c r="M23" s="32" t="str">
        <x:v>자동차 수출 증감률</x:v>
      </x:c>
      <x:c r="N23" s="32" t="str">
        <x:v>자동차</x:v>
      </x:c>
      <x:c r="O23" s="32" t="str">
        <x:v>0.1</x:v>
      </x:c>
      <x:c r="P23" s="32" t="str">
        <x:v>%</x:v>
      </x:c>
      <x:c r="Q23" s="32" t="str">
        <x:v>2024</x:v>
      </x:c>
      <x:c r="R23" s="32" t="str">
        <x:v>Y</x:v>
      </x:c>
      <x:c r="S23" s="32" t="str">
        <x:v>Y</x:v>
      </x:c>
      <x:c r="T23" s="32" t="str">
        <x:v>Y</x:v>
      </x:c>
      <x:c r="U23" s="32" t="str">
        <x:v>Y</x:v>
      </x:c>
      <x:c r="V23" s="32" t="str">
        <x:v>CODEBOOK_KOSIS</x:v>
      </x:c>
      <x:c r="W23" s="32" t="str">
        <x:v>360</x:v>
      </x:c>
      <x:c r="X23" s="32" t="str">
        <x:v>DT_1R11001_FRM101</x:v>
      </x:c>
      <x:c r="Y23" s="32" t="str">
        <x:v>품목별 수출액, 수입액</x:v>
      </x:c>
      <x:c r="Z23" s="32" t="str">
        <x:v>N/A</x:v>
      </x:c>
      <x:c r="AA23" s="32" t="str">
        <x:v>N/A</x:v>
      </x:c>
      <x:c r="AB23" s="32" t="str">
        <x:v>N/A</x:v>
      </x:c>
      <x:c r="AC23" s="32" t="str">
        <x:v>N/A</x:v>
      </x:c>
      <x:c r="AD23" s="32" t="str">
        <x:v>Y</x:v>
      </x:c>
      <x:c r="AE23" s="32" t="str">
        <x:v>2024</x:v>
      </x:c>
      <x:c r="AF23" s="32" t="str">
        <x:v>N/A</x:v>
      </x:c>
      <x:c r="AG23" s="32" t="str">
        <x:v>증감률</x:v>
      </x:c>
      <x:c r="AH23" s="32" t="str">
        <x:v>TABLE_SERIES_LABEL</x:v>
      </x:c>
      <x:c r="AI23" s="32" t="str">
        <x:v>N/A</x:v>
      </x:c>
      <x:c r="AJ23" s="32" t="str">
        <x:v>N/A</x:v>
      </x:c>
      <x:c r="AK23" s="32" t="str">
        <x:v>N/A</x:v>
      </x:c>
      <x:c r="AL23" s="32" t="str">
        <x:v>N/A</x:v>
      </x:c>
      <x:c r="AM23" s="32" t="str">
        <x:v>0.1</x:v>
      </x:c>
      <x:c r="AN23" s="32" t="str">
        <x:v>N/A</x:v>
      </x:c>
      <x:c r="AO23" s="32" t="str">
        <x:v>N/A</x:v>
      </x:c>
      <x:c r="AP23" s="32" t="str">
        <x:v>N/A</x:v>
      </x:c>
      <x:c r="AQ23" s="32" t="str">
        <x:v>값검증대기</x:v>
      </x:c>
      <x:c r="AR23" s="32" t="str">
        <x:v>TABLE_ONLY</x:v>
      </x:c>
      <x:c r="AS23" s="32" t="str">
        <x:v>HIGH</x:v>
      </x:c>
      <x:c r="AT23" s="33" t="str">
        <x:v>READY:TRADE_OFFICIAL_SERIES; 잠긴 Codex 공통 골드에서 측정·검증 가능 판정, KOSIS MCP로 통계표명 재확인, 세부 항목·분류·실제값은 미확정.</x:v>
      </x:c>
      <x:c r="AU23" s="32" t="str">
        <x:v>https://kosis.kr/statHtml/statHtml.do?orgId=360&amp;tblId=DT_1R11001_FRM101&amp;vw_cd=MT_ZTITLE</x:v>
      </x:c>
      <x:c r="AV23" s="32" t="n">
        <x:v>46239.31775462963</x:v>
      </x:c>
      <x:c r="AW23" s="32" t="str">
        <x:v>CODEX_COMMON_GOLD_V1+KOSIS_MCP_TABLE_INFO_200</x:v>
      </x:c>
      <x:c r="AX23" s="32" t="str">
        <x:v>N</x:v>
      </x:c>
    </x:row>
    <x:row r="24">
      <x:c r="A24" s="32" t="str">
        <x:v>A0006-CG0156</x:v>
      </x:c>
      <x:c r="B24" s="32" t="str">
        <x:v>A0006-CG0156-m1</x:v>
      </x:c>
      <x:c r="C24" s="32" t="str">
        <x:v>A0006</x:v>
      </x:c>
      <x:c r="D24" s="32" t="str">
        <x:v>2024년 수출, 6838억달러로 ‘역대 최대’ 경신</x:v>
      </x:c>
      <x:c r="E24" s="32" t="str">
        <x:v>2025-01-01</x:v>
      </x:c>
      <x:c r="F24" s="32" t="str">
        <x:v>https://www.chosun.com/economy/industry-company/2025/01/01/2UPTGREAPRAWRG4XUBRMLONSKY</x:v>
      </x:c>
      <x:c r="G24" s="33" t="str">
        <x:v>자동차 수출은 하반기 주요 완성차·부품업계 파업 등에 따른 일부 생산 차질 영향으로 전년도와 보합세인 708억 달러(-0.1%)를 기록하였으며, 2년 연속 700억 달러 이상의 호실적을 이어갔다.</x:v>
      </x:c>
      <x:c r="H24" s="32" t="str">
        <x:v>708억 달러</x:v>
      </x:c>
      <x:c r="I24" s="32" t="str">
        <x:v>KOSIS_VALUE</x:v>
      </x:c>
      <x:c r="J24" s="32" t="str">
        <x:v>국내공식통계</x:v>
      </x:c>
      <x:c r="K24" s="32" t="str">
        <x:v>codex_common_codebook</x:v>
      </x:c>
      <x:c r="L24" s="32" t="str">
        <x:v>현재값</x:v>
      </x:c>
      <x:c r="M24" s="32" t="str">
        <x:v>자동차 수출</x:v>
      </x:c>
      <x:c r="N24" s="32" t="str">
        <x:v>자동차</x:v>
      </x:c>
      <x:c r="O24" s="32" t="str">
        <x:v>70800000000</x:v>
      </x:c>
      <x:c r="P24" s="32" t="str">
        <x:v>달러</x:v>
      </x:c>
      <x:c r="Q24" s="32" t="str">
        <x:v>2024</x:v>
      </x:c>
      <x:c r="R24" s="32" t="str">
        <x:v>Y</x:v>
      </x:c>
      <x:c r="S24" s="32" t="str">
        <x:v>Y</x:v>
      </x:c>
      <x:c r="T24" s="32" t="str">
        <x:v>Y</x:v>
      </x:c>
      <x:c r="U24" s="32" t="str">
        <x:v>Y</x:v>
      </x:c>
      <x:c r="V24" s="32" t="str">
        <x:v>CODEBOOK_KOSIS</x:v>
      </x:c>
      <x:c r="W24" s="32" t="str">
        <x:v>360</x:v>
      </x:c>
      <x:c r="X24" s="32" t="str">
        <x:v>DT_1R11001_FRM101</x:v>
      </x:c>
      <x:c r="Y24" s="32" t="str">
        <x:v>품목별 수출액, 수입액</x:v>
      </x:c>
      <x:c r="Z24" s="32" t="str">
        <x:v>N/A</x:v>
      </x:c>
      <x:c r="AA24" s="32" t="str">
        <x:v>N/A</x:v>
      </x:c>
      <x:c r="AB24" s="32" t="str">
        <x:v>N/A</x:v>
      </x:c>
      <x:c r="AC24" s="32" t="str">
        <x:v>N/A</x:v>
      </x:c>
      <x:c r="AD24" s="32" t="str">
        <x:v>Y</x:v>
      </x:c>
      <x:c r="AE24" s="32" t="str">
        <x:v>2024</x:v>
      </x:c>
      <x:c r="AF24" s="32" t="str">
        <x:v>N/A</x:v>
      </x:c>
      <x:c r="AG24" s="32" t="str">
        <x:v>현재값</x:v>
      </x:c>
      <x:c r="AH24" s="32" t="str">
        <x:v>TABLE_SERIES_LABEL</x:v>
      </x:c>
      <x:c r="AI24" s="32" t="str">
        <x:v>N/A</x:v>
      </x:c>
      <x:c r="AJ24" s="32" t="str">
        <x:v>N/A</x:v>
      </x:c>
      <x:c r="AK24" s="32" t="str">
        <x:v>N/A</x:v>
      </x:c>
      <x:c r="AL24" s="32" t="str">
        <x:v>N/A</x:v>
      </x:c>
      <x:c r="AM24" s="32" t="str">
        <x:v>70800000000</x:v>
      </x:c>
      <x:c r="AN24" s="32" t="str">
        <x:v>N/A</x:v>
      </x:c>
      <x:c r="AO24" s="32" t="str">
        <x:v>N/A</x:v>
      </x:c>
      <x:c r="AP24" s="32" t="str">
        <x:v>N/A</x:v>
      </x:c>
      <x:c r="AQ24" s="32" t="str">
        <x:v>값검증대기</x:v>
      </x:c>
      <x:c r="AR24" s="32" t="str">
        <x:v>TABLE_ONLY</x:v>
      </x:c>
      <x:c r="AS24" s="32" t="str">
        <x:v>HIGH</x:v>
      </x:c>
      <x:c r="AT24" s="33" t="str">
        <x:v>READY:TRADE_OFFICIAL_SERIES; 잠긴 Codex 공통 골드에서 측정·검증 가능 판정, KOSIS MCP로 통계표명 재확인, 세부 항목·분류·실제값은 미확정.</x:v>
      </x:c>
      <x:c r="AU24" s="32" t="str">
        <x:v>https://kosis.kr/statHtml/statHtml.do?orgId=360&amp;tblId=DT_1R11001_FRM101&amp;vw_cd=MT_ZTITLE</x:v>
      </x:c>
      <x:c r="AV24" s="32" t="n">
        <x:v>46239.31775462963</x:v>
      </x:c>
      <x:c r="AW24" s="32" t="str">
        <x:v>CODEX_COMMON_GOLD_V1+KOSIS_MCP_TABLE_INFO_200</x:v>
      </x:c>
      <x:c r="AX24" s="32" t="str">
        <x:v>N</x:v>
      </x:c>
    </x:row>
    <x:row r="25">
      <x:c r="A25" s="32" t="str">
        <x:v>A0006-CG0157</x:v>
      </x:c>
      <x:c r="B25" s="32" t="str">
        <x:v>A0006-CG0157-m1</x:v>
      </x:c>
      <x:c r="C25" s="32" t="str">
        <x:v>A0006</x:v>
      </x:c>
      <x:c r="D25" s="32" t="str">
        <x:v>2024년 수출, 6838억달러로 ‘역대 최대’ 경신</x:v>
      </x:c>
      <x:c r="E25" s="32" t="str">
        <x:v>2025-01-01</x:v>
      </x:c>
      <x:c r="F25" s="32" t="str">
        <x:v>https://www.chosun.com/economy/industry-company/2025/01/01/2UPTGREAPRAWRG4XUBRMLONSKY</x:v>
      </x:c>
      <x:c r="G25" s="33" t="str">
        <x:v>전년 대비 월간 수출 증가율은 8월(11%), 9월(7.5%), 10월(4.6%), 11월(1.4%)로 계속 감소 중이었으나, 12월에 6.6%로 반등에 성공한 것이다.</x:v>
      </x:c>
      <x:c r="H25" s="32" t="str">
        <x:v>1.4%</x:v>
      </x:c>
      <x:c r="I25" s="32" t="str">
        <x:v>KOSIS_VALUE</x:v>
      </x:c>
      <x:c r="J25" s="32" t="str">
        <x:v>국내공식통계</x:v>
      </x:c>
      <x:c r="K25" s="32" t="str">
        <x:v>codex_common_codebook</x:v>
      </x:c>
      <x:c r="L25" s="32" t="str">
        <x:v>증감률</x:v>
      </x:c>
      <x:c r="M25" s="32" t="str">
        <x:v>수출 증가율</x:v>
      </x:c>
      <x:c r="N25" s="32" t="str">
        <x:v>수출 증가율</x:v>
      </x:c>
      <x:c r="O25" s="32" t="str">
        <x:v>1.4</x:v>
      </x:c>
      <x:c r="P25" s="32" t="str">
        <x:v>%</x:v>
      </x:c>
      <x:c r="Q25" s="32" t="str">
        <x:v>202411</x:v>
      </x:c>
      <x:c r="R25" s="32" t="str">
        <x:v>M</x:v>
      </x:c>
      <x:c r="S25" s="32" t="str">
        <x:v>Y</x:v>
      </x:c>
      <x:c r="T25" s="32" t="str">
        <x:v>Y</x:v>
      </x:c>
      <x:c r="U25" s="32" t="str">
        <x:v>Y</x:v>
      </x:c>
      <x:c r="V25" s="32" t="str">
        <x:v>CODEBOOK_KOSIS</x:v>
      </x:c>
      <x:c r="W25" s="32" t="str">
        <x:v>360</x:v>
      </x:c>
      <x:c r="X25" s="32" t="str">
        <x:v>DT_1R11001_FRM101</x:v>
      </x:c>
      <x:c r="Y25" s="32" t="str">
        <x:v>품목별 수출액, 수입액</x:v>
      </x:c>
      <x:c r="Z25" s="32" t="str">
        <x:v>N/A</x:v>
      </x:c>
      <x:c r="AA25" s="32" t="str">
        <x:v>N/A</x:v>
      </x:c>
      <x:c r="AB25" s="32" t="str">
        <x:v>N/A</x:v>
      </x:c>
      <x:c r="AC25" s="32" t="str">
        <x:v>N/A</x:v>
      </x:c>
      <x:c r="AD25" s="32" t="str">
        <x:v>M</x:v>
      </x:c>
      <x:c r="AE25" s="32" t="str">
        <x:v>202411</x:v>
      </x:c>
      <x:c r="AF25" s="32" t="str">
        <x:v>N/A</x:v>
      </x:c>
      <x:c r="AG25" s="32" t="str">
        <x:v>증감률</x:v>
      </x:c>
      <x:c r="AH25" s="32" t="str">
        <x:v>TABLE_SERIES_LABEL</x:v>
      </x:c>
      <x:c r="AI25" s="32" t="str">
        <x:v>N/A</x:v>
      </x:c>
      <x:c r="AJ25" s="32" t="str">
        <x:v>N/A</x:v>
      </x:c>
      <x:c r="AK25" s="32" t="str">
        <x:v>N/A</x:v>
      </x:c>
      <x:c r="AL25" s="32" t="str">
        <x:v>N/A</x:v>
      </x:c>
      <x:c r="AM25" s="32" t="str">
        <x:v>1.4</x:v>
      </x:c>
      <x:c r="AN25" s="32" t="str">
        <x:v>N/A</x:v>
      </x:c>
      <x:c r="AO25" s="32" t="str">
        <x:v>N/A</x:v>
      </x:c>
      <x:c r="AP25" s="32" t="str">
        <x:v>N/A</x:v>
      </x:c>
      <x:c r="AQ25" s="32" t="str">
        <x:v>값검증대기</x:v>
      </x:c>
      <x:c r="AR25" s="32" t="str">
        <x:v>TABLE_ONLY</x:v>
      </x:c>
      <x:c r="AS25" s="32" t="str">
        <x:v>HIGH</x:v>
      </x:c>
      <x:c r="AT25" s="33" t="str">
        <x:v>READY:TRADE_OFFICIAL_SERIES; 잠긴 Codex 공통 골드에서 측정·검증 가능 판정, KOSIS MCP로 통계표명 재확인, 세부 항목·분류·실제값은 미확정.</x:v>
      </x:c>
      <x:c r="AU25" s="32" t="str">
        <x:v>https://kosis.kr/statHtml/statHtml.do?orgId=360&amp;tblId=DT_1R11001_FRM101&amp;vw_cd=MT_ZTITLE</x:v>
      </x:c>
      <x:c r="AV25" s="32" t="n">
        <x:v>46239.31775462963</x:v>
      </x:c>
      <x:c r="AW25" s="32" t="str">
        <x:v>CODEX_COMMON_GOLD_V1+KOSIS_MCP_TABLE_INFO_200</x:v>
      </x:c>
      <x:c r="AX25" s="32" t="str">
        <x:v>N</x:v>
      </x:c>
    </x:row>
    <x:row r="26">
      <x:c r="A26" s="32" t="str">
        <x:v>A0006-CG0159</x:v>
      </x:c>
      <x:c r="B26" s="32" t="str">
        <x:v>A0006-CG0159-m1</x:v>
      </x:c>
      <x:c r="C26" s="32" t="str">
        <x:v>A0006</x:v>
      </x:c>
      <x:c r="D26" s="32" t="str">
        <x:v>2024년 수출, 6838억달러로 ‘역대 최대’ 경신</x:v>
      </x:c>
      <x:c r="E26" s="32" t="str">
        <x:v>2025-01-01</x:v>
      </x:c>
      <x:c r="F26" s="32" t="str">
        <x:v>https://www.chosun.com/economy/industry-company/2025/01/01/2UPTGREAPRAWRG4XUBRMLONSKY</x:v>
      </x:c>
      <x:c r="G26" s="33" t="str">
        <x:v>전년 대비 월간 수출 증가율은 8월(11%), 9월(7.5%), 10월(4.6%), 11월(1.4%)로 계속 감소 중이었으나, 12월에 6.6%로 반등에 성공한 것이다.</x:v>
      </x:c>
      <x:c r="H26" s="32" t="str">
        <x:v>11%</x:v>
      </x:c>
      <x:c r="I26" s="32" t="str">
        <x:v>KOSIS_VALUE</x:v>
      </x:c>
      <x:c r="J26" s="32" t="str">
        <x:v>국내공식통계</x:v>
      </x:c>
      <x:c r="K26" s="32" t="str">
        <x:v>codex_common_codebook</x:v>
      </x:c>
      <x:c r="L26" s="32" t="str">
        <x:v>증감률</x:v>
      </x:c>
      <x:c r="M26" s="32" t="str">
        <x:v>수출 증가율</x:v>
      </x:c>
      <x:c r="N26" s="32" t="str">
        <x:v>수출 증가율</x:v>
      </x:c>
      <x:c r="O26" s="32" t="str">
        <x:v>11</x:v>
      </x:c>
      <x:c r="P26" s="32" t="str">
        <x:v>%</x:v>
      </x:c>
      <x:c r="Q26" s="32" t="str">
        <x:v>202408</x:v>
      </x:c>
      <x:c r="R26" s="32" t="str">
        <x:v>M</x:v>
      </x:c>
      <x:c r="S26" s="32" t="str">
        <x:v>Y</x:v>
      </x:c>
      <x:c r="T26" s="32" t="str">
        <x:v>Y</x:v>
      </x:c>
      <x:c r="U26" s="32" t="str">
        <x:v>Y</x:v>
      </x:c>
      <x:c r="V26" s="32" t="str">
        <x:v>CODEBOOK_KOSIS</x:v>
      </x:c>
      <x:c r="W26" s="32" t="str">
        <x:v>360</x:v>
      </x:c>
      <x:c r="X26" s="32" t="str">
        <x:v>DT_1R11001_FRM101</x:v>
      </x:c>
      <x:c r="Y26" s="32" t="str">
        <x:v>품목별 수출액, 수입액</x:v>
      </x:c>
      <x:c r="Z26" s="32" t="str">
        <x:v>N/A</x:v>
      </x:c>
      <x:c r="AA26" s="32" t="str">
        <x:v>N/A</x:v>
      </x:c>
      <x:c r="AB26" s="32" t="str">
        <x:v>N/A</x:v>
      </x:c>
      <x:c r="AC26" s="32" t="str">
        <x:v>N/A</x:v>
      </x:c>
      <x:c r="AD26" s="32" t="str">
        <x:v>M</x:v>
      </x:c>
      <x:c r="AE26" s="32" t="str">
        <x:v>202408</x:v>
      </x:c>
      <x:c r="AF26" s="32" t="str">
        <x:v>N/A</x:v>
      </x:c>
      <x:c r="AG26" s="32" t="str">
        <x:v>증감률</x:v>
      </x:c>
      <x:c r="AH26" s="32" t="str">
        <x:v>TABLE_SERIES_LABEL</x:v>
      </x:c>
      <x:c r="AI26" s="32" t="str">
        <x:v>N/A</x:v>
      </x:c>
      <x:c r="AJ26" s="32" t="str">
        <x:v>N/A</x:v>
      </x:c>
      <x:c r="AK26" s="32" t="str">
        <x:v>N/A</x:v>
      </x:c>
      <x:c r="AL26" s="32" t="str">
        <x:v>N/A</x:v>
      </x:c>
      <x:c r="AM26" s="32" t="str">
        <x:v>11</x:v>
      </x:c>
      <x:c r="AN26" s="32" t="str">
        <x:v>N/A</x:v>
      </x:c>
      <x:c r="AO26" s="32" t="str">
        <x:v>N/A</x:v>
      </x:c>
      <x:c r="AP26" s="32" t="str">
        <x:v>N/A</x:v>
      </x:c>
      <x:c r="AQ26" s="32" t="str">
        <x:v>값검증대기</x:v>
      </x:c>
      <x:c r="AR26" s="32" t="str">
        <x:v>TABLE_ONLY</x:v>
      </x:c>
      <x:c r="AS26" s="32" t="str">
        <x:v>HIGH</x:v>
      </x:c>
      <x:c r="AT26" s="33" t="str">
        <x:v>READY:TRADE_OFFICIAL_SERIES; 잠긴 Codex 공통 골드에서 측정·검증 가능 판정, KOSIS MCP로 통계표명 재확인, 세부 항목·분류·실제값은 미확정.</x:v>
      </x:c>
      <x:c r="AU26" s="32" t="str">
        <x:v>https://kosis.kr/statHtml/statHtml.do?orgId=360&amp;tblId=DT_1R11001_FRM101&amp;vw_cd=MT_ZTITLE</x:v>
      </x:c>
      <x:c r="AV26" s="32" t="n">
        <x:v>46239.31775462963</x:v>
      </x:c>
      <x:c r="AW26" s="32" t="str">
        <x:v>CODEX_COMMON_GOLD_V1+KOSIS_MCP_TABLE_INFO_200</x:v>
      </x:c>
      <x:c r="AX26" s="32" t="str">
        <x:v>N</x:v>
      </x:c>
    </x:row>
    <x:row r="27">
      <x:c r="A27" s="32" t="str">
        <x:v>A0006-CG0162</x:v>
      </x:c>
      <x:c r="B27" s="32" t="str">
        <x:v>A0006-CG0162-m1</x:v>
      </x:c>
      <x:c r="C27" s="32" t="str">
        <x:v>A0006</x:v>
      </x:c>
      <x:c r="D27" s="32" t="str">
        <x:v>2024년 수출, 6838억달러로 ‘역대 최대’ 경신</x:v>
      </x:c>
      <x:c r="E27" s="32" t="str">
        <x:v>2025-01-01</x:v>
      </x:c>
      <x:c r="F27" s="32" t="str">
        <x:v>https://www.chosun.com/economy/industry-company/2025/01/01/2UPTGREAPRAWRG4XUBRMLONSKY</x:v>
      </x:c>
      <x:c r="G27" s="33" t="str">
        <x:v>전년 대비 월간 수출 증가율은 8월(11%), 9월(7.5%), 10월(4.6%), 11월(1.4%)로 계속 감소 중이었으나, 12월에 6.6%로 반등에 성공한 것이다.</x:v>
      </x:c>
      <x:c r="H27" s="32" t="str">
        <x:v>4.6%</x:v>
      </x:c>
      <x:c r="I27" s="32" t="str">
        <x:v>KOSIS_VALUE</x:v>
      </x:c>
      <x:c r="J27" s="32" t="str">
        <x:v>국내공식통계</x:v>
      </x:c>
      <x:c r="K27" s="32" t="str">
        <x:v>codex_common_codebook</x:v>
      </x:c>
      <x:c r="L27" s="32" t="str">
        <x:v>증감률</x:v>
      </x:c>
      <x:c r="M27" s="32" t="str">
        <x:v>수출 증가율</x:v>
      </x:c>
      <x:c r="N27" s="32" t="str">
        <x:v>수출 증가율</x:v>
      </x:c>
      <x:c r="O27" s="32" t="str">
        <x:v>4.6</x:v>
      </x:c>
      <x:c r="P27" s="32" t="str">
        <x:v>%</x:v>
      </x:c>
      <x:c r="Q27" s="32" t="str">
        <x:v>202410</x:v>
      </x:c>
      <x:c r="R27" s="32" t="str">
        <x:v>M</x:v>
      </x:c>
      <x:c r="S27" s="32" t="str">
        <x:v>Y</x:v>
      </x:c>
      <x:c r="T27" s="32" t="str">
        <x:v>Y</x:v>
      </x:c>
      <x:c r="U27" s="32" t="str">
        <x:v>Y</x:v>
      </x:c>
      <x:c r="V27" s="32" t="str">
        <x:v>CODEBOOK_KOSIS</x:v>
      </x:c>
      <x:c r="W27" s="32" t="str">
        <x:v>360</x:v>
      </x:c>
      <x:c r="X27" s="32" t="str">
        <x:v>DT_1R11001_FRM101</x:v>
      </x:c>
      <x:c r="Y27" s="32" t="str">
        <x:v>품목별 수출액, 수입액</x:v>
      </x:c>
      <x:c r="Z27" s="32" t="str">
        <x:v>N/A</x:v>
      </x:c>
      <x:c r="AA27" s="32" t="str">
        <x:v>N/A</x:v>
      </x:c>
      <x:c r="AB27" s="32" t="str">
        <x:v>N/A</x:v>
      </x:c>
      <x:c r="AC27" s="32" t="str">
        <x:v>N/A</x:v>
      </x:c>
      <x:c r="AD27" s="32" t="str">
        <x:v>M</x:v>
      </x:c>
      <x:c r="AE27" s="32" t="str">
        <x:v>202410</x:v>
      </x:c>
      <x:c r="AF27" s="32" t="str">
        <x:v>N/A</x:v>
      </x:c>
      <x:c r="AG27" s="32" t="str">
        <x:v>증감률</x:v>
      </x:c>
      <x:c r="AH27" s="32" t="str">
        <x:v>TABLE_SERIES_LABEL</x:v>
      </x:c>
      <x:c r="AI27" s="32" t="str">
        <x:v>N/A</x:v>
      </x:c>
      <x:c r="AJ27" s="32" t="str">
        <x:v>N/A</x:v>
      </x:c>
      <x:c r="AK27" s="32" t="str">
        <x:v>N/A</x:v>
      </x:c>
      <x:c r="AL27" s="32" t="str">
        <x:v>N/A</x:v>
      </x:c>
      <x:c r="AM27" s="32" t="str">
        <x:v>4.6</x:v>
      </x:c>
      <x:c r="AN27" s="32" t="str">
        <x:v>N/A</x:v>
      </x:c>
      <x:c r="AO27" s="32" t="str">
        <x:v>N/A</x:v>
      </x:c>
      <x:c r="AP27" s="32" t="str">
        <x:v>N/A</x:v>
      </x:c>
      <x:c r="AQ27" s="32" t="str">
        <x:v>값검증대기</x:v>
      </x:c>
      <x:c r="AR27" s="32" t="str">
        <x:v>TABLE_ONLY</x:v>
      </x:c>
      <x:c r="AS27" s="32" t="str">
        <x:v>HIGH</x:v>
      </x:c>
      <x:c r="AT27" s="33" t="str">
        <x:v>READY:TRADE_OFFICIAL_SERIES; 잠긴 Codex 공통 골드에서 측정·검증 가능 판정, KOSIS MCP로 통계표명 재확인, 세부 항목·분류·실제값은 미확정.</x:v>
      </x:c>
      <x:c r="AU27" s="32" t="str">
        <x:v>https://kosis.kr/statHtml/statHtml.do?orgId=360&amp;tblId=DT_1R11001_FRM101&amp;vw_cd=MT_ZTITLE</x:v>
      </x:c>
      <x:c r="AV27" s="32" t="n">
        <x:v>46239.31775462963</x:v>
      </x:c>
      <x:c r="AW27" s="32" t="str">
        <x:v>CODEX_COMMON_GOLD_V1+KOSIS_MCP_TABLE_INFO_200</x:v>
      </x:c>
      <x:c r="AX27" s="32" t="str">
        <x:v>N</x:v>
      </x:c>
    </x:row>
    <x:row r="28">
      <x:c r="A28" s="32" t="str">
        <x:v>A0006-CG0166</x:v>
      </x:c>
      <x:c r="B28" s="32" t="str">
        <x:v>A0006-CG0166-m1</x:v>
      </x:c>
      <x:c r="C28" s="32" t="str">
        <x:v>A0006</x:v>
      </x:c>
      <x:c r="D28" s="32" t="str">
        <x:v>2024년 수출, 6838억달러로 ‘역대 최대’ 경신</x:v>
      </x:c>
      <x:c r="E28" s="32" t="str">
        <x:v>2025-01-01</x:v>
      </x:c>
      <x:c r="F28" s="32" t="str">
        <x:v>https://www.chosun.com/economy/industry-company/2025/01/01/2UPTGREAPRAWRG4XUBRMLONSKY</x:v>
      </x:c>
      <x:c r="G28" s="33" t="str">
        <x:v>전년 대비 월간 수출 증가율은 8월(11%), 9월(7.5%), 10월(4.6%), 11월(1.4%)로 계속 감소 중이었으나, 12월에 6.6%로 반등에 성공한 것이다.</x:v>
      </x:c>
      <x:c r="H28" s="32" t="str">
        <x:v>6.6%</x:v>
      </x:c>
      <x:c r="I28" s="32" t="str">
        <x:v>KOSIS_VALUE</x:v>
      </x:c>
      <x:c r="J28" s="32" t="str">
        <x:v>국내공식통계</x:v>
      </x:c>
      <x:c r="K28" s="32" t="str">
        <x:v>codex_common_codebook</x:v>
      </x:c>
      <x:c r="L28" s="32" t="str">
        <x:v>증감률</x:v>
      </x:c>
      <x:c r="M28" s="32" t="str">
        <x:v>수출 증가율</x:v>
      </x:c>
      <x:c r="N28" s="32" t="str">
        <x:v>수출 증가율</x:v>
      </x:c>
      <x:c r="O28" s="32" t="str">
        <x:v>6.6</x:v>
      </x:c>
      <x:c r="P28" s="32" t="str">
        <x:v>%</x:v>
      </x:c>
      <x:c r="Q28" s="32" t="str">
        <x:v>202412</x:v>
      </x:c>
      <x:c r="R28" s="32" t="str">
        <x:v>M</x:v>
      </x:c>
      <x:c r="S28" s="32" t="str">
        <x:v>Y</x:v>
      </x:c>
      <x:c r="T28" s="32" t="str">
        <x:v>Y</x:v>
      </x:c>
      <x:c r="U28" s="32" t="str">
        <x:v>Y</x:v>
      </x:c>
      <x:c r="V28" s="32" t="str">
        <x:v>CODEBOOK_KOSIS</x:v>
      </x:c>
      <x:c r="W28" s="32" t="str">
        <x:v>360</x:v>
      </x:c>
      <x:c r="X28" s="32" t="str">
        <x:v>DT_1R11001_FRM101</x:v>
      </x:c>
      <x:c r="Y28" s="32" t="str">
        <x:v>품목별 수출액, 수입액</x:v>
      </x:c>
      <x:c r="Z28" s="32" t="str">
        <x:v>N/A</x:v>
      </x:c>
      <x:c r="AA28" s="32" t="str">
        <x:v>N/A</x:v>
      </x:c>
      <x:c r="AB28" s="32" t="str">
        <x:v>N/A</x:v>
      </x:c>
      <x:c r="AC28" s="32" t="str">
        <x:v>N/A</x:v>
      </x:c>
      <x:c r="AD28" s="32" t="str">
        <x:v>M</x:v>
      </x:c>
      <x:c r="AE28" s="32" t="str">
        <x:v>202412</x:v>
      </x:c>
      <x:c r="AF28" s="32" t="str">
        <x:v>N/A</x:v>
      </x:c>
      <x:c r="AG28" s="32" t="str">
        <x:v>증감률</x:v>
      </x:c>
      <x:c r="AH28" s="32" t="str">
        <x:v>TABLE_SERIES_LABEL</x:v>
      </x:c>
      <x:c r="AI28" s="32" t="str">
        <x:v>N/A</x:v>
      </x:c>
      <x:c r="AJ28" s="32" t="str">
        <x:v>N/A</x:v>
      </x:c>
      <x:c r="AK28" s="32" t="str">
        <x:v>N/A</x:v>
      </x:c>
      <x:c r="AL28" s="32" t="str">
        <x:v>N/A</x:v>
      </x:c>
      <x:c r="AM28" s="32" t="str">
        <x:v>6.6</x:v>
      </x:c>
      <x:c r="AN28" s="32" t="str">
        <x:v>N/A</x:v>
      </x:c>
      <x:c r="AO28" s="32" t="str">
        <x:v>N/A</x:v>
      </x:c>
      <x:c r="AP28" s="32" t="str">
        <x:v>N/A</x:v>
      </x:c>
      <x:c r="AQ28" s="32" t="str">
        <x:v>값검증대기</x:v>
      </x:c>
      <x:c r="AR28" s="32" t="str">
        <x:v>TABLE_ONLY</x:v>
      </x:c>
      <x:c r="AS28" s="32" t="str">
        <x:v>HIGH</x:v>
      </x:c>
      <x:c r="AT28" s="33" t="str">
        <x:v>READY:TRADE_OFFICIAL_SERIES; 잠긴 Codex 공통 골드에서 측정·검증 가능 판정, KOSIS MCP로 통계표명 재확인, 세부 항목·분류·실제값은 미확정.</x:v>
      </x:c>
      <x:c r="AU28" s="32" t="str">
        <x:v>https://kosis.kr/statHtml/statHtml.do?orgId=360&amp;tblId=DT_1R11001_FRM101&amp;vw_cd=MT_ZTITLE</x:v>
      </x:c>
      <x:c r="AV28" s="32" t="n">
        <x:v>46239.31775462963</x:v>
      </x:c>
      <x:c r="AW28" s="32" t="str">
        <x:v>CODEX_COMMON_GOLD_V1+KOSIS_MCP_TABLE_INFO_200</x:v>
      </x:c>
      <x:c r="AX28" s="32" t="str">
        <x:v>N</x:v>
      </x:c>
    </x:row>
    <x:row r="29">
      <x:c r="A29" s="32" t="str">
        <x:v>A0006-CG0169</x:v>
      </x:c>
      <x:c r="B29" s="32" t="str">
        <x:v>A0006-CG0169-m1</x:v>
      </x:c>
      <x:c r="C29" s="32" t="str">
        <x:v>A0006</x:v>
      </x:c>
      <x:c r="D29" s="32" t="str">
        <x:v>2024년 수출, 6838억달러로 ‘역대 최대’ 경신</x:v>
      </x:c>
      <x:c r="E29" s="32" t="str">
        <x:v>2025-01-01</x:v>
      </x:c>
      <x:c r="F29" s="32" t="str">
        <x:v>https://www.chosun.com/economy/industry-company/2025/01/01/2UPTGREAPRAWRG4XUBRMLONSKY</x:v>
      </x:c>
      <x:c r="G29" s="33" t="str">
        <x:v>◇12월 수출 6.6% 늘어난 614억달러...수출 증가율 5개월 만에 반등 한편 이날 동시에 발표된 지난 12월 수출액은 614억달러로 전년 동월 대비 6.6% 증가했다.</x:v>
      </x:c>
      <x:c r="H29" s="32" t="str">
        <x:v>614억달러</x:v>
      </x:c>
      <x:c r="I29" s="32" t="str">
        <x:v>KOSIS_VALUE</x:v>
      </x:c>
      <x:c r="J29" s="32" t="str">
        <x:v>국내공식통계</x:v>
      </x:c>
      <x:c r="K29" s="32" t="str">
        <x:v>codex_common_codebook</x:v>
      </x:c>
      <x:c r="L29" s="32" t="str">
        <x:v>현재값</x:v>
      </x:c>
      <x:c r="M29" s="32" t="str">
        <x:v>총수출액</x:v>
      </x:c>
      <x:c r="N29" s="32" t="str">
        <x:v>총수출액</x:v>
      </x:c>
      <x:c r="O29" s="32" t="str">
        <x:v>61400000000</x:v>
      </x:c>
      <x:c r="P29" s="32" t="str">
        <x:v>달러</x:v>
      </x:c>
      <x:c r="Q29" s="32" t="str">
        <x:v>2024</x:v>
      </x:c>
      <x:c r="R29" s="32" t="str">
        <x:v>M</x:v>
      </x:c>
      <x:c r="S29" s="32" t="str">
        <x:v>Y</x:v>
      </x:c>
      <x:c r="T29" s="32" t="str">
        <x:v>Y</x:v>
      </x:c>
      <x:c r="U29" s="32" t="str">
        <x:v>Y</x:v>
      </x:c>
      <x:c r="V29" s="32" t="str">
        <x:v>CODEBOOK_KOSIS</x:v>
      </x:c>
      <x:c r="W29" s="32" t="str">
        <x:v>360</x:v>
      </x:c>
      <x:c r="X29" s="32" t="str">
        <x:v>DT_1R11001_FRM101</x:v>
      </x:c>
      <x:c r="Y29" s="32" t="str">
        <x:v>품목별 수출액, 수입액</x:v>
      </x:c>
      <x:c r="Z29" s="32" t="str">
        <x:v>N/A</x:v>
      </x:c>
      <x:c r="AA29" s="32" t="str">
        <x:v>N/A</x:v>
      </x:c>
      <x:c r="AB29" s="32" t="str">
        <x:v>N/A</x:v>
      </x:c>
      <x:c r="AC29" s="32" t="str">
        <x:v>N/A</x:v>
      </x:c>
      <x:c r="AD29" s="32" t="str">
        <x:v>M</x:v>
      </x:c>
      <x:c r="AE29" s="32" t="str">
        <x:v>2024</x:v>
      </x:c>
      <x:c r="AF29" s="32" t="str">
        <x:v>N/A</x:v>
      </x:c>
      <x:c r="AG29" s="32" t="str">
        <x:v>현재값</x:v>
      </x:c>
      <x:c r="AH29" s="32" t="str">
        <x:v>TABLE_SERIES_LABEL</x:v>
      </x:c>
      <x:c r="AI29" s="32" t="str">
        <x:v>N/A</x:v>
      </x:c>
      <x:c r="AJ29" s="32" t="str">
        <x:v>N/A</x:v>
      </x:c>
      <x:c r="AK29" s="32" t="str">
        <x:v>N/A</x:v>
      </x:c>
      <x:c r="AL29" s="32" t="str">
        <x:v>N/A</x:v>
      </x:c>
      <x:c r="AM29" s="32" t="str">
        <x:v>61400000000</x:v>
      </x:c>
      <x:c r="AN29" s="32" t="str">
        <x:v>N/A</x:v>
      </x:c>
      <x:c r="AO29" s="32" t="str">
        <x:v>N/A</x:v>
      </x:c>
      <x:c r="AP29" s="32" t="str">
        <x:v>N/A</x:v>
      </x:c>
      <x:c r="AQ29" s="32" t="str">
        <x:v>값검증대기</x:v>
      </x:c>
      <x:c r="AR29" s="32" t="str">
        <x:v>TABLE_ONLY</x:v>
      </x:c>
      <x:c r="AS29" s="32" t="str">
        <x:v>HIGH</x:v>
      </x:c>
      <x:c r="AT29" s="33" t="str">
        <x:v>READY:TRADE_OFFICIAL_SERIES; 잠긴 Codex 공통 골드에서 측정·검증 가능 판정, KOSIS MCP로 통계표명 재확인, 세부 항목·분류·실제값은 미확정.</x:v>
      </x:c>
      <x:c r="AU29" s="32" t="str">
        <x:v>https://kosis.kr/statHtml/statHtml.do?orgId=360&amp;tblId=DT_1R11001_FRM101&amp;vw_cd=MT_ZTITLE</x:v>
      </x:c>
      <x:c r="AV29" s="32" t="n">
        <x:v>46239.31775462963</x:v>
      </x:c>
      <x:c r="AW29" s="32" t="str">
        <x:v>CODEX_COMMON_GOLD_V1+KOSIS_MCP_TABLE_INFO_200</x:v>
      </x:c>
      <x:c r="AX29" s="32" t="str">
        <x:v>N</x:v>
      </x:c>
    </x:row>
    <x:row r="30">
      <x:c r="A30" s="32" t="str">
        <x:v>A0006-CG0171</x:v>
      </x:c>
      <x:c r="B30" s="32" t="str">
        <x:v>A0006-CG0171-m1</x:v>
      </x:c>
      <x:c r="C30" s="32" t="str">
        <x:v>A0006</x:v>
      </x:c>
      <x:c r="D30" s="32" t="str">
        <x:v>2024년 수출, 6838억달러로 ‘역대 최대’ 경신</x:v>
      </x:c>
      <x:c r="E30" s="32" t="str">
        <x:v>2025-01-01</x:v>
      </x:c>
      <x:c r="F30" s="32" t="str">
        <x:v>https://www.chosun.com/economy/industry-company/2025/01/01/2UPTGREAPRAWRG4XUBRMLONSKY</x:v>
      </x:c>
      <x:c r="G30" s="33" t="str">
        <x:v>이전 최대 실적은 2022년 기록한 6836억달러인데, 이를 2년 만에 근소하게 경신한 것이다.</x:v>
      </x:c>
      <x:c r="H30" s="32" t="str">
        <x:v>6836억달러</x:v>
      </x:c>
      <x:c r="I30" s="32" t="str">
        <x:v>KOSIS_VALUE</x:v>
      </x:c>
      <x:c r="J30" s="32" t="str">
        <x:v>국내공식통계</x:v>
      </x:c>
      <x:c r="K30" s="32" t="str">
        <x:v>codex_common_codebook</x:v>
      </x:c>
      <x:c r="L30" s="32" t="str">
        <x:v>이전값</x:v>
      </x:c>
      <x:c r="M30" s="32" t="str">
        <x:v>수출액</x:v>
      </x:c>
      <x:c r="N30" s="32" t="str">
        <x:v>수출액</x:v>
      </x:c>
      <x:c r="O30" s="32" t="str">
        <x:v>683600000000</x:v>
      </x:c>
      <x:c r="P30" s="32" t="str">
        <x:v>달러</x:v>
      </x:c>
      <x:c r="Q30" s="32" t="str">
        <x:v>2022</x:v>
      </x:c>
      <x:c r="R30" s="32" t="str">
        <x:v>Y</x:v>
      </x:c>
      <x:c r="S30" s="32" t="str">
        <x:v>Y</x:v>
      </x:c>
      <x:c r="T30" s="32" t="str">
        <x:v>Y</x:v>
      </x:c>
      <x:c r="U30" s="32" t="str">
        <x:v>Y</x:v>
      </x:c>
      <x:c r="V30" s="32" t="str">
        <x:v>CODEBOOK_KOSIS</x:v>
      </x:c>
      <x:c r="W30" s="32" t="str">
        <x:v>360</x:v>
      </x:c>
      <x:c r="X30" s="32" t="str">
        <x:v>DT_1R11001_FRM101</x:v>
      </x:c>
      <x:c r="Y30" s="32" t="str">
        <x:v>품목별 수출액, 수입액</x:v>
      </x:c>
      <x:c r="Z30" s="32" t="str">
        <x:v>N/A</x:v>
      </x:c>
      <x:c r="AA30" s="32" t="str">
        <x:v>N/A</x:v>
      </x:c>
      <x:c r="AB30" s="32" t="str">
        <x:v>N/A</x:v>
      </x:c>
      <x:c r="AC30" s="32" t="str">
        <x:v>N/A</x:v>
      </x:c>
      <x:c r="AD30" s="32" t="str">
        <x:v>Y</x:v>
      </x:c>
      <x:c r="AE30" s="32" t="str">
        <x:v>2022</x:v>
      </x:c>
      <x:c r="AF30" s="32" t="str">
        <x:v>N/A</x:v>
      </x:c>
      <x:c r="AG30" s="32" t="str">
        <x:v>이전값</x:v>
      </x:c>
      <x:c r="AH30" s="32" t="str">
        <x:v>TABLE_SERIES_LABEL</x:v>
      </x:c>
      <x:c r="AI30" s="32" t="str">
        <x:v>N/A</x:v>
      </x:c>
      <x:c r="AJ30" s="32" t="str">
        <x:v>N/A</x:v>
      </x:c>
      <x:c r="AK30" s="32" t="str">
        <x:v>N/A</x:v>
      </x:c>
      <x:c r="AL30" s="32" t="str">
        <x:v>N/A</x:v>
      </x:c>
      <x:c r="AM30" s="32" t="str">
        <x:v>683600000000</x:v>
      </x:c>
      <x:c r="AN30" s="32" t="str">
        <x:v>N/A</x:v>
      </x:c>
      <x:c r="AO30" s="32" t="str">
        <x:v>N/A</x:v>
      </x:c>
      <x:c r="AP30" s="32" t="str">
        <x:v>N/A</x:v>
      </x:c>
      <x:c r="AQ30" s="32" t="str">
        <x:v>값검증대기</x:v>
      </x:c>
      <x:c r="AR30" s="32" t="str">
        <x:v>TABLE_ONLY</x:v>
      </x:c>
      <x:c r="AS30" s="32" t="str">
        <x:v>HIGH</x:v>
      </x:c>
      <x:c r="AT30" s="33" t="str">
        <x:v>READY:TRADE_OFFICIAL_SERIES; 잠긴 Codex 공통 골드에서 측정·검증 가능 판정, KOSIS MCP로 통계표명 재확인, 세부 항목·분류·실제값은 미확정.</x:v>
      </x:c>
      <x:c r="AU30" s="32" t="str">
        <x:v>https://kosis.kr/statHtml/statHtml.do?orgId=360&amp;tblId=DT_1R11001_FRM101&amp;vw_cd=MT_ZTITLE</x:v>
      </x:c>
      <x:c r="AV30" s="32" t="n">
        <x:v>46239.31775462963</x:v>
      </x:c>
      <x:c r="AW30" s="32" t="str">
        <x:v>CODEX_COMMON_GOLD_V1+KOSIS_MCP_TABLE_INFO_200</x:v>
      </x:c>
      <x:c r="AX30" s="32" t="str">
        <x:v>N</x:v>
      </x:c>
    </x:row>
    <x:row r="31">
      <x:c r="A31" s="32" t="str">
        <x:v>A0006-CG0174</x:v>
      </x:c>
      <x:c r="B31" s="32" t="str">
        <x:v>A0006-CG0174-m1</x:v>
      </x:c>
      <x:c r="C31" s="32" t="str">
        <x:v>A0006</x:v>
      </x:c>
      <x:c r="D31" s="32" t="str">
        <x:v>2024년 수출, 6838억달러로 ‘역대 최대’ 경신</x:v>
      </x:c>
      <x:c r="E31" s="32" t="str">
        <x:v>2025-01-01</x:v>
      </x:c>
      <x:c r="F31" s="32" t="str">
        <x:v>https://www.chosun.com/economy/industry-company/2025/01/01/2UPTGREAPRAWRG4XUBRMLONSKY</x:v>
      </x:c>
      <x:c r="G31" s="33" t="str">
        <x:v>전년 대비 월간 수출 증가율은 8월(11%), 9월(7.5%), 10월(4.6%), 11월(1.4%)로 계속 감소 중이었으나, 12월에 6.6%로 반등에 성공한 것이다.</x:v>
      </x:c>
      <x:c r="H31" s="32" t="str">
        <x:v>7.5%</x:v>
      </x:c>
      <x:c r="I31" s="32" t="str">
        <x:v>KOSIS_VALUE</x:v>
      </x:c>
      <x:c r="J31" s="32" t="str">
        <x:v>국내공식통계</x:v>
      </x:c>
      <x:c r="K31" s="32" t="str">
        <x:v>codex_common_codebook</x:v>
      </x:c>
      <x:c r="L31" s="32" t="str">
        <x:v>증감률</x:v>
      </x:c>
      <x:c r="M31" s="32" t="str">
        <x:v>수출 증가율</x:v>
      </x:c>
      <x:c r="N31" s="32" t="str">
        <x:v>수출 증가율</x:v>
      </x:c>
      <x:c r="O31" s="32" t="str">
        <x:v>7.5</x:v>
      </x:c>
      <x:c r="P31" s="32" t="str">
        <x:v>%</x:v>
      </x:c>
      <x:c r="Q31" s="32" t="str">
        <x:v>202409</x:v>
      </x:c>
      <x:c r="R31" s="32" t="str">
        <x:v>M</x:v>
      </x:c>
      <x:c r="S31" s="32" t="str">
        <x:v>Y</x:v>
      </x:c>
      <x:c r="T31" s="32" t="str">
        <x:v>Y</x:v>
      </x:c>
      <x:c r="U31" s="32" t="str">
        <x:v>Y</x:v>
      </x:c>
      <x:c r="V31" s="32" t="str">
        <x:v>CODEBOOK_KOSIS</x:v>
      </x:c>
      <x:c r="W31" s="32" t="str">
        <x:v>360</x:v>
      </x:c>
      <x:c r="X31" s="32" t="str">
        <x:v>DT_1R11001_FRM101</x:v>
      </x:c>
      <x:c r="Y31" s="32" t="str">
        <x:v>품목별 수출액, 수입액</x:v>
      </x:c>
      <x:c r="Z31" s="32" t="str">
        <x:v>N/A</x:v>
      </x:c>
      <x:c r="AA31" s="32" t="str">
        <x:v>N/A</x:v>
      </x:c>
      <x:c r="AB31" s="32" t="str">
        <x:v>N/A</x:v>
      </x:c>
      <x:c r="AC31" s="32" t="str">
        <x:v>N/A</x:v>
      </x:c>
      <x:c r="AD31" s="32" t="str">
        <x:v>M</x:v>
      </x:c>
      <x:c r="AE31" s="32" t="str">
        <x:v>202409</x:v>
      </x:c>
      <x:c r="AF31" s="32" t="str">
        <x:v>N/A</x:v>
      </x:c>
      <x:c r="AG31" s="32" t="str">
        <x:v>증감률</x:v>
      </x:c>
      <x:c r="AH31" s="32" t="str">
        <x:v>TABLE_SERIES_LABEL</x:v>
      </x:c>
      <x:c r="AI31" s="32" t="str">
        <x:v>N/A</x:v>
      </x:c>
      <x:c r="AJ31" s="32" t="str">
        <x:v>N/A</x:v>
      </x:c>
      <x:c r="AK31" s="32" t="str">
        <x:v>N/A</x:v>
      </x:c>
      <x:c r="AL31" s="32" t="str">
        <x:v>N/A</x:v>
      </x:c>
      <x:c r="AM31" s="32" t="str">
        <x:v>7.5</x:v>
      </x:c>
      <x:c r="AN31" s="32" t="str">
        <x:v>N/A</x:v>
      </x:c>
      <x:c r="AO31" s="32" t="str">
        <x:v>N/A</x:v>
      </x:c>
      <x:c r="AP31" s="32" t="str">
        <x:v>N/A</x:v>
      </x:c>
      <x:c r="AQ31" s="32" t="str">
        <x:v>값검증대기</x:v>
      </x:c>
      <x:c r="AR31" s="32" t="str">
        <x:v>TABLE_ONLY</x:v>
      </x:c>
      <x:c r="AS31" s="32" t="str">
        <x:v>HIGH</x:v>
      </x:c>
      <x:c r="AT31" s="33" t="str">
        <x:v>READY:TRADE_OFFICIAL_SERIES; 잠긴 Codex 공통 골드에서 측정·검증 가능 판정, KOSIS MCP로 통계표명 재확인, 세부 항목·분류·실제값은 미확정.</x:v>
      </x:c>
      <x:c r="AU31" s="32" t="str">
        <x:v>https://kosis.kr/statHtml/statHtml.do?orgId=360&amp;tblId=DT_1R11001_FRM101&amp;vw_cd=MT_ZTITLE</x:v>
      </x:c>
      <x:c r="AV31" s="32" t="n">
        <x:v>46239.31775462963</x:v>
      </x:c>
      <x:c r="AW31" s="32" t="str">
        <x:v>CODEX_COMMON_GOLD_V1+KOSIS_MCP_TABLE_INFO_200</x:v>
      </x:c>
      <x:c r="AX31" s="32" t="str">
        <x:v>N</x:v>
      </x:c>
    </x:row>
    <x:row r="32">
      <x:c r="A32" s="32" t="str">
        <x:v>A0006-CG0176</x:v>
      </x:c>
      <x:c r="B32" s="32" t="str">
        <x:v>A0006-CG0176-m1</x:v>
      </x:c>
      <x:c r="C32" s="32" t="str">
        <x:v>A0006</x:v>
      </x:c>
      <x:c r="D32" s="32" t="str">
        <x:v>2024년 수출, 6838억달러로 ‘역대 최대’ 경신</x:v>
      </x:c>
      <x:c r="E32" s="32" t="str">
        <x:v>2025-01-01</x:v>
      </x:c>
      <x:c r="F32" s="32" t="str">
        <x:v>https://www.chosun.com/economy/industry-company/2025/01/01/2UPTGREAPRAWRG4XUBRMLONSKY</x:v>
      </x:c>
      <x:c r="G32" s="33" t="str">
        <x:v>이에 따라 2024년 1~9월 기준(WTO)으로 전 세계 수출순위도 2023년 8위에서 두 단계 상승한 6위를 달성했으며, 상위 10대 수출국 중 가장 높은 수출증가율(+9.6%)을 기록했다.</x:v>
      </x:c>
      <x:c r="H32" s="32" t="str">
        <x:v>+9.6%</x:v>
      </x:c>
      <x:c r="I32" s="32" t="str">
        <x:v>KOSIS_VALUE</x:v>
      </x:c>
      <x:c r="J32" s="32" t="str">
        <x:v>국내공식통계</x:v>
      </x:c>
      <x:c r="K32" s="32" t="str">
        <x:v>codex_common_codebook</x:v>
      </x:c>
      <x:c r="L32" s="32" t="str">
        <x:v>증감률</x:v>
      </x:c>
      <x:c r="M32" s="32" t="str">
        <x:v>수출증가율</x:v>
      </x:c>
      <x:c r="N32" s="32" t="str">
        <x:v>수출증가율</x:v>
      </x:c>
      <x:c r="O32" s="32" t="str">
        <x:v>9.6</x:v>
      </x:c>
      <x:c r="P32" s="32" t="str">
        <x:v>%</x:v>
      </x:c>
      <x:c r="Q32" s="32" t="str">
        <x:v>2024</x:v>
      </x:c>
      <x:c r="R32" s="32" t="str">
        <x:v>Y</x:v>
      </x:c>
      <x:c r="S32" s="32" t="str">
        <x:v>Y</x:v>
      </x:c>
      <x:c r="T32" s="32" t="str">
        <x:v>Y</x:v>
      </x:c>
      <x:c r="U32" s="32" t="str">
        <x:v>Y</x:v>
      </x:c>
      <x:c r="V32" s="32" t="str">
        <x:v>CODEBOOK_KOSIS</x:v>
      </x:c>
      <x:c r="W32" s="32" t="str">
        <x:v>360</x:v>
      </x:c>
      <x:c r="X32" s="32" t="str">
        <x:v>DT_1R11001_FRM101</x:v>
      </x:c>
      <x:c r="Y32" s="32" t="str">
        <x:v>품목별 수출액, 수입액</x:v>
      </x:c>
      <x:c r="Z32" s="32" t="str">
        <x:v>N/A</x:v>
      </x:c>
      <x:c r="AA32" s="32" t="str">
        <x:v>N/A</x:v>
      </x:c>
      <x:c r="AB32" s="32" t="str">
        <x:v>N/A</x:v>
      </x:c>
      <x:c r="AC32" s="32" t="str">
        <x:v>N/A</x:v>
      </x:c>
      <x:c r="AD32" s="32" t="str">
        <x:v>Y</x:v>
      </x:c>
      <x:c r="AE32" s="32" t="str">
        <x:v>2024</x:v>
      </x:c>
      <x:c r="AF32" s="32" t="str">
        <x:v>N/A</x:v>
      </x:c>
      <x:c r="AG32" s="32" t="str">
        <x:v>증감률</x:v>
      </x:c>
      <x:c r="AH32" s="32" t="str">
        <x:v>TABLE_SERIES_LABEL</x:v>
      </x:c>
      <x:c r="AI32" s="32" t="str">
        <x:v>N/A</x:v>
      </x:c>
      <x:c r="AJ32" s="32" t="str">
        <x:v>N/A</x:v>
      </x:c>
      <x:c r="AK32" s="32" t="str">
        <x:v>N/A</x:v>
      </x:c>
      <x:c r="AL32" s="32" t="str">
        <x:v>N/A</x:v>
      </x:c>
      <x:c r="AM32" s="32" t="str">
        <x:v>9.6</x:v>
      </x:c>
      <x:c r="AN32" s="32" t="str">
        <x:v>N/A</x:v>
      </x:c>
      <x:c r="AO32" s="32" t="str">
        <x:v>N/A</x:v>
      </x:c>
      <x:c r="AP32" s="32" t="str">
        <x:v>N/A</x:v>
      </x:c>
      <x:c r="AQ32" s="32" t="str">
        <x:v>값검증대기</x:v>
      </x:c>
      <x:c r="AR32" s="32" t="str">
        <x:v>TABLE_ONLY</x:v>
      </x:c>
      <x:c r="AS32" s="32" t="str">
        <x:v>HIGH</x:v>
      </x:c>
      <x:c r="AT32" s="33" t="str">
        <x:v>READY:TRADE_OFFICIAL_SERIES; 잠긴 Codex 공통 골드에서 측정·검증 가능 판정, KOSIS MCP로 통계표명 재확인, 세부 항목·분류·실제값은 미확정.</x:v>
      </x:c>
      <x:c r="AU32" s="32" t="str">
        <x:v>https://kosis.kr/statHtml/statHtml.do?orgId=360&amp;tblId=DT_1R11001_FRM101&amp;vw_cd=MT_ZTITLE</x:v>
      </x:c>
      <x:c r="AV32" s="32" t="n">
        <x:v>46239.31775462963</x:v>
      </x:c>
      <x:c r="AW32" s="32" t="str">
        <x:v>CODEX_COMMON_GOLD_V1+KOSIS_MCP_TABLE_INFO_200</x:v>
      </x:c>
      <x:c r="AX32" s="32" t="str">
        <x:v>N</x:v>
      </x:c>
    </x:row>
    <x:row r="33">
      <x:c r="A33" s="32" t="str">
        <x:v>A0006-CG0179</x:v>
      </x:c>
      <x:c r="B33" s="32" t="str">
        <x:v>A0006-CG0179-m1</x:v>
      </x:c>
      <x:c r="C33" s="32" t="str">
        <x:v>A0006</x:v>
      </x:c>
      <x:c r="D33" s="32" t="str">
        <x:v>2024년 수출, 6838억달러로 ‘역대 최대’ 경신</x:v>
      </x:c>
      <x:c r="E33" s="32" t="str">
        <x:v>2025-01-01</x:v>
      </x:c>
      <x:c r="F33" s="32" t="str">
        <x:v>https://www.chosun.com/economy/industry-company/2025/01/01/2UPTGREAPRAWRG4XUBRMLONSKY</x:v>
      </x:c>
      <x:c r="G33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33" s="32" t="str">
        <x:v>102억 달러</x:v>
      </x:c>
      <x:c r="I33" s="32" t="str">
        <x:v>KOSIS_VALUE</x:v>
      </x:c>
      <x:c r="J33" s="32" t="str">
        <x:v>국내공식통계</x:v>
      </x:c>
      <x:c r="K33" s="32" t="str">
        <x:v>codex_common_codebook</x:v>
      </x:c>
      <x:c r="L33" s="32" t="str">
        <x:v>현재값</x:v>
      </x:c>
      <x:c r="M33" s="32" t="str">
        <x:v>화장품 수출액</x:v>
      </x:c>
      <x:c r="N33" s="32" t="str">
        <x:v>화장품</x:v>
      </x:c>
      <x:c r="O33" s="32" t="str">
        <x:v>10200000000</x:v>
      </x:c>
      <x:c r="P33" s="32" t="str">
        <x:v>달러</x:v>
      </x:c>
      <x:c r="Q33" s="32" t="str">
        <x:v>2024</x:v>
      </x:c>
      <x:c r="R33" s="32" t="str">
        <x:v>Y</x:v>
      </x:c>
      <x:c r="S33" s="32" t="str">
        <x:v>Y</x:v>
      </x:c>
      <x:c r="T33" s="32" t="str">
        <x:v>Y</x:v>
      </x:c>
      <x:c r="U33" s="32" t="str">
        <x:v>Y</x:v>
      </x:c>
      <x:c r="V33" s="32" t="str">
        <x:v>CODEBOOK_KOSIS</x:v>
      </x:c>
      <x:c r="W33" s="32" t="str">
        <x:v>360</x:v>
      </x:c>
      <x:c r="X33" s="32" t="str">
        <x:v>DT_1R11001_FRM101</x:v>
      </x:c>
      <x:c r="Y33" s="32" t="str">
        <x:v>품목별 수출액, 수입액</x:v>
      </x:c>
      <x:c r="Z33" s="32" t="str">
        <x:v>N/A</x:v>
      </x:c>
      <x:c r="AA33" s="32" t="str">
        <x:v>N/A</x:v>
      </x:c>
      <x:c r="AB33" s="32" t="str">
        <x:v>N/A</x:v>
      </x:c>
      <x:c r="AC33" s="32" t="str">
        <x:v>N/A</x:v>
      </x:c>
      <x:c r="AD33" s="32" t="str">
        <x:v>Y</x:v>
      </x:c>
      <x:c r="AE33" s="32" t="str">
        <x:v>2024</x:v>
      </x:c>
      <x:c r="AF33" s="32" t="str">
        <x:v>N/A</x:v>
      </x:c>
      <x:c r="AG33" s="32" t="str">
        <x:v>현재값</x:v>
      </x:c>
      <x:c r="AH33" s="32" t="str">
        <x:v>TABLE_SERIES_LABEL</x:v>
      </x:c>
      <x:c r="AI33" s="32" t="str">
        <x:v>N/A</x:v>
      </x:c>
      <x:c r="AJ33" s="32" t="str">
        <x:v>N/A</x:v>
      </x:c>
      <x:c r="AK33" s="32" t="str">
        <x:v>N/A</x:v>
      </x:c>
      <x:c r="AL33" s="32" t="str">
        <x:v>N/A</x:v>
      </x:c>
      <x:c r="AM33" s="32" t="str">
        <x:v>10200000000</x:v>
      </x:c>
      <x:c r="AN33" s="32" t="str">
        <x:v>N/A</x:v>
      </x:c>
      <x:c r="AO33" s="32" t="str">
        <x:v>N/A</x:v>
      </x:c>
      <x:c r="AP33" s="32" t="str">
        <x:v>N/A</x:v>
      </x:c>
      <x:c r="AQ33" s="32" t="str">
        <x:v>값검증대기</x:v>
      </x:c>
      <x:c r="AR33" s="32" t="str">
        <x:v>TABLE_ONLY</x:v>
      </x:c>
      <x:c r="AS33" s="32" t="str">
        <x:v>HIGH</x:v>
      </x:c>
      <x:c r="AT33" s="33" t="str">
        <x:v>READY:TRADE_OFFICIAL_SERIES; 잠긴 Codex 공통 골드에서 측정·검증 가능 판정, KOSIS MCP로 통계표명 재확인, 세부 항목·분류·실제값은 미확정.</x:v>
      </x:c>
      <x:c r="AU33" s="32" t="str">
        <x:v>https://kosis.kr/statHtml/statHtml.do?orgId=360&amp;tblId=DT_1R11001_FRM101&amp;vw_cd=MT_ZTITLE</x:v>
      </x:c>
      <x:c r="AV33" s="32" t="n">
        <x:v>46239.31775462963</x:v>
      </x:c>
      <x:c r="AW33" s="32" t="str">
        <x:v>CODEX_COMMON_GOLD_V1+KOSIS_MCP_TABLE_INFO_200</x:v>
      </x:c>
      <x:c r="AX33" s="32" t="str">
        <x:v>N</x:v>
      </x:c>
    </x:row>
    <x:row r="34">
      <x:c r="A34" s="32" t="str">
        <x:v>A0006-CG0180</x:v>
      </x:c>
      <x:c r="B34" s="32" t="str">
        <x:v>A0006-CG0180-m1</x:v>
      </x:c>
      <x:c r="C34" s="32" t="str">
        <x:v>A0006</x:v>
      </x:c>
      <x:c r="D34" s="32" t="str">
        <x:v>2024년 수출, 6838억달러로 ‘역대 최대’ 경신</x:v>
      </x:c>
      <x:c r="E34" s="32" t="str">
        <x:v>2025-01-01</x:v>
      </x:c>
      <x:c r="F34" s="32" t="str">
        <x:v>https://www.chosun.com/economy/industry-company/2025/01/01/2UPTGREAPRAWRG4XUBRMLONSKY</x:v>
      </x:c>
      <x:c r="G34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34" s="32" t="str">
        <x:v>20.6%</x:v>
      </x:c>
      <x:c r="I34" s="32" t="str">
        <x:v>KOSIS_VALUE</x:v>
      </x:c>
      <x:c r="J34" s="32" t="str">
        <x:v>국내공식통계</x:v>
      </x:c>
      <x:c r="K34" s="32" t="str">
        <x:v>codex_common_codebook</x:v>
      </x:c>
      <x:c r="L34" s="32" t="str">
        <x:v>증감률</x:v>
      </x:c>
      <x:c r="M34" s="32" t="str">
        <x:v>화장품 수출 증감률</x:v>
      </x:c>
      <x:c r="N34" s="32" t="str">
        <x:v>화장품</x:v>
      </x:c>
      <x:c r="O34" s="32" t="str">
        <x:v>20.6</x:v>
      </x:c>
      <x:c r="P34" s="32" t="str">
        <x:v>%</x:v>
      </x:c>
      <x:c r="Q34" s="32" t="str">
        <x:v>2024</x:v>
      </x:c>
      <x:c r="R34" s="32" t="str">
        <x:v>Y</x:v>
      </x:c>
      <x:c r="S34" s="32" t="str">
        <x:v>Y</x:v>
      </x:c>
      <x:c r="T34" s="32" t="str">
        <x:v>Y</x:v>
      </x:c>
      <x:c r="U34" s="32" t="str">
        <x:v>Y</x:v>
      </x:c>
      <x:c r="V34" s="32" t="str">
        <x:v>CODEBOOK_KOSIS</x:v>
      </x:c>
      <x:c r="W34" s="32" t="str">
        <x:v>360</x:v>
      </x:c>
      <x:c r="X34" s="32" t="str">
        <x:v>DT_1R11001_FRM101</x:v>
      </x:c>
      <x:c r="Y34" s="32" t="str">
        <x:v>품목별 수출액, 수입액</x:v>
      </x:c>
      <x:c r="Z34" s="32" t="str">
        <x:v>N/A</x:v>
      </x:c>
      <x:c r="AA34" s="32" t="str">
        <x:v>N/A</x:v>
      </x:c>
      <x:c r="AB34" s="32" t="str">
        <x:v>N/A</x:v>
      </x:c>
      <x:c r="AC34" s="32" t="str">
        <x:v>N/A</x:v>
      </x:c>
      <x:c r="AD34" s="32" t="str">
        <x:v>Y</x:v>
      </x:c>
      <x:c r="AE34" s="32" t="str">
        <x:v>2024</x:v>
      </x:c>
      <x:c r="AF34" s="32" t="str">
        <x:v>N/A</x:v>
      </x:c>
      <x:c r="AG34" s="32" t="str">
        <x:v>증감률</x:v>
      </x:c>
      <x:c r="AH34" s="32" t="str">
        <x:v>TABLE_SERIES_LABEL</x:v>
      </x:c>
      <x:c r="AI34" s="32" t="str">
        <x:v>N/A</x:v>
      </x:c>
      <x:c r="AJ34" s="32" t="str">
        <x:v>N/A</x:v>
      </x:c>
      <x:c r="AK34" s="32" t="str">
        <x:v>N/A</x:v>
      </x:c>
      <x:c r="AL34" s="32" t="str">
        <x:v>N/A</x:v>
      </x:c>
      <x:c r="AM34" s="32" t="str">
        <x:v>20.6</x:v>
      </x:c>
      <x:c r="AN34" s="32" t="str">
        <x:v>N/A</x:v>
      </x:c>
      <x:c r="AO34" s="32" t="str">
        <x:v>N/A</x:v>
      </x:c>
      <x:c r="AP34" s="32" t="str">
        <x:v>N/A</x:v>
      </x:c>
      <x:c r="AQ34" s="32" t="str">
        <x:v>값검증대기</x:v>
      </x:c>
      <x:c r="AR34" s="32" t="str">
        <x:v>TABLE_ONLY</x:v>
      </x:c>
      <x:c r="AS34" s="32" t="str">
        <x:v>HIGH</x:v>
      </x:c>
      <x:c r="AT34" s="33" t="str">
        <x:v>READY:TRADE_OFFICIAL_SERIES; 잠긴 Codex 공통 골드에서 측정·검증 가능 판정, KOSIS MCP로 통계표명 재확인, 세부 항목·분류·실제값은 미확정.</x:v>
      </x:c>
      <x:c r="AU34" s="32" t="str">
        <x:v>https://kosis.kr/statHtml/statHtml.do?orgId=360&amp;tblId=DT_1R11001_FRM101&amp;vw_cd=MT_ZTITLE</x:v>
      </x:c>
      <x:c r="AV34" s="32" t="n">
        <x:v>46239.31775462963</x:v>
      </x:c>
      <x:c r="AW34" s="32" t="str">
        <x:v>CODEX_COMMON_GOLD_V1+KOSIS_MCP_TABLE_INFO_200</x:v>
      </x:c>
      <x:c r="AX34" s="32" t="str">
        <x:v>N</x:v>
      </x:c>
    </x:row>
    <x:row r="35">
      <x:c r="A35" s="32" t="str">
        <x:v>A0006-SP270B11DBD0</x:v>
      </x:c>
      <x:c r="B35" s="32" t="str">
        <x:v>A0006-SP270B11DBD0-m1</x:v>
      </x:c>
      <x:c r="C35" s="32" t="str">
        <x:v>A0006</x:v>
      </x:c>
      <x:c r="D35" s="32" t="str">
        <x:v>2024년 수출, 6838억달러로 ‘역대 최대’ 경신</x:v>
      </x:c>
      <x:c r="E35" s="32" t="str">
        <x:v>2025-01-01</x:v>
      </x:c>
      <x:c r="F35" s="32" t="str">
        <x:v>https://www.chosun.com/economy/industry-company/2025/01/01/2UPTGREAPRAWRG4XUBRMLONSKY</x:v>
      </x:c>
      <x:c r="G35" s="33" t="str">
        <x:v>12월 수출도 한국의 최대 수출 품목인 반도체가 31.5% 증가한 145억 달러를 기록하며 호실적을 이끌었다.</x:v>
      </x:c>
      <x:c r="H35" s="32" t="str">
        <x:v>31.5%</x:v>
      </x:c>
      <x:c r="I35" s="32" t="str">
        <x:v>KOSIS_VALUE</x:v>
      </x:c>
      <x:c r="J35" s="32" t="str">
        <x:v>국내공식통계</x:v>
      </x:c>
      <x:c r="K35" s="32" t="str">
        <x:v>hcx</x:v>
      </x:c>
      <x:c r="L35" s="32" t="str">
        <x:v>증감률</x:v>
      </x:c>
      <x:c r="M35" s="32" t="str">
        <x:v>수출 증가율</x:v>
      </x:c>
      <x:c r="N35" s="32" t="str">
        <x:v>반도체</x:v>
      </x:c>
      <x:c r="O35" s="32" t="str">
        <x:v>31.5</x:v>
      </x:c>
      <x:c r="P35" s="32" t="str">
        <x:v>%</x:v>
      </x:c>
      <x:c r="Q35" s="32" t="str">
        <x:v>202412</x:v>
      </x:c>
      <x:c r="R35" s="32" t="str">
        <x:v>M</x:v>
      </x:c>
      <x:c r="S35" s="32" t="str">
        <x:v>Y</x:v>
      </x:c>
      <x:c r="T35" s="32" t="str">
        <x:v>Y</x:v>
      </x:c>
      <x:c r="U35" s="32" t="str">
        <x:v>Y</x:v>
      </x:c>
      <x:c r="V35" s="32" t="str">
        <x:v>FULL_KOSIS</x:v>
      </x:c>
      <x:c r="W35" s="32" t="str">
        <x:v>127</x:v>
      </x:c>
      <x:c r="X35" s="32" t="str">
        <x:v>DT_092_115_2009_S023</x:v>
      </x:c>
      <x:c r="Y35" s="32" t="str">
        <x:v>IT산업별/월별 수출 현황</x:v>
      </x:c>
      <x:c r="Z35" s="32" t="str">
        <x:v>13103131003T1</x:v>
      </x:c>
      <x:c r="AA35" s="32" t="str">
        <x:v>IT산업별/월별 수출 현황</x:v>
      </x:c>
      <x:c r="AB35" s="32" t="str">
        <x:v>13102131003A.AF11100000</x:v>
      </x:c>
      <x:c r="AC35" s="32" t="str">
        <x:v>반도체</x:v>
      </x:c>
      <x:c r="AD35" s="32" t="str">
        <x:v>M</x:v>
      </x:c>
      <x:c r="AE35" s="32" t="str">
        <x:v>202412</x:v>
      </x:c>
      <x:c r="AF35" s="32" t="str">
        <x:v>202312</x:v>
      </x:c>
      <x:c r="AG35" s="32" t="str">
        <x:v>증감률</x:v>
      </x:c>
      <x:c r="AH35" s="32" t="str">
        <x:v>YOY_FROM_LEVEL</x:v>
      </x:c>
      <x:c r="AI35" s="32" t="str">
        <x:v>달러</x:v>
      </x:c>
      <x:c r="AJ35" s="32" t="str">
        <x:v>14511028387.0</x:v>
      </x:c>
      <x:c r="AK35" s="32" t="str">
        <x:v>11066415208.0</x:v>
      </x:c>
      <x:c r="AL35" s="32" t="str">
        <x:v>31.126729968615873</x:v>
      </x:c>
      <x:c r="AM35" s="32" t="str">
        <x:v>31.5</x:v>
      </x:c>
      <x:c r="AN35" s="32" t="str">
        <x:v>0.37327003138412707</x:v>
      </x:c>
      <x:c r="AO35" s="32" t="str">
        <x:v>1.1849842266162764</x:v>
      </x:c>
      <x:c r="AP35" s="32" t="str">
        <x:v>absolute_error&lt;=0.5%p</x:v>
      </x:c>
      <x:c r="AQ35" s="32" t="str">
        <x:v>일치</x:v>
      </x:c>
      <x:c r="AR35" s="32" t="str">
        <x:v>UNIQUE</x:v>
      </x:c>
      <x:c r="AS35" s="32" t="str">
        <x:v>HIGH</x:v>
      </x:c>
      <x:c r="AT35" s="33" t="str">
        <x:v>MCP 검색 1위이며 반도체 분류 코드가 직접 존재</x:v>
      </x:c>
      <x:c r="AU35" s="32" t="str">
        <x:v>https://kosis.kr/statHtml/statHtml.do?orgId=127&amp;tblId=DT_092_115_2009_S023&amp;vw_cd=MT_ZTITLE</x:v>
      </x:c>
      <x:c r="AV35" s="32" t="n">
        <x:v>46239</x:v>
      </x:c>
      <x:c r="AW35" s="32" t="str">
        <x:v>KOSIS_MCP_AUTO_V1</x:v>
      </x:c>
      <x:c r="AX35" s="32" t="str">
        <x:v>N</x:v>
      </x:c>
    </x:row>
    <x:row r="36">
      <x:c r="A36" s="32" t="str">
        <x:v>A0006-SP270B11DBD0</x:v>
      </x:c>
      <x:c r="B36" s="32" t="str">
        <x:v>A0006-SP270B11DBD0-m2</x:v>
      </x:c>
      <x:c r="C36" s="32" t="str">
        <x:v>A0006</x:v>
      </x:c>
      <x:c r="D36" s="32" t="str">
        <x:v>2024년 수출, 6838억달러로 ‘역대 최대’ 경신</x:v>
      </x:c>
      <x:c r="E36" s="32" t="str">
        <x:v>2025-01-01</x:v>
      </x:c>
      <x:c r="F36" s="32" t="str">
        <x:v>https://www.chosun.com/economy/industry-company/2025/01/01/2UPTGREAPRAWRG4XUBRMLONSKY</x:v>
      </x:c>
      <x:c r="G36" s="33" t="str">
        <x:v>12월 수출도 한국의 최대 수출 품목인 반도체가 31.5% 증가한 145억 달러를 기록하며 호실적을 이끌었다.</x:v>
      </x:c>
      <x:c r="H36" s="32" t="str">
        <x:v>145억 달러</x:v>
      </x:c>
      <x:c r="I36" s="32" t="str">
        <x:v>KOSIS_VALUE</x:v>
      </x:c>
      <x:c r="J36" s="32" t="str">
        <x:v>국내공식통계</x:v>
      </x:c>
      <x:c r="K36" s="32" t="str">
        <x:v>hcx</x:v>
      </x:c>
      <x:c r="L36" s="32" t="str">
        <x:v>현재값</x:v>
      </x:c>
      <x:c r="M36" s="32" t="str">
        <x:v>수출액</x:v>
      </x:c>
      <x:c r="N36" s="32" t="str">
        <x:v>반도체</x:v>
      </x:c>
      <x:c r="O36" s="32" t="str">
        <x:v>14500000000.0</x:v>
      </x:c>
      <x:c r="P36" s="32" t="str">
        <x:v>달러</x:v>
      </x:c>
      <x:c r="Q36" s="32" t="str">
        <x:v>202412</x:v>
      </x:c>
      <x:c r="R36" s="32" t="str">
        <x:v>M</x:v>
      </x:c>
      <x:c r="S36" s="32" t="str">
        <x:v>Y</x:v>
      </x:c>
      <x:c r="T36" s="32" t="str">
        <x:v>Y</x:v>
      </x:c>
      <x:c r="U36" s="32" t="str">
        <x:v>Y</x:v>
      </x:c>
      <x:c r="V36" s="32" t="str">
        <x:v>FULL_KOSIS</x:v>
      </x:c>
      <x:c r="W36" s="32" t="str">
        <x:v>127</x:v>
      </x:c>
      <x:c r="X36" s="32" t="str">
        <x:v>DT_092_115_2009_S023</x:v>
      </x:c>
      <x:c r="Y36" s="32" t="str">
        <x:v>IT산업별/월별 수출 현황</x:v>
      </x:c>
      <x:c r="Z36" s="32" t="str">
        <x:v>13103131003T1</x:v>
      </x:c>
      <x:c r="AA36" s="32" t="str">
        <x:v>IT산업별/월별 수출 현황</x:v>
      </x:c>
      <x:c r="AB36" s="32" t="str">
        <x:v>13102131003A.AF11100000</x:v>
      </x:c>
      <x:c r="AC36" s="32" t="str">
        <x:v>반도체</x:v>
      </x:c>
      <x:c r="AD36" s="32" t="str">
        <x:v>M</x:v>
      </x:c>
      <x:c r="AE36" s="32" t="str">
        <x:v>202412</x:v>
      </x:c>
      <x:c r="AF36" s="32" t="str">
        <x:v>N/A</x:v>
      </x:c>
      <x:c r="AG36" s="32" t="str">
        <x:v>수준값</x:v>
      </x:c>
      <x:c r="AH36" s="32" t="str">
        <x:v>DIRECT</x:v>
      </x:c>
      <x:c r="AI36" s="32" t="str">
        <x:v>달러</x:v>
      </x:c>
      <x:c r="AJ36" s="32" t="str">
        <x:v>14511028387.0</x:v>
      </x:c>
      <x:c r="AK36" s="32" t="str">
        <x:v>N/A</x:v>
      </x:c>
      <x:c r="AL36" s="32" t="str">
        <x:v>14511028387.0</x:v>
      </x:c>
      <x:c r="AM36" s="32" t="str">
        <x:v>14500000000.0</x:v>
      </x:c>
      <x:c r="AN36" s="32" t="str">
        <x:v>11028387.0</x:v>
      </x:c>
      <x:c r="AO36" s="32" t="str">
        <x:v>0.07605784137931035</x:v>
      </x:c>
      <x:c r="AP36" s="32" t="str">
        <x:v>relative_error&lt;=0.5%</x:v>
      </x:c>
      <x:c r="AQ36" s="32" t="str">
        <x:v>일치</x:v>
      </x:c>
      <x:c r="AR36" s="32" t="str">
        <x:v>UNIQUE</x:v>
      </x:c>
      <x:c r="AS36" s="32" t="str">
        <x:v>HIGH</x:v>
      </x:c>
      <x:c r="AT36" s="33" t="str">
        <x:v>MCP 검색 1위이며 반도체 분류 코드가 직접 존재</x:v>
      </x:c>
      <x:c r="AU36" s="32" t="str">
        <x:v>https://kosis.kr/statHtml/statHtml.do?orgId=127&amp;tblId=DT_092_115_2009_S023&amp;vw_cd=MT_ZTITLE</x:v>
      </x:c>
      <x:c r="AV36" s="32" t="n">
        <x:v>46239</x:v>
      </x:c>
      <x:c r="AW36" s="32" t="str">
        <x:v>KOSIS_MCP_AUTO_V1</x:v>
      </x:c>
      <x:c r="AX36" s="32" t="str">
        <x:v>N</x:v>
      </x:c>
    </x:row>
    <x:row r="37">
      <x:c r="A37" s="32" t="str">
        <x:v>A0006-SP382DCE21AF</x:v>
      </x:c>
      <x:c r="B37" s="32" t="str">
        <x:v>A0006-SP382DCE21AF-m1</x:v>
      </x:c>
      <x:c r="C37" s="32" t="str">
        <x:v>A0006</x:v>
      </x:c>
      <x:c r="D37" s="32" t="str">
        <x:v>2024년 수출, 6838억달러로 ‘역대 최대’ 경신</x:v>
      </x:c>
      <x:c r="E37" s="32" t="str">
        <x:v>2025-01-01</x:v>
      </x:c>
      <x:c r="F37" s="32" t="str">
        <x:v>https://www.chosun.com/economy/industry-company/2025/01/01/2UPTGREAPRAWRG4XUBRMLONSKY</x:v>
      </x:c>
      <x:c r="G37" s="33" t="str">
        <x:v>한국의 2024년 수출이 6838억 달러를 기록해 역대 최대실적을 달성했다고 1일 산업통상자원부가 밝혔다.</x:v>
      </x:c>
      <x:c r="H37" s="32" t="str">
        <x:v>6838억 달러</x:v>
      </x:c>
      <x:c r="I37" s="32" t="str">
        <x:v>KOSIS_VALUE</x:v>
      </x:c>
      <x:c r="J37" s="32" t="str">
        <x:v>국내공식통계</x:v>
      </x:c>
      <x:c r="K37" s="32" t="str">
        <x:v>hcx</x:v>
      </x:c>
      <x:c r="L37" s="32" t="str">
        <x:v>현재값</x:v>
      </x:c>
      <x:c r="M37" s="32" t="str">
        <x:v>수출액</x:v>
      </x:c>
      <x:c r="N37" s="32" t="str">
        <x:v>-</x:v>
      </x:c>
      <x:c r="O37" s="32" t="str">
        <x:v>683800000000.0</x:v>
      </x:c>
      <x:c r="P37" s="32" t="str">
        <x:v>달러</x:v>
      </x:c>
      <x:c r="Q37" s="32" t="str">
        <x:v>2024</x:v>
      </x:c>
      <x:c r="R37" s="32" t="str">
        <x:v>Y</x:v>
      </x:c>
      <x:c r="S37" s="32" t="str">
        <x:v>Y</x:v>
      </x:c>
      <x:c r="T37" s="32" t="str">
        <x:v>Y</x:v>
      </x:c>
      <x:c r="U37" s="32" t="str">
        <x:v>Y</x:v>
      </x:c>
      <x:c r="V37" s="32" t="str">
        <x:v>FULL_KOSIS</x:v>
      </x:c>
      <x:c r="W37" s="32" t="str">
        <x:v>360</x:v>
      </x:c>
      <x:c r="X37" s="32" t="str">
        <x:v>DT_1R11001_FRM101</x:v>
      </x:c>
      <x:c r="Y37" s="32" t="str">
        <x:v>품목별 수출액 수입액</x:v>
      </x:c>
      <x:c r="Z37" s="32" t="str">
        <x:v>13103112831T1</x:v>
      </x:c>
      <x:c r="AA37" s="32" t="str">
        <x:v>수출액</x:v>
      </x:c>
      <x:c r="AB37" s="32" t="str">
        <x:v>13102112831A.A</x:v>
      </x:c>
      <x:c r="AC37" s="32" t="str">
        <x:v>총액</x:v>
      </x:c>
      <x:c r="AD37" s="32" t="str">
        <x:v>Y</x:v>
      </x:c>
      <x:c r="AE37" s="32" t="str">
        <x:v>2024</x:v>
      </x:c>
      <x:c r="AF37" s="32" t="str">
        <x:v>N/A</x:v>
      </x:c>
      <x:c r="AG37" s="32" t="str">
        <x:v>수준값</x:v>
      </x:c>
      <x:c r="AH37" s="32" t="str">
        <x:v>DIRECT</x:v>
      </x:c>
      <x:c r="AI37" s="32" t="str">
        <x:v>천달러</x:v>
      </x:c>
      <x:c r="AJ37" s="32" t="str">
        <x:v>683609488.0</x:v>
      </x:c>
      <x:c r="AK37" s="32" t="str">
        <x:v>N/A</x:v>
      </x:c>
      <x:c r="AL37" s="32" t="str">
        <x:v>683609488000.0</x:v>
      </x:c>
      <x:c r="AM37" s="32" t="str">
        <x:v>683800000000.0</x:v>
      </x:c>
      <x:c r="AN37" s="32" t="str">
        <x:v>190512000.0</x:v>
      </x:c>
      <x:c r="AO37" s="32" t="str">
        <x:v>0.027860778005264698</x:v>
      </x:c>
      <x:c r="AP37" s="32" t="str">
        <x:v>relative_error&lt;=0.5%</x:v>
      </x:c>
      <x:c r="AQ37" s="32" t="str">
        <x:v>일치</x:v>
      </x:c>
      <x:c r="AR37" s="32" t="str">
        <x:v>ALTERNATE_RESOLVED</x:v>
      </x:c>
      <x:c r="AS37" s="32" t="str">
        <x:v>HIGH</x:v>
      </x:c>
      <x:c r="AT37" s="33" t="str">
        <x:v>MCP 총수출액 검색 1위; 국가별 표의 계와 값이 같은 공식 대체 좌표</x:v>
      </x:c>
      <x:c r="AU37" s="32" t="str">
        <x:v>https://kosis.kr/statHtml/statHtml.do?orgId=360&amp;tblId=DT_1R11001_FRM101&amp;vw_cd=MT_ZTITLE</x:v>
      </x:c>
      <x:c r="AV37" s="32" t="n">
        <x:v>46239</x:v>
      </x:c>
      <x:c r="AW37" s="32" t="str">
        <x:v>KOSIS_MCP_AUTO_V1</x:v>
      </x:c>
      <x:c r="AX37" s="32" t="str">
        <x:v>N</x:v>
      </x:c>
    </x:row>
    <x:row r="38">
      <x:c r="A38" s="32" t="str">
        <x:v>A0006-SP9282109973</x:v>
      </x:c>
      <x:c r="B38" s="32" t="str">
        <x:v>A0006-SP9282109973-m2</x:v>
      </x:c>
      <x:c r="C38" s="32" t="str">
        <x:v>A0006</x:v>
      </x:c>
      <x:c r="D38" s="32" t="str">
        <x:v>2024년 수출, 6838억달러로 ‘역대 최대’ 경신</x:v>
      </x:c>
      <x:c r="E38" s="32" t="str">
        <x:v>2025-01-01</x:v>
      </x:c>
      <x:c r="F38" s="32" t="str">
        <x:v>https://www.chosun.com/economy/industry-company/2025/01/01/2UPTGREAPRAWRG4XUBRMLONSKY</x:v>
      </x:c>
      <x:c r="G38" s="33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38" s="32" t="str">
        <x:v>1419억 달러</x:v>
      </x:c>
      <x:c r="I38" s="32" t="str">
        <x:v>KOSIS_VALUE</x:v>
      </x:c>
      <x:c r="J38" s="32" t="str">
        <x:v>국내공식통계</x:v>
      </x:c>
      <x:c r="K38" s="32" t="str">
        <x:v>hcx</x:v>
      </x:c>
      <x:c r="L38" s="32" t="str">
        <x:v>현재값</x:v>
      </x:c>
      <x:c r="M38" s="32" t="str">
        <x:v>반도체 수출액</x:v>
      </x:c>
      <x:c r="N38" s="32" t="str">
        <x:v>반도체</x:v>
      </x:c>
      <x:c r="O38" s="32" t="str">
        <x:v>141900000000.0</x:v>
      </x:c>
      <x:c r="P38" s="32" t="str">
        <x:v>달러</x:v>
      </x:c>
      <x:c r="Q38" s="32" t="str">
        <x:v>2024</x:v>
      </x:c>
      <x:c r="R38" s="32" t="str">
        <x:v>Y</x:v>
      </x:c>
      <x:c r="S38" s="32" t="str">
        <x:v>Y</x:v>
      </x:c>
      <x:c r="T38" s="32" t="str">
        <x:v>Y</x:v>
      </x:c>
      <x:c r="U38" s="32" t="str">
        <x:v>Y</x:v>
      </x:c>
      <x:c r="V38" s="32" t="str">
        <x:v>FULL_KOSIS</x:v>
      </x:c>
      <x:c r="W38" s="32" t="str">
        <x:v>127</x:v>
      </x:c>
      <x:c r="X38" s="32" t="str">
        <x:v>DT_127005_005</x:v>
      </x:c>
      <x:c r="Y38" s="32" t="str">
        <x:v>수출 및 수입액</x:v>
      </x:c>
      <x:c r="Z38" s="32" t="str">
        <x:v>T001</x:v>
      </x:c>
      <x:c r="AA38" s="32" t="str">
        <x:v>수출액</x:v>
      </x:c>
      <x:c r="AB38" s="32" t="str">
        <x:v>A020101</x:v>
      </x:c>
      <x:c r="AC38" s="32" t="str">
        <x:v>반도체</x:v>
      </x:c>
      <x:c r="AD38" s="32" t="str">
        <x:v>Y</x:v>
      </x:c>
      <x:c r="AE38" s="32" t="str">
        <x:v>2024</x:v>
      </x:c>
      <x:c r="AF38" s="32" t="str">
        <x:v>N/A</x:v>
      </x:c>
      <x:c r="AG38" s="32" t="str">
        <x:v>수준값</x:v>
      </x:c>
      <x:c r="AH38" s="32" t="str">
        <x:v>DIRECT</x:v>
      </x:c>
      <x:c r="AI38" s="32" t="str">
        <x:v>백만US$</x:v>
      </x:c>
      <x:c r="AJ38" s="32" t="str">
        <x:v>142086.0</x:v>
      </x:c>
      <x:c r="AK38" s="32" t="str">
        <x:v>N/A</x:v>
      </x:c>
      <x:c r="AL38" s="32" t="str">
        <x:v>142086000000.0</x:v>
      </x:c>
      <x:c r="AM38" s="32" t="str">
        <x:v>141900000000.0</x:v>
      </x:c>
      <x:c r="AN38" s="32" t="str">
        <x:v>186000000.0</x:v>
      </x:c>
      <x:c r="AO38" s="32" t="str">
        <x:v>0.13107822410147993</x:v>
      </x:c>
      <x:c r="AP38" s="32" t="str">
        <x:v>relative_error&lt;=0.5%</x:v>
      </x:c>
      <x:c r="AQ38" s="32" t="str">
        <x:v>일치</x:v>
      </x:c>
      <x:c r="AR38" s="32" t="str">
        <x:v>UNIQUE</x:v>
      </x:c>
      <x:c r="AS38" s="32" t="str">
        <x:v>HIGH</x:v>
      </x:c>
      <x:c r="AT38" s="33" t="str">
        <x:v>MCP 메타에 반도체와 수출액 코드가 직접 존재</x:v>
      </x:c>
      <x:c r="AU38" s="32" t="str">
        <x:v>https://kosis.kr/statHtml/statHtml.do?orgId=127&amp;tblId=DT_127005_005&amp;vw_cd=MT_ZTITLE</x:v>
      </x:c>
      <x:c r="AV38" s="32" t="n">
        <x:v>46239</x:v>
      </x:c>
      <x:c r="AW38" s="32" t="str">
        <x:v>KOSIS_MCP_AUTO_V1</x:v>
      </x:c>
      <x:c r="AX38" s="32" t="str">
        <x:v>N</x:v>
      </x:c>
    </x:row>
    <x:row r="39">
      <x:c r="A39" s="32" t="str">
        <x:v>A0006-SP9461F3F4FE</x:v>
      </x:c>
      <x:c r="B39" s="32" t="str">
        <x:v>A0006-SP9461F3F4FE-m2</x:v>
      </x:c>
      <x:c r="C39" s="32" t="str">
        <x:v>A0006</x:v>
      </x:c>
      <x:c r="D39" s="32" t="str">
        <x:v>2024년 수출, 6838억달러로 ‘역대 최대’ 경신</x:v>
      </x:c>
      <x:c r="E39" s="32" t="str">
        <x:v>2025-01-01</x:v>
      </x:c>
      <x:c r="F39" s="32" t="str">
        <x:v>https://www.chosun.com/economy/industry-company/2025/01/01/2UPTGREAPRAWRG4XUBRMLONSKY</x:v>
      </x:c>
      <x:c r="G39" s="33" t="str">
        <x:v>◇12월 수출 6.6% 늘어난 614억달러...수출 증가율 5개월 만에 반등 한편 이날 동시에 발표된 지난 12월 수출액은 614억달러로 전년 동월 대비 6.6% 증가했다.</x:v>
      </x:c>
      <x:c r="H39" s="32" t="str">
        <x:v>6.6%</x:v>
      </x:c>
      <x:c r="I39" s="32" t="str">
        <x:v>KOSIS_VALUE</x:v>
      </x:c>
      <x:c r="J39" s="32" t="str">
        <x:v>국내공식통계</x:v>
      </x:c>
      <x:c r="K39" s="32" t="str">
        <x:v>hcx</x:v>
      </x:c>
      <x:c r="L39" s="32" t="str">
        <x:v>증감률</x:v>
      </x:c>
      <x:c r="M39" s="32" t="str">
        <x:v>수출 증가율</x:v>
      </x:c>
      <x:c r="N39" s="32" t="str">
        <x:v>-</x:v>
      </x:c>
      <x:c r="O39" s="32" t="str">
        <x:v>6.6</x:v>
      </x:c>
      <x:c r="P39" s="32" t="str">
        <x:v>%</x:v>
      </x:c>
      <x:c r="Q39" s="32" t="str">
        <x:v>2024</x:v>
      </x:c>
      <x:c r="R39" s="32" t="str">
        <x:v>M</x:v>
      </x:c>
      <x:c r="S39" s="32" t="str">
        <x:v>Y</x:v>
      </x:c>
      <x:c r="T39" s="32" t="str">
        <x:v>Y</x:v>
      </x:c>
      <x:c r="U39" s="32" t="str">
        <x:v>Y</x:v>
      </x:c>
      <x:c r="V39" s="32" t="str">
        <x:v>FULL_KOSIS</x:v>
      </x:c>
      <x:c r="W39" s="32" t="str">
        <x:v>360</x:v>
      </x:c>
      <x:c r="X39" s="32" t="str">
        <x:v>DT_1R11001_FRM101</x:v>
      </x:c>
      <x:c r="Y39" s="32" t="str">
        <x:v>품목별 수출액 수입액</x:v>
      </x:c>
      <x:c r="Z39" s="32" t="str">
        <x:v>13103112831T1</x:v>
      </x:c>
      <x:c r="AA39" s="32" t="str">
        <x:v>수출액</x:v>
      </x:c>
      <x:c r="AB39" s="32" t="str">
        <x:v>13102112831A.A</x:v>
      </x:c>
      <x:c r="AC39" s="32" t="str">
        <x:v>총액</x:v>
      </x:c>
      <x:c r="AD39" s="32" t="str">
        <x:v>M</x:v>
      </x:c>
      <x:c r="AE39" s="32" t="str">
        <x:v>202412</x:v>
      </x:c>
      <x:c r="AF39" s="32" t="str">
        <x:v>202312</x:v>
      </x:c>
      <x:c r="AG39" s="32" t="str">
        <x:v>증감률</x:v>
      </x:c>
      <x:c r="AH39" s="32" t="str">
        <x:v>YOY_FROM_LEVEL</x:v>
      </x:c>
      <x:c r="AI39" s="32" t="str">
        <x:v>천달러</x:v>
      </x:c>
      <x:c r="AJ39" s="32" t="str">
        <x:v>61359250.0</x:v>
      </x:c>
      <x:c r="AK39" s="32" t="str">
        <x:v>57573193.0</x:v>
      </x:c>
      <x:c r="AL39" s="32" t="str">
        <x:v>6.576076126262453</x:v>
      </x:c>
      <x:c r="AM39" s="32" t="str">
        <x:v>6.6</x:v>
      </x:c>
      <x:c r="AN39" s="32" t="str">
        <x:v>0.02392387373754623</x:v>
      </x:c>
      <x:c r="AO39" s="32" t="str">
        <x:v>0.36248293541736715</x:v>
      </x:c>
      <x:c r="AP39" s="32" t="str">
        <x:v>absolute_error&lt;=0.5%p</x:v>
      </x:c>
      <x:c r="AQ39" s="32" t="str">
        <x:v>일치</x:v>
      </x:c>
      <x:c r="AR39" s="32" t="str">
        <x:v>ALTERNATE_RESOLVED</x:v>
      </x:c>
      <x:c r="AS39" s="32" t="str">
        <x:v>HIGH</x:v>
      </x:c>
      <x:c r="AT39" s="33" t="str">
        <x:v>기사의 지난 12월을 202412로 정규화하고 전년동월 값으로 계산</x:v>
      </x:c>
      <x:c r="AU39" s="32" t="str">
        <x:v>https://kosis.kr/statHtml/statHtml.do?orgId=360&amp;tblId=DT_1R11001_FRM101&amp;vw_cd=MT_ZTITLE</x:v>
      </x:c>
      <x:c r="AV39" s="32" t="n">
        <x:v>46239</x:v>
      </x:c>
      <x:c r="AW39" s="32" t="str">
        <x:v>KOSIS_MCP_AUTO_V1</x:v>
      </x:c>
      <x:c r="AX39" s="32" t="str">
        <x:v>N</x:v>
      </x:c>
    </x:row>
    <x:row r="40">
      <x:c r="A40" s="32" t="str">
        <x:v>A0006-SPA4FBC97BC2</x:v>
      </x:c>
      <x:c r="B40" s="32" t="str">
        <x:v>A0006-SPA4FBC97BC2-m5</x:v>
      </x:c>
      <x:c r="C40" s="32" t="str">
        <x:v>A0006</x:v>
      </x:c>
      <x:c r="D40" s="32" t="str">
        <x:v>2024년 수출, 6838억달러로 ‘역대 최대’ 경신</x:v>
      </x:c>
      <x:c r="E40" s="32" t="str">
        <x:v>2025-01-01</x:v>
      </x:c>
      <x:c r="F40" s="32" t="str">
        <x:v>https://www.chosun.com/economy/industry-company/2025/01/01/2UPTGREAPRAWRG4XUBRMLONSKY</x:v>
      </x:c>
      <x:c r="G40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</x:v>
      </x:c>
      <x:c r="H40" s="32" t="str">
        <x:v>102억 달러</x:v>
      </x:c>
      <x:c r="I40" s="32" t="str">
        <x:v>KOSIS_VALUE</x:v>
      </x:c>
      <x:c r="J40" s="32" t="str">
        <x:v>국내공식통계</x:v>
      </x:c>
      <x:c r="K40" s="32" t="str">
        <x:v>hcx</x:v>
      </x:c>
      <x:c r="L40" s="32" t="str">
        <x:v>현재값</x:v>
      </x:c>
      <x:c r="M40" s="32" t="str">
        <x:v>화장품 수출액</x:v>
      </x:c>
      <x:c r="N40" s="32" t="str">
        <x:v>화장품</x:v>
      </x:c>
      <x:c r="O40" s="32" t="str">
        <x:v>10200000000.0</x:v>
      </x:c>
      <x:c r="P40" s="32" t="str">
        <x:v>달러</x:v>
      </x:c>
      <x:c r="Q40" s="32" t="str">
        <x:v>2024</x:v>
      </x:c>
      <x:c r="R40" s="32" t="str">
        <x:v>Y</x:v>
      </x:c>
      <x:c r="S40" s="32" t="str">
        <x:v>Y</x:v>
      </x:c>
      <x:c r="T40" s="32" t="str">
        <x:v>Y</x:v>
      </x:c>
      <x:c r="U40" s="32" t="str">
        <x:v>Y</x:v>
      </x:c>
      <x:c r="V40" s="32" t="str">
        <x:v>FULL_KOSIS</x:v>
      </x:c>
      <x:c r="W40" s="32" t="str">
        <x:v>145</x:v>
      </x:c>
      <x:c r="X40" s="32" t="str">
        <x:v>DT_145011_A006</x:v>
      </x:c>
      <x:c r="Y40" s="32" t="str">
        <x:v>화장품 수입 및 수출액 현황</x:v>
      </x:c>
      <x:c r="Z40" s="32" t="str">
        <x:v>T002</x:v>
      </x:c>
      <x:c r="AA40" s="32" t="str">
        <x:v>수출액</x:v>
      </x:c>
      <x:c r="AB40" s="32" t="str">
        <x:v>DATA</x:v>
      </x:c>
      <x:c r="AC40" s="32" t="str">
        <x:v>데이터</x:v>
      </x:c>
      <x:c r="AD40" s="32" t="str">
        <x:v>Y</x:v>
      </x:c>
      <x:c r="AE40" s="32" t="str">
        <x:v>2024</x:v>
      </x:c>
      <x:c r="AF40" s="32" t="str">
        <x:v>N/A</x:v>
      </x:c>
      <x:c r="AG40" s="32" t="str">
        <x:v>수준값</x:v>
      </x:c>
      <x:c r="AH40" s="32" t="str">
        <x:v>DIRECT</x:v>
      </x:c>
      <x:c r="AI40" s="32" t="str">
        <x:v>천$</x:v>
      </x:c>
      <x:c r="AJ40" s="32" t="str">
        <x:v>10177312.0</x:v>
      </x:c>
      <x:c r="AK40" s="32" t="str">
        <x:v>N/A</x:v>
      </x:c>
      <x:c r="AL40" s="32" t="str">
        <x:v>10177312000.0</x:v>
      </x:c>
      <x:c r="AM40" s="32" t="str">
        <x:v>10200000000.0</x:v>
      </x:c>
      <x:c r="AN40" s="32" t="str">
        <x:v>22688000.0</x:v>
      </x:c>
      <x:c r="AO40" s="32" t="str">
        <x:v>0.2224313725490196</x:v>
      </x:c>
      <x:c r="AP40" s="32" t="str">
        <x:v>relative_error&lt;=0.5%</x:v>
      </x:c>
      <x:c r="AQ40" s="32" t="str">
        <x:v>일치</x:v>
      </x:c>
      <x:c r="AR40" s="32" t="str">
        <x:v>UNIQUE</x:v>
      </x:c>
      <x:c r="AS40" s="32" t="str">
        <x:v>HIGH</x:v>
      </x:c>
      <x:c r="AT40" s="33" t="str">
        <x:v>MCP 검증에서 화장품산업현황의 수출액 항목으로 확인</x:v>
      </x:c>
      <x:c r="AU40" s="32" t="str">
        <x:v>https://kosis.kr/statHtml/statHtml.do?orgId=145&amp;tblId=DT_145011_A006&amp;vw_cd=MT_ZTITLE</x:v>
      </x:c>
      <x:c r="AV40" s="32" t="n">
        <x:v>46239</x:v>
      </x:c>
      <x:c r="AW40" s="32" t="str">
        <x:v>KOSIS_MCP_AUTO_V1</x:v>
      </x:c>
      <x:c r="AX40" s="32" t="str">
        <x:v>N</x:v>
      </x:c>
    </x:row>
    <x:row r="41">
      <x:c r="A41" s="32" t="str">
        <x:v>A0009-CG0211</x:v>
      </x:c>
      <x:c r="B41" s="32" t="str">
        <x:v>A0009-CG0211-m1</x:v>
      </x:c>
      <x:c r="C41" s="32" t="str">
        <x:v>A0009</x:v>
      </x:c>
      <x:c r="D41" s="32" t="str">
        <x:v>승객 수는 더 많은 LCC, 정비사는 대형 항공사의 38%</x:v>
      </x:c>
      <x:c r="E41" s="32" t="str">
        <x:v>2025-01-01</x:v>
      </x:c>
      <x:c r="F41" s="32" t="str">
        <x:v>https://www.chosun.com/economy/industry-company/2025/01/01/PVCPHJRE7RDT7L2ZG2LDED5NNA</x:v>
      </x:c>
      <x:c r="G41" s="33" t="str">
        <x:v>7 2023년 국적기로 국제선을 이용한 여객 4720만여 명 가운데 저비용항공사(LCC) 이용객이 2419만여 명으로 대형항공사(대한항공·아시아나항공) 이용객 2300만여 명을 처음으로 넘어섰다.</x:v>
      </x:c>
      <x:c r="H41" s="32" t="str">
        <x:v>2300만여 명</x:v>
      </x:c>
      <x:c r="I41" s="32" t="str">
        <x:v>KOSIS_VALUE</x:v>
      </x:c>
      <x:c r="J41" s="32" t="str">
        <x:v>국내공식통계</x:v>
      </x:c>
      <x:c r="K41" s="32" t="str">
        <x:v>codex_common_codebook</x:v>
      </x:c>
      <x:c r="L41" s="32" t="str">
        <x:v>현재값</x:v>
      </x:c>
      <x:c r="M41" s="32" t="str">
        <x:v>대형항공사 이용객 수</x:v>
      </x:c>
      <x:c r="N41" s="32" t="str">
        <x:v>대형항공사 이용객 수</x:v>
      </x:c>
      <x:c r="O41" s="32" t="str">
        <x:v>23000000</x:v>
      </x:c>
      <x:c r="P41" s="32" t="str">
        <x:v>명</x:v>
      </x:c>
      <x:c r="Q41" s="32" t="str">
        <x:v>2023</x:v>
      </x:c>
      <x:c r="R41" s="32" t="str">
        <x:v>Y</x:v>
      </x:c>
      <x:c r="S41" s="32" t="str">
        <x:v>Y</x:v>
      </x:c>
      <x:c r="T41" s="32" t="str">
        <x:v>Y</x:v>
      </x:c>
      <x:c r="U41" s="32" t="str">
        <x:v>Y</x:v>
      </x:c>
      <x:c r="V41" s="32" t="str">
        <x:v>CODEBOOK_KOSIS</x:v>
      </x:c>
      <x:c r="W41" s="32" t="str">
        <x:v>381</x:v>
      </x:c>
      <x:c r="X41" s="32" t="str">
        <x:v>DT_920005_B008</x:v>
      </x:c>
      <x:c r="Y41" s="32" t="str">
        <x:v>항공사별 통계</x:v>
      </x:c>
      <x:c r="Z41" s="32" t="str">
        <x:v>N/A</x:v>
      </x:c>
      <x:c r="AA41" s="32" t="str">
        <x:v>N/A</x:v>
      </x:c>
      <x:c r="AB41" s="32" t="str">
        <x:v>N/A</x:v>
      </x:c>
      <x:c r="AC41" s="32" t="str">
        <x:v>N/A</x:v>
      </x:c>
      <x:c r="AD41" s="32" t="str">
        <x:v>Y</x:v>
      </x:c>
      <x:c r="AE41" s="32" t="str">
        <x:v>2023</x:v>
      </x:c>
      <x:c r="AF41" s="32" t="str">
        <x:v>N/A</x:v>
      </x:c>
      <x:c r="AG41" s="32" t="str">
        <x:v>현재값</x:v>
      </x:c>
      <x:c r="AH41" s="32" t="str">
        <x:v>TABLE_SERIES_LABEL</x:v>
      </x:c>
      <x:c r="AI41" s="32" t="str">
        <x:v>N/A</x:v>
      </x:c>
      <x:c r="AJ41" s="32" t="str">
        <x:v>N/A</x:v>
      </x:c>
      <x:c r="AK41" s="32" t="str">
        <x:v>N/A</x:v>
      </x:c>
      <x:c r="AL41" s="32" t="str">
        <x:v>N/A</x:v>
      </x:c>
      <x:c r="AM41" s="32" t="str">
        <x:v>23000000</x:v>
      </x:c>
      <x:c r="AN41" s="32" t="str">
        <x:v>N/A</x:v>
      </x:c>
      <x:c r="AO41" s="32" t="str">
        <x:v>N/A</x:v>
      </x:c>
      <x:c r="AP41" s="32" t="str">
        <x:v>N/A</x:v>
      </x:c>
      <x:c r="AQ41" s="32" t="str">
        <x:v>값검증대기</x:v>
      </x:c>
      <x:c r="AR41" s="32" t="str">
        <x:v>TABLE_ONLY</x:v>
      </x:c>
      <x:c r="AS41" s="32" t="str">
        <x:v>HIGH</x:v>
      </x:c>
      <x:c r="AT41" s="33" t="str">
        <x:v>READY:AVIATION_OFFICIAL_SERIES; 잠긴 Codex 공통 골드에서 측정·검증 가능 판정, KOSIS MCP로 통계표명 재확인, 세부 항목·분류·실제값은 미확정.</x:v>
      </x:c>
      <x:c r="AU41" s="32" t="str">
        <x:v>https://kosis.kr/statHtml/statHtml.do?orgId=381&amp;tblId=DT_920005_B008&amp;vw_cd=MT_ZTITLE</x:v>
      </x:c>
      <x:c r="AV41" s="32" t="n">
        <x:v>46239.31775462963</x:v>
      </x:c>
      <x:c r="AW41" s="32" t="str">
        <x:v>CODEX_COMMON_GOLD_V1+KOSIS_MCP_TABLE_INFO_200</x:v>
      </x:c>
      <x:c r="AX41" s="32" t="str">
        <x:v>N</x:v>
      </x:c>
    </x:row>
    <x:row r="42">
      <x:c r="A42" s="32" t="str">
        <x:v>A0009-CG0212</x:v>
      </x:c>
      <x:c r="B42" s="32" t="str">
        <x:v>A0009-CG0212-m1</x:v>
      </x:c>
      <x:c r="C42" s="32" t="str">
        <x:v>A0009</x:v>
      </x:c>
      <x:c r="D42" s="32" t="str">
        <x:v>승객 수는 더 많은 LCC, 정비사는 대형 항공사의 38%</x:v>
      </x:c>
      <x:c r="E42" s="32" t="str">
        <x:v>2025-01-01</x:v>
      </x:c>
      <x:c r="F42" s="32" t="str">
        <x:v>https://www.chosun.com/economy/industry-company/2025/01/01/PVCPHJRE7RDT7L2ZG2LDED5NNA</x:v>
      </x:c>
      <x:c r="G42" s="33" t="str">
        <x:v>7 2023년 국적기로 국제선을 이용한 여객 4720만여 명 가운데 저비용항공사(LCC) 이용객이 2419만여 명으로 대형항공사(대한항공·아시아나항공) 이용객 2300만여 명을 처음으로 넘어섰다.</x:v>
      </x:c>
      <x:c r="H42" s="32" t="str">
        <x:v>2419만여 명</x:v>
      </x:c>
      <x:c r="I42" s="32" t="str">
        <x:v>KOSIS_VALUE</x:v>
      </x:c>
      <x:c r="J42" s="32" t="str">
        <x:v>국내공식통계</x:v>
      </x:c>
      <x:c r="K42" s="32" t="str">
        <x:v>codex_common_codebook</x:v>
      </x:c>
      <x:c r="L42" s="32" t="str">
        <x:v>현재값</x:v>
      </x:c>
      <x:c r="M42" s="32" t="str">
        <x:v>LCC 이용객 수</x:v>
      </x:c>
      <x:c r="N42" s="32" t="str">
        <x:v>LCC</x:v>
      </x:c>
      <x:c r="O42" s="32" t="str">
        <x:v>24190000</x:v>
      </x:c>
      <x:c r="P42" s="32" t="str">
        <x:v>명</x:v>
      </x:c>
      <x:c r="Q42" s="32" t="str">
        <x:v>2023</x:v>
      </x:c>
      <x:c r="R42" s="32" t="str">
        <x:v>Y</x:v>
      </x:c>
      <x:c r="S42" s="32" t="str">
        <x:v>Y</x:v>
      </x:c>
      <x:c r="T42" s="32" t="str">
        <x:v>Y</x:v>
      </x:c>
      <x:c r="U42" s="32" t="str">
        <x:v>Y</x:v>
      </x:c>
      <x:c r="V42" s="32" t="str">
        <x:v>CODEBOOK_KOSIS</x:v>
      </x:c>
      <x:c r="W42" s="32" t="str">
        <x:v>381</x:v>
      </x:c>
      <x:c r="X42" s="32" t="str">
        <x:v>DT_920005_B008</x:v>
      </x:c>
      <x:c r="Y42" s="32" t="str">
        <x:v>항공사별 통계</x:v>
      </x:c>
      <x:c r="Z42" s="32" t="str">
        <x:v>N/A</x:v>
      </x:c>
      <x:c r="AA42" s="32" t="str">
        <x:v>N/A</x:v>
      </x:c>
      <x:c r="AB42" s="32" t="str">
        <x:v>N/A</x:v>
      </x:c>
      <x:c r="AC42" s="32" t="str">
        <x:v>N/A</x:v>
      </x:c>
      <x:c r="AD42" s="32" t="str">
        <x:v>Y</x:v>
      </x:c>
      <x:c r="AE42" s="32" t="str">
        <x:v>2023</x:v>
      </x:c>
      <x:c r="AF42" s="32" t="str">
        <x:v>N/A</x:v>
      </x:c>
      <x:c r="AG42" s="32" t="str">
        <x:v>현재값</x:v>
      </x:c>
      <x:c r="AH42" s="32" t="str">
        <x:v>TABLE_SERIES_LABEL</x:v>
      </x:c>
      <x:c r="AI42" s="32" t="str">
        <x:v>N/A</x:v>
      </x:c>
      <x:c r="AJ42" s="32" t="str">
        <x:v>N/A</x:v>
      </x:c>
      <x:c r="AK42" s="32" t="str">
        <x:v>N/A</x:v>
      </x:c>
      <x:c r="AL42" s="32" t="str">
        <x:v>N/A</x:v>
      </x:c>
      <x:c r="AM42" s="32" t="str">
        <x:v>24190000</x:v>
      </x:c>
      <x:c r="AN42" s="32" t="str">
        <x:v>N/A</x:v>
      </x:c>
      <x:c r="AO42" s="32" t="str">
        <x:v>N/A</x:v>
      </x:c>
      <x:c r="AP42" s="32" t="str">
        <x:v>N/A</x:v>
      </x:c>
      <x:c r="AQ42" s="32" t="str">
        <x:v>값검증대기</x:v>
      </x:c>
      <x:c r="AR42" s="32" t="str">
        <x:v>TABLE_ONLY</x:v>
      </x:c>
      <x:c r="AS42" s="32" t="str">
        <x:v>HIGH</x:v>
      </x:c>
      <x:c r="AT42" s="33" t="str">
        <x:v>READY:AVIATION_OFFICIAL_SERIES; 잠긴 Codex 공통 골드에서 측정·검증 가능 판정, KOSIS MCP로 통계표명 재확인, 세부 항목·분류·실제값은 미확정.</x:v>
      </x:c>
      <x:c r="AU42" s="32" t="str">
        <x:v>https://kosis.kr/statHtml/statHtml.do?orgId=381&amp;tblId=DT_920005_B008&amp;vw_cd=MT_ZTITLE</x:v>
      </x:c>
      <x:c r="AV42" s="32" t="n">
        <x:v>46239.31775462963</x:v>
      </x:c>
      <x:c r="AW42" s="32" t="str">
        <x:v>CODEX_COMMON_GOLD_V1+KOSIS_MCP_TABLE_INFO_200</x:v>
      </x:c>
      <x:c r="AX42" s="32" t="str">
        <x:v>N</x:v>
      </x:c>
    </x:row>
    <x:row r="43">
      <x:c r="A43" s="32" t="str">
        <x:v>A0009-CG0213</x:v>
      </x:c>
      <x:c r="B43" s="32" t="str">
        <x:v>A0009-CG0213-m1</x:v>
      </x:c>
      <x:c r="C43" s="32" t="str">
        <x:v>A0009</x:v>
      </x:c>
      <x:c r="D43" s="32" t="str">
        <x:v>승객 수는 더 많은 LCC, 정비사는 대형 항공사의 38%</x:v>
      </x:c>
      <x:c r="E43" s="32" t="str">
        <x:v>2025-01-01</x:v>
      </x:c>
      <x:c r="F43" s="32" t="str">
        <x:v>https://www.chosun.com/economy/industry-company/2025/01/01/PVCPHJRE7RDT7L2ZG2LDED5NNA</x:v>
      </x:c>
      <x:c r="G43" s="33" t="str">
        <x:v>7 2023년 국적기로 국제선을 이용한 여객 4720만여 명 가운데 저비용항공사(LCC) 이용객이 2419만여 명으로 대형항공사(대한항공·아시아나항공) 이용객 2300만여 명을 처음으로 넘어섰다.</x:v>
      </x:c>
      <x:c r="H43" s="32" t="str">
        <x:v>4720만여 명</x:v>
      </x:c>
      <x:c r="I43" s="32" t="str">
        <x:v>KOSIS_VALUE</x:v>
      </x:c>
      <x:c r="J43" s="32" t="str">
        <x:v>국내공식통계</x:v>
      </x:c>
      <x:c r="K43" s="32" t="str">
        <x:v>codex_common_codebook</x:v>
      </x:c>
      <x:c r="L43" s="32" t="str">
        <x:v>현재값</x:v>
      </x:c>
      <x:c r="M43" s="32" t="str">
        <x:v>국제선 이용객 수</x:v>
      </x:c>
      <x:c r="N43" s="32" t="str">
        <x:v>LCC, 대형항공사</x:v>
      </x:c>
      <x:c r="O43" s="32" t="str">
        <x:v>47200000</x:v>
      </x:c>
      <x:c r="P43" s="32" t="str">
        <x:v>명</x:v>
      </x:c>
      <x:c r="Q43" s="32" t="str">
        <x:v>2023</x:v>
      </x:c>
      <x:c r="R43" s="32" t="str">
        <x:v>Y</x:v>
      </x:c>
      <x:c r="S43" s="32" t="str">
        <x:v>Y</x:v>
      </x:c>
      <x:c r="T43" s="32" t="str">
        <x:v>Y</x:v>
      </x:c>
      <x:c r="U43" s="32" t="str">
        <x:v>Y</x:v>
      </x:c>
      <x:c r="V43" s="32" t="str">
        <x:v>CODEBOOK_KOSIS</x:v>
      </x:c>
      <x:c r="W43" s="32" t="str">
        <x:v>381</x:v>
      </x:c>
      <x:c r="X43" s="32" t="str">
        <x:v>DT_920005_B008</x:v>
      </x:c>
      <x:c r="Y43" s="32" t="str">
        <x:v>항공사별 통계</x:v>
      </x:c>
      <x:c r="Z43" s="32" t="str">
        <x:v>N/A</x:v>
      </x:c>
      <x:c r="AA43" s="32" t="str">
        <x:v>N/A</x:v>
      </x:c>
      <x:c r="AB43" s="32" t="str">
        <x:v>N/A</x:v>
      </x:c>
      <x:c r="AC43" s="32" t="str">
        <x:v>N/A</x:v>
      </x:c>
      <x:c r="AD43" s="32" t="str">
        <x:v>Y</x:v>
      </x:c>
      <x:c r="AE43" s="32" t="str">
        <x:v>2023</x:v>
      </x:c>
      <x:c r="AF43" s="32" t="str">
        <x:v>N/A</x:v>
      </x:c>
      <x:c r="AG43" s="32" t="str">
        <x:v>현재값</x:v>
      </x:c>
      <x:c r="AH43" s="32" t="str">
        <x:v>TABLE_SERIES_LABEL</x:v>
      </x:c>
      <x:c r="AI43" s="32" t="str">
        <x:v>N/A</x:v>
      </x:c>
      <x:c r="AJ43" s="32" t="str">
        <x:v>N/A</x:v>
      </x:c>
      <x:c r="AK43" s="32" t="str">
        <x:v>N/A</x:v>
      </x:c>
      <x:c r="AL43" s="32" t="str">
        <x:v>N/A</x:v>
      </x:c>
      <x:c r="AM43" s="32" t="str">
        <x:v>47200000</x:v>
      </x:c>
      <x:c r="AN43" s="32" t="str">
        <x:v>N/A</x:v>
      </x:c>
      <x:c r="AO43" s="32" t="str">
        <x:v>N/A</x:v>
      </x:c>
      <x:c r="AP43" s="32" t="str">
        <x:v>N/A</x:v>
      </x:c>
      <x:c r="AQ43" s="32" t="str">
        <x:v>값검증대기</x:v>
      </x:c>
      <x:c r="AR43" s="32" t="str">
        <x:v>TABLE_ONLY</x:v>
      </x:c>
      <x:c r="AS43" s="32" t="str">
        <x:v>HIGH</x:v>
      </x:c>
      <x:c r="AT43" s="33" t="str">
        <x:v>READY:AVIATION_OFFICIAL_SERIES; 잠긴 Codex 공통 골드에서 측정·검증 가능 판정, KOSIS MCP로 통계표명 재확인, 세부 항목·분류·실제값은 미확정.</x:v>
      </x:c>
      <x:c r="AU43" s="32" t="str">
        <x:v>https://kosis.kr/statHtml/statHtml.do?orgId=381&amp;tblId=DT_920005_B008&amp;vw_cd=MT_ZTITLE</x:v>
      </x:c>
      <x:c r="AV43" s="32" t="n">
        <x:v>46239.31775462963</x:v>
      </x:c>
      <x:c r="AW43" s="32" t="str">
        <x:v>CODEX_COMMON_GOLD_V1+KOSIS_MCP_TABLE_INFO_200</x:v>
      </x:c>
      <x:c r="AX43" s="32" t="str">
        <x:v>N</x:v>
      </x:c>
    </x:row>
    <x:row r="44">
      <x:c r="A44" s="32" t="str">
        <x:v>A0009-CG0214</x:v>
      </x:c>
      <x:c r="B44" s="32" t="str">
        <x:v>A0009-CG0214-m1</x:v>
      </x:c>
      <x:c r="C44" s="32" t="str">
        <x:v>A0009</x:v>
      </x:c>
      <x:c r="D44" s="32" t="str">
        <x:v>승객 수는 더 많은 LCC, 정비사는 대형 항공사의 38%</x:v>
      </x:c>
      <x:c r="E44" s="32" t="str">
        <x:v>2025-01-01</x:v>
      </x:c>
      <x:c r="F44" s="32" t="str">
        <x:v>https://www.chosun.com/economy/industry-company/2025/01/01/PVCPHJRE7RDT7L2ZG2LDED5NNA</x:v>
      </x:c>
      <x:c r="G44" s="33" t="str">
        <x:v>7 2023년 국적기로 국제선을 이용한 여객 4720만여 명 가운데 저비용항공사(LCC) 이용객이 2419만여 명으로 대형항공사(대한항공·아시아나항공) 이용객 2300만여 명을 처음으로 넘어섰다.</x:v>
      </x:c>
      <x:c r="H44" s="32" t="str">
        <x:v>4720만여 명</x:v>
      </x:c>
      <x:c r="I44" s="32" t="str">
        <x:v>KOSIS_VALUE</x:v>
      </x:c>
      <x:c r="J44" s="32" t="str">
        <x:v>국내공식통계</x:v>
      </x:c>
      <x:c r="K44" s="32" t="str">
        <x:v>codex_common_codebook</x:v>
      </x:c>
      <x:c r="L44" s="32" t="str">
        <x:v>현재값</x:v>
      </x:c>
      <x:c r="M44" s="32" t="str">
        <x:v>국제선 여객 수</x:v>
      </x:c>
      <x:c r="N44" s="32" t="str">
        <x:v>국제선 여객 수</x:v>
      </x:c>
      <x:c r="O44" s="32" t="str">
        <x:v>47200000</x:v>
      </x:c>
      <x:c r="P44" s="32" t="str">
        <x:v>명</x:v>
      </x:c>
      <x:c r="Q44" s="32" t="str">
        <x:v>2023</x:v>
      </x:c>
      <x:c r="R44" s="32" t="str">
        <x:v>Y</x:v>
      </x:c>
      <x:c r="S44" s="32" t="str">
        <x:v>Y</x:v>
      </x:c>
      <x:c r="T44" s="32" t="str">
        <x:v>Y</x:v>
      </x:c>
      <x:c r="U44" s="32" t="str">
        <x:v>Y</x:v>
      </x:c>
      <x:c r="V44" s="32" t="str">
        <x:v>CODEBOOK_KOSIS</x:v>
      </x:c>
      <x:c r="W44" s="32" t="str">
        <x:v>381</x:v>
      </x:c>
      <x:c r="X44" s="32" t="str">
        <x:v>DT_920005_B008</x:v>
      </x:c>
      <x:c r="Y44" s="32" t="str">
        <x:v>항공사별 통계</x:v>
      </x:c>
      <x:c r="Z44" s="32" t="str">
        <x:v>N/A</x:v>
      </x:c>
      <x:c r="AA44" s="32" t="str">
        <x:v>N/A</x:v>
      </x:c>
      <x:c r="AB44" s="32" t="str">
        <x:v>N/A</x:v>
      </x:c>
      <x:c r="AC44" s="32" t="str">
        <x:v>N/A</x:v>
      </x:c>
      <x:c r="AD44" s="32" t="str">
        <x:v>Y</x:v>
      </x:c>
      <x:c r="AE44" s="32" t="str">
        <x:v>2023</x:v>
      </x:c>
      <x:c r="AF44" s="32" t="str">
        <x:v>N/A</x:v>
      </x:c>
      <x:c r="AG44" s="32" t="str">
        <x:v>현재값</x:v>
      </x:c>
      <x:c r="AH44" s="32" t="str">
        <x:v>TABLE_SERIES_LABEL</x:v>
      </x:c>
      <x:c r="AI44" s="32" t="str">
        <x:v>N/A</x:v>
      </x:c>
      <x:c r="AJ44" s="32" t="str">
        <x:v>N/A</x:v>
      </x:c>
      <x:c r="AK44" s="32" t="str">
        <x:v>N/A</x:v>
      </x:c>
      <x:c r="AL44" s="32" t="str">
        <x:v>N/A</x:v>
      </x:c>
      <x:c r="AM44" s="32" t="str">
        <x:v>47200000</x:v>
      </x:c>
      <x:c r="AN44" s="32" t="str">
        <x:v>N/A</x:v>
      </x:c>
      <x:c r="AO44" s="32" t="str">
        <x:v>N/A</x:v>
      </x:c>
      <x:c r="AP44" s="32" t="str">
        <x:v>N/A</x:v>
      </x:c>
      <x:c r="AQ44" s="32" t="str">
        <x:v>값검증대기</x:v>
      </x:c>
      <x:c r="AR44" s="32" t="str">
        <x:v>TABLE_ONLY</x:v>
      </x:c>
      <x:c r="AS44" s="32" t="str">
        <x:v>HIGH</x:v>
      </x:c>
      <x:c r="AT44" s="33" t="str">
        <x:v>READY:AVIATION_OFFICIAL_SERIES; 잠긴 Codex 공통 골드에서 측정·검증 가능 판정, KOSIS MCP로 통계표명 재확인, 세부 항목·분류·실제값은 미확정.</x:v>
      </x:c>
      <x:c r="AU44" s="32" t="str">
        <x:v>https://kosis.kr/statHtml/statHtml.do?orgId=381&amp;tblId=DT_920005_B008&amp;vw_cd=MT_ZTITLE</x:v>
      </x:c>
      <x:c r="AV44" s="32" t="n">
        <x:v>46239.31775462963</x:v>
      </x:c>
      <x:c r="AW44" s="32" t="str">
        <x:v>CODEX_COMMON_GOLD_V1+KOSIS_MCP_TABLE_INFO_200</x:v>
      </x:c>
      <x:c r="AX44" s="32" t="str">
        <x:v>N</x:v>
      </x:c>
    </x:row>
    <x:row r="45">
      <x:c r="A45" s="32" t="str">
        <x:v>A0009-CG0216</x:v>
      </x:c>
      <x:c r="B45" s="32" t="str">
        <x:v>A0009-CG0216-m1</x:v>
      </x:c>
      <x:c r="C45" s="32" t="str">
        <x:v>A0009</x:v>
      </x:c>
      <x:c r="D45" s="32" t="str">
        <x:v>승객 수는 더 많은 LCC, 정비사는 대형 항공사의 38%</x:v>
      </x:c>
      <x:c r="E45" s="32" t="str">
        <x:v>2025-01-01</x:v>
      </x:c>
      <x:c r="F45" s="32" t="str">
        <x:v>https://www.chosun.com/economy/industry-company/2025/01/01/PVCPHJRE7RDT7L2ZG2LDED5NNA</x:v>
      </x:c>
      <x:c r="G45" s="33" t="str">
        <x:v>이를 각 사의 항공기 보유 대수로 나눠보면, 대형항공사들은 대당 16~18명 수준의 정비사를 보유하고 있지만 LCC는 10.6명이었다.</x:v>
      </x:c>
      <x:c r="H45" s="32" t="str">
        <x:v>16명</x:v>
      </x:c>
      <x:c r="I45" s="32" t="str">
        <x:v>KOSIS_VALUE</x:v>
      </x:c>
      <x:c r="J45" s="32" t="str">
        <x:v>국내공식통계</x:v>
      </x:c>
      <x:c r="K45" s="32" t="str">
        <x:v>codex_common_codebook</x:v>
      </x:c>
      <x:c r="L45" s="32" t="str">
        <x:v>현재값</x:v>
      </x:c>
      <x:c r="M45" s="32" t="str">
        <x:v>정비사 보유 비율</x:v>
      </x:c>
      <x:c r="N45" s="32" t="str">
        <x:v>대형항공사</x:v>
      </x:c>
      <x:c r="O45" s="32" t="str">
        <x:v>16</x:v>
      </x:c>
      <x:c r="P45" s="32" t="str">
        <x:v>명</x:v>
      </x:c>
      <x:c r="Q45" s="32" t="str">
        <x:v>2023</x:v>
      </x:c>
      <x:c r="R45" s="32" t="str">
        <x:v>Y</x:v>
      </x:c>
      <x:c r="S45" s="32" t="str">
        <x:v>Y</x:v>
      </x:c>
      <x:c r="T45" s="32" t="str">
        <x:v>Y</x:v>
      </x:c>
      <x:c r="U45" s="32" t="str">
        <x:v>Y</x:v>
      </x:c>
      <x:c r="V45" s="32" t="str">
        <x:v>CODEBOOK_KOSIS</x:v>
      </x:c>
      <x:c r="W45" s="32" t="str">
        <x:v>444</x:v>
      </x:c>
      <x:c r="X45" s="32" t="str">
        <x:v>DT_444002_N2023A006</x:v>
      </x:c>
      <x:c r="Y45" s="32" t="str">
        <x:v>직무별 종사자 현황</x:v>
      </x:c>
      <x:c r="Z45" s="32" t="str">
        <x:v>N/A</x:v>
      </x:c>
      <x:c r="AA45" s="32" t="str">
        <x:v>N/A</x:v>
      </x:c>
      <x:c r="AB45" s="32" t="str">
        <x:v>N/A</x:v>
      </x:c>
      <x:c r="AC45" s="32" t="str">
        <x:v>N/A</x:v>
      </x:c>
      <x:c r="AD45" s="32" t="str">
        <x:v>Y</x:v>
      </x:c>
      <x:c r="AE45" s="32" t="str">
        <x:v>2023</x:v>
      </x:c>
      <x:c r="AF45" s="32" t="str">
        <x:v>N/A</x:v>
      </x:c>
      <x:c r="AG45" s="32" t="str">
        <x:v>현재값</x:v>
      </x:c>
      <x:c r="AH45" s="32" t="str">
        <x:v>TABLE_SERIES_LABEL</x:v>
      </x:c>
      <x:c r="AI45" s="32" t="str">
        <x:v>N/A</x:v>
      </x:c>
      <x:c r="AJ45" s="32" t="str">
        <x:v>N/A</x:v>
      </x:c>
      <x:c r="AK45" s="32" t="str">
        <x:v>N/A</x:v>
      </x:c>
      <x:c r="AL45" s="32" t="str">
        <x:v>N/A</x:v>
      </x:c>
      <x:c r="AM45" s="32" t="str">
        <x:v>16</x:v>
      </x:c>
      <x:c r="AN45" s="32" t="str">
        <x:v>N/A</x:v>
      </x:c>
      <x:c r="AO45" s="32" t="str">
        <x:v>N/A</x:v>
      </x:c>
      <x:c r="AP45" s="32" t="str">
        <x:v>N/A</x:v>
      </x:c>
      <x:c r="AQ45" s="32" t="str">
        <x:v>값검증대기</x:v>
      </x:c>
      <x:c r="AR45" s="32" t="str">
        <x:v>TABLE_ONLY</x:v>
      </x:c>
      <x:c r="AS45" s="32" t="str">
        <x:v>HIGH</x:v>
      </x:c>
      <x:c r="AT45" s="33" t="str">
        <x:v>READY:AVIATION_OFFICIAL_SERIES; 잠긴 Codex 공통 골드에서 측정·검증 가능 판정, KOSIS MCP로 통계표명 재확인, 세부 항목·분류·실제값은 미확정.</x:v>
      </x:c>
      <x:c r="AU45" s="32" t="str">
        <x:v>https://kosis.kr/statHtml/statHtml.do?orgId=444&amp;tblId=DT_444002_N2023A006&amp;vw_cd=MT_ZTITLE</x:v>
      </x:c>
      <x:c r="AV45" s="32" t="n">
        <x:v>46239.31775462963</x:v>
      </x:c>
      <x:c r="AW45" s="32" t="str">
        <x:v>CODEX_COMMON_GOLD_V1+KOSIS_MCP_TABLE_INFO_200</x:v>
      </x:c>
      <x:c r="AX45" s="32" t="str">
        <x:v>N</x:v>
      </x:c>
    </x:row>
    <x:row r="46">
      <x:c r="A46" s="32" t="str">
        <x:v>A0009-CG0217</x:v>
      </x:c>
      <x:c r="B46" s="32" t="str">
        <x:v>A0009-CG0217-m1</x:v>
      </x:c>
      <x:c r="C46" s="32" t="str">
        <x:v>A0009</x:v>
      </x:c>
      <x:c r="D46" s="32" t="str">
        <x:v>승객 수는 더 많은 LCC, 정비사는 대형 항공사의 38%</x:v>
      </x:c>
      <x:c r="E46" s="32" t="str">
        <x:v>2025-01-01</x:v>
      </x:c>
      <x:c r="F46" s="32" t="str">
        <x:v>https://www.chosun.com/economy/industry-company/2025/01/01/PVCPHJRE7RDT7L2ZG2LDED5NNA</x:v>
      </x:c>
      <x:c r="G46" s="33" t="str">
        <x:v>이를 각 사의 항공기 보유 대수로 나눠보면, 대형항공사들은 대당 16~18명 수준의 정비사를 보유하고 있지만 LCC는 10.6명이었다.</x:v>
      </x:c>
      <x:c r="H46" s="32" t="str">
        <x:v>18명</x:v>
      </x:c>
      <x:c r="I46" s="32" t="str">
        <x:v>KOSIS_VALUE</x:v>
      </x:c>
      <x:c r="J46" s="32" t="str">
        <x:v>국내공식통계</x:v>
      </x:c>
      <x:c r="K46" s="32" t="str">
        <x:v>codex_common_codebook</x:v>
      </x:c>
      <x:c r="L46" s="32" t="str">
        <x:v>현재값</x:v>
      </x:c>
      <x:c r="M46" s="32" t="str">
        <x:v>정비사 보유 비율</x:v>
      </x:c>
      <x:c r="N46" s="32" t="str">
        <x:v>대형항공사</x:v>
      </x:c>
      <x:c r="O46" s="32" t="str">
        <x:v>18</x:v>
      </x:c>
      <x:c r="P46" s="32" t="str">
        <x:v>명</x:v>
      </x:c>
      <x:c r="Q46" s="32" t="str">
        <x:v>2023</x:v>
      </x:c>
      <x:c r="R46" s="32" t="str">
        <x:v>Y</x:v>
      </x:c>
      <x:c r="S46" s="32" t="str">
        <x:v>Y</x:v>
      </x:c>
      <x:c r="T46" s="32" t="str">
        <x:v>Y</x:v>
      </x:c>
      <x:c r="U46" s="32" t="str">
        <x:v>Y</x:v>
      </x:c>
      <x:c r="V46" s="32" t="str">
        <x:v>CODEBOOK_KOSIS</x:v>
      </x:c>
      <x:c r="W46" s="32" t="str">
        <x:v>444</x:v>
      </x:c>
      <x:c r="X46" s="32" t="str">
        <x:v>DT_444002_N2023A006</x:v>
      </x:c>
      <x:c r="Y46" s="32" t="str">
        <x:v>직무별 종사자 현황</x:v>
      </x:c>
      <x:c r="Z46" s="32" t="str">
        <x:v>N/A</x:v>
      </x:c>
      <x:c r="AA46" s="32" t="str">
        <x:v>N/A</x:v>
      </x:c>
      <x:c r="AB46" s="32" t="str">
        <x:v>N/A</x:v>
      </x:c>
      <x:c r="AC46" s="32" t="str">
        <x:v>N/A</x:v>
      </x:c>
      <x:c r="AD46" s="32" t="str">
        <x:v>Y</x:v>
      </x:c>
      <x:c r="AE46" s="32" t="str">
        <x:v>2023</x:v>
      </x:c>
      <x:c r="AF46" s="32" t="str">
        <x:v>N/A</x:v>
      </x:c>
      <x:c r="AG46" s="32" t="str">
        <x:v>현재값</x:v>
      </x:c>
      <x:c r="AH46" s="32" t="str">
        <x:v>TABLE_SERIES_LABEL</x:v>
      </x:c>
      <x:c r="AI46" s="32" t="str">
        <x:v>N/A</x:v>
      </x:c>
      <x:c r="AJ46" s="32" t="str">
        <x:v>N/A</x:v>
      </x:c>
      <x:c r="AK46" s="32" t="str">
        <x:v>N/A</x:v>
      </x:c>
      <x:c r="AL46" s="32" t="str">
        <x:v>N/A</x:v>
      </x:c>
      <x:c r="AM46" s="32" t="str">
        <x:v>18</x:v>
      </x:c>
      <x:c r="AN46" s="32" t="str">
        <x:v>N/A</x:v>
      </x:c>
      <x:c r="AO46" s="32" t="str">
        <x:v>N/A</x:v>
      </x:c>
      <x:c r="AP46" s="32" t="str">
        <x:v>N/A</x:v>
      </x:c>
      <x:c r="AQ46" s="32" t="str">
        <x:v>값검증대기</x:v>
      </x:c>
      <x:c r="AR46" s="32" t="str">
        <x:v>TABLE_ONLY</x:v>
      </x:c>
      <x:c r="AS46" s="32" t="str">
        <x:v>HIGH</x:v>
      </x:c>
      <x:c r="AT46" s="33" t="str">
        <x:v>READY:AVIATION_OFFICIAL_SERIES; 잠긴 Codex 공통 골드에서 측정·검증 가능 판정, KOSIS MCP로 통계표명 재확인, 세부 항목·분류·실제값은 미확정.</x:v>
      </x:c>
      <x:c r="AU46" s="32" t="str">
        <x:v>https://kosis.kr/statHtml/statHtml.do?orgId=444&amp;tblId=DT_444002_N2023A006&amp;vw_cd=MT_ZTITLE</x:v>
      </x:c>
      <x:c r="AV46" s="32" t="n">
        <x:v>46239.31775462963</x:v>
      </x:c>
      <x:c r="AW46" s="32" t="str">
        <x:v>CODEX_COMMON_GOLD_V1+KOSIS_MCP_TABLE_INFO_200</x:v>
      </x:c>
      <x:c r="AX46" s="32" t="str">
        <x:v>N</x:v>
      </x:c>
    </x:row>
    <x:row r="47">
      <x:c r="A47" s="32" t="str">
        <x:v>A0009-CG0218</x:v>
      </x:c>
      <x:c r="B47" s="32" t="str">
        <x:v>A0009-CG0218-m1</x:v>
      </x:c>
      <x:c r="C47" s="32" t="str">
        <x:v>A0009</x:v>
      </x:c>
      <x:c r="D47" s="32" t="str">
        <x:v>승객 수는 더 많은 LCC, 정비사는 대형 항공사의 38%</x:v>
      </x:c>
      <x:c r="E47" s="32" t="str">
        <x:v>2025-01-01</x:v>
      </x:c>
      <x:c r="F47" s="32" t="str">
        <x:v>https://www.chosun.com/economy/industry-company/2025/01/01/PVCPHJRE7RDT7L2ZG2LDED5NNA</x:v>
      </x:c>
      <x:c r="G47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 제주항공·진에어 등 LCC 10사의 정비사는 모두 1601명으로, 대형항공사의 3분의 1 수준(37.7%)에 그쳤다.</x:v>
      </x:c>
      <x:c r="H47" s="32" t="str">
        <x:v>4248명</x:v>
      </x:c>
      <x:c r="I47" s="32" t="str">
        <x:v>KOSIS_VALUE</x:v>
      </x:c>
      <x:c r="J47" s="32" t="str">
        <x:v>국내공식통계</x:v>
      </x:c>
      <x:c r="K47" s="32" t="str">
        <x:v>codex_common_codebook</x:v>
      </x:c>
      <x:c r="L47" s="32" t="str">
        <x:v>현재값</x:v>
      </x:c>
      <x:c r="M47" s="32" t="str">
        <x:v>대형 항공사 정비사 수</x:v>
      </x:c>
      <x:c r="N47" s="32" t="str">
        <x:v>항공</x:v>
      </x:c>
      <x:c r="O47" s="32" t="str">
        <x:v>4248</x:v>
      </x:c>
      <x:c r="P47" s="32" t="str">
        <x:v>명</x:v>
      </x:c>
      <x:c r="Q47" s="32" t="str">
        <x:v>2023</x:v>
      </x:c>
      <x:c r="R47" s="32" t="str">
        <x:v>Y</x:v>
      </x:c>
      <x:c r="S47" s="32" t="str">
        <x:v>Y</x:v>
      </x:c>
      <x:c r="T47" s="32" t="str">
        <x:v>Y</x:v>
      </x:c>
      <x:c r="U47" s="32" t="str">
        <x:v>Y</x:v>
      </x:c>
      <x:c r="V47" s="32" t="str">
        <x:v>CODEBOOK_KOSIS</x:v>
      </x:c>
      <x:c r="W47" s="32" t="str">
        <x:v>444</x:v>
      </x:c>
      <x:c r="X47" s="32" t="str">
        <x:v>DT_444002_N2023A006</x:v>
      </x:c>
      <x:c r="Y47" s="32" t="str">
        <x:v>직무별 종사자 현황</x:v>
      </x:c>
      <x:c r="Z47" s="32" t="str">
        <x:v>N/A</x:v>
      </x:c>
      <x:c r="AA47" s="32" t="str">
        <x:v>N/A</x:v>
      </x:c>
      <x:c r="AB47" s="32" t="str">
        <x:v>N/A</x:v>
      </x:c>
      <x:c r="AC47" s="32" t="str">
        <x:v>N/A</x:v>
      </x:c>
      <x:c r="AD47" s="32" t="str">
        <x:v>Y</x:v>
      </x:c>
      <x:c r="AE47" s="32" t="str">
        <x:v>2023</x:v>
      </x:c>
      <x:c r="AF47" s="32" t="str">
        <x:v>N/A</x:v>
      </x:c>
      <x:c r="AG47" s="32" t="str">
        <x:v>현재값</x:v>
      </x:c>
      <x:c r="AH47" s="32" t="str">
        <x:v>TABLE_SERIES_LABEL</x:v>
      </x:c>
      <x:c r="AI47" s="32" t="str">
        <x:v>N/A</x:v>
      </x:c>
      <x:c r="AJ47" s="32" t="str">
        <x:v>N/A</x:v>
      </x:c>
      <x:c r="AK47" s="32" t="str">
        <x:v>N/A</x:v>
      </x:c>
      <x:c r="AL47" s="32" t="str">
        <x:v>N/A</x:v>
      </x:c>
      <x:c r="AM47" s="32" t="str">
        <x:v>4248</x:v>
      </x:c>
      <x:c r="AN47" s="32" t="str">
        <x:v>N/A</x:v>
      </x:c>
      <x:c r="AO47" s="32" t="str">
        <x:v>N/A</x:v>
      </x:c>
      <x:c r="AP47" s="32" t="str">
        <x:v>N/A</x:v>
      </x:c>
      <x:c r="AQ47" s="32" t="str">
        <x:v>값검증대기</x:v>
      </x:c>
      <x:c r="AR47" s="32" t="str">
        <x:v>TABLE_ONLY</x:v>
      </x:c>
      <x:c r="AS47" s="32" t="str">
        <x:v>HIGH</x:v>
      </x:c>
      <x:c r="AT47" s="33" t="str">
        <x:v>READY:AVIATION_OFFICIAL_SERIES; 잠긴 Codex 공통 골드에서 측정·검증 가능 판정, KOSIS MCP로 통계표명 재확인, 세부 항목·분류·실제값은 미확정.</x:v>
      </x:c>
      <x:c r="AU47" s="32" t="str">
        <x:v>https://kosis.kr/statHtml/statHtml.do?orgId=444&amp;tblId=DT_444002_N2023A006&amp;vw_cd=MT_ZTITLE</x:v>
      </x:c>
      <x:c r="AV47" s="32" t="n">
        <x:v>46239.31775462963</x:v>
      </x:c>
      <x:c r="AW47" s="32" t="str">
        <x:v>CODEX_COMMON_GOLD_V1+KOSIS_MCP_TABLE_INFO_200</x:v>
      </x:c>
      <x:c r="AX47" s="32" t="str">
        <x:v>N</x:v>
      </x:c>
    </x:row>
    <x:row r="48">
      <x:c r="A48" s="32" t="str">
        <x:v>A0009-CG0220</x:v>
      </x:c>
      <x:c r="B48" s="32" t="str">
        <x:v>A0009-CG0220-m1</x:v>
      </x:c>
      <x:c r="C48" s="32" t="str">
        <x:v>A0009</x:v>
      </x:c>
      <x:c r="D48" s="32" t="str">
        <x:v>승객 수는 더 많은 LCC, 정비사는 대형 항공사의 38%</x:v>
      </x:c>
      <x:c r="E48" s="32" t="str">
        <x:v>2025-01-01</x:v>
      </x:c>
      <x:c r="F48" s="32" t="str">
        <x:v>https://www.chosun.com/economy/industry-company/2025/01/01/PVCPHJRE7RDT7L2ZG2LDED5NNA</x:v>
      </x:c>
      <x:c r="G48" s="33" t="str">
        <x:v>이를 각 사의 항공기 보유 대수로 나눠보면, 대형항공사들은 대당 16~18명 수준의 정비사를 보유하고 있지만 LCC는 10.6명이었다.</x:v>
      </x:c>
      <x:c r="H48" s="32" t="str">
        <x:v>10.6명</x:v>
      </x:c>
      <x:c r="I48" s="32" t="str">
        <x:v>KOSIS_VALUE</x:v>
      </x:c>
      <x:c r="J48" s="32" t="str">
        <x:v>국내공식통계</x:v>
      </x:c>
      <x:c r="K48" s="32" t="str">
        <x:v>codex_common_codebook</x:v>
      </x:c>
      <x:c r="L48" s="32" t="str">
        <x:v>현재값</x:v>
      </x:c>
      <x:c r="M48" s="32" t="str">
        <x:v>정비사 보유 비율</x:v>
      </x:c>
      <x:c r="N48" s="32" t="str">
        <x:v>LCC</x:v>
      </x:c>
      <x:c r="O48" s="32" t="str">
        <x:v>10.6</x:v>
      </x:c>
      <x:c r="P48" s="32" t="str">
        <x:v>명</x:v>
      </x:c>
      <x:c r="Q48" s="32" t="str">
        <x:v>2023</x:v>
      </x:c>
      <x:c r="R48" s="32" t="str">
        <x:v>Y</x:v>
      </x:c>
      <x:c r="S48" s="32" t="str">
        <x:v>Y</x:v>
      </x:c>
      <x:c r="T48" s="32" t="str">
        <x:v>Y</x:v>
      </x:c>
      <x:c r="U48" s="32" t="str">
        <x:v>Y</x:v>
      </x:c>
      <x:c r="V48" s="32" t="str">
        <x:v>CODEBOOK_KOSIS</x:v>
      </x:c>
      <x:c r="W48" s="32" t="str">
        <x:v>444</x:v>
      </x:c>
      <x:c r="X48" s="32" t="str">
        <x:v>DT_444002_N2023A006</x:v>
      </x:c>
      <x:c r="Y48" s="32" t="str">
        <x:v>직무별 종사자 현황</x:v>
      </x:c>
      <x:c r="Z48" s="32" t="str">
        <x:v>N/A</x:v>
      </x:c>
      <x:c r="AA48" s="32" t="str">
        <x:v>N/A</x:v>
      </x:c>
      <x:c r="AB48" s="32" t="str">
        <x:v>N/A</x:v>
      </x:c>
      <x:c r="AC48" s="32" t="str">
        <x:v>N/A</x:v>
      </x:c>
      <x:c r="AD48" s="32" t="str">
        <x:v>Y</x:v>
      </x:c>
      <x:c r="AE48" s="32" t="str">
        <x:v>2023</x:v>
      </x:c>
      <x:c r="AF48" s="32" t="str">
        <x:v>N/A</x:v>
      </x:c>
      <x:c r="AG48" s="32" t="str">
        <x:v>현재값</x:v>
      </x:c>
      <x:c r="AH48" s="32" t="str">
        <x:v>TABLE_SERIES_LABEL</x:v>
      </x:c>
      <x:c r="AI48" s="32" t="str">
        <x:v>N/A</x:v>
      </x:c>
      <x:c r="AJ48" s="32" t="str">
        <x:v>N/A</x:v>
      </x:c>
      <x:c r="AK48" s="32" t="str">
        <x:v>N/A</x:v>
      </x:c>
      <x:c r="AL48" s="32" t="str">
        <x:v>N/A</x:v>
      </x:c>
      <x:c r="AM48" s="32" t="str">
        <x:v>10.6</x:v>
      </x:c>
      <x:c r="AN48" s="32" t="str">
        <x:v>N/A</x:v>
      </x:c>
      <x:c r="AO48" s="32" t="str">
        <x:v>N/A</x:v>
      </x:c>
      <x:c r="AP48" s="32" t="str">
        <x:v>N/A</x:v>
      </x:c>
      <x:c r="AQ48" s="32" t="str">
        <x:v>값검증대기</x:v>
      </x:c>
      <x:c r="AR48" s="32" t="str">
        <x:v>TABLE_ONLY</x:v>
      </x:c>
      <x:c r="AS48" s="32" t="str">
        <x:v>HIGH</x:v>
      </x:c>
      <x:c r="AT48" s="33" t="str">
        <x:v>READY:AVIATION_OFFICIAL_SERIES; 잠긴 Codex 공통 골드에서 측정·검증 가능 판정, KOSIS MCP로 통계표명 재확인, 세부 항목·분류·실제값은 미확정.</x:v>
      </x:c>
      <x:c r="AU48" s="32" t="str">
        <x:v>https://kosis.kr/statHtml/statHtml.do?orgId=444&amp;tblId=DT_444002_N2023A006&amp;vw_cd=MT_ZTITLE</x:v>
      </x:c>
      <x:c r="AV48" s="32" t="n">
        <x:v>46239.31775462963</x:v>
      </x:c>
      <x:c r="AW48" s="32" t="str">
        <x:v>CODEX_COMMON_GOLD_V1+KOSIS_MCP_TABLE_INFO_200</x:v>
      </x:c>
      <x:c r="AX48" s="32" t="str">
        <x:v>N</x:v>
      </x:c>
    </x:row>
    <x:row r="49">
      <x:c r="A49" s="32" t="str">
        <x:v>A0009-CG0221</x:v>
      </x:c>
      <x:c r="B49" s="32" t="str">
        <x:v>A0009-CG0221-m1</x:v>
      </x:c>
      <x:c r="C49" s="32" t="str">
        <x:v>A0009</x:v>
      </x:c>
      <x:c r="D49" s="32" t="str">
        <x:v>승객 수는 더 많은 LCC, 정비사는 대형 항공사의 38%</x:v>
      </x:c>
      <x:c r="E49" s="32" t="str">
        <x:v>2025-01-01</x:v>
      </x:c>
      <x:c r="F49" s="32" t="str">
        <x:v>https://www.chosun.com/economy/industry-company/2025/01/01/PVCPHJRE7RDT7L2ZG2LDED5NNA</x:v>
      </x:c>
      <x:c r="G49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 제주항공·진에어 등 LCC 10사의 정비사는 모두 1601명으로, 대형항공사의 3분의 1 수준(37.7%)에 그쳤다.</x:v>
      </x:c>
      <x:c r="H49" s="32" t="str">
        <x:v>1601명</x:v>
      </x:c>
      <x:c r="I49" s="32" t="str">
        <x:v>KOSIS_VALUE</x:v>
      </x:c>
      <x:c r="J49" s="32" t="str">
        <x:v>국내공식통계</x:v>
      </x:c>
      <x:c r="K49" s="32" t="str">
        <x:v>codex_common_codebook</x:v>
      </x:c>
      <x:c r="L49" s="32" t="str">
        <x:v>현재값</x:v>
      </x:c>
      <x:c r="M49" s="32" t="str">
        <x:v>LCC 정비사 수</x:v>
      </x:c>
      <x:c r="N49" s="32" t="str">
        <x:v>항공</x:v>
      </x:c>
      <x:c r="O49" s="32" t="str">
        <x:v>1601</x:v>
      </x:c>
      <x:c r="P49" s="32" t="str">
        <x:v>명</x:v>
      </x:c>
      <x:c r="Q49" s="32" t="str">
        <x:v>2023</x:v>
      </x:c>
      <x:c r="R49" s="32" t="str">
        <x:v>Y</x:v>
      </x:c>
      <x:c r="S49" s="32" t="str">
        <x:v>Y</x:v>
      </x:c>
      <x:c r="T49" s="32" t="str">
        <x:v>Y</x:v>
      </x:c>
      <x:c r="U49" s="32" t="str">
        <x:v>Y</x:v>
      </x:c>
      <x:c r="V49" s="32" t="str">
        <x:v>CODEBOOK_KOSIS</x:v>
      </x:c>
      <x:c r="W49" s="32" t="str">
        <x:v>444</x:v>
      </x:c>
      <x:c r="X49" s="32" t="str">
        <x:v>DT_444002_N2023A006</x:v>
      </x:c>
      <x:c r="Y49" s="32" t="str">
        <x:v>직무별 종사자 현황</x:v>
      </x:c>
      <x:c r="Z49" s="32" t="str">
        <x:v>N/A</x:v>
      </x:c>
      <x:c r="AA49" s="32" t="str">
        <x:v>N/A</x:v>
      </x:c>
      <x:c r="AB49" s="32" t="str">
        <x:v>N/A</x:v>
      </x:c>
      <x:c r="AC49" s="32" t="str">
        <x:v>N/A</x:v>
      </x:c>
      <x:c r="AD49" s="32" t="str">
        <x:v>Y</x:v>
      </x:c>
      <x:c r="AE49" s="32" t="str">
        <x:v>2023</x:v>
      </x:c>
      <x:c r="AF49" s="32" t="str">
        <x:v>N/A</x:v>
      </x:c>
      <x:c r="AG49" s="32" t="str">
        <x:v>현재값</x:v>
      </x:c>
      <x:c r="AH49" s="32" t="str">
        <x:v>TABLE_SERIES_LABEL</x:v>
      </x:c>
      <x:c r="AI49" s="32" t="str">
        <x:v>N/A</x:v>
      </x:c>
      <x:c r="AJ49" s="32" t="str">
        <x:v>N/A</x:v>
      </x:c>
      <x:c r="AK49" s="32" t="str">
        <x:v>N/A</x:v>
      </x:c>
      <x:c r="AL49" s="32" t="str">
        <x:v>N/A</x:v>
      </x:c>
      <x:c r="AM49" s="32" t="str">
        <x:v>1601</x:v>
      </x:c>
      <x:c r="AN49" s="32" t="str">
        <x:v>N/A</x:v>
      </x:c>
      <x:c r="AO49" s="32" t="str">
        <x:v>N/A</x:v>
      </x:c>
      <x:c r="AP49" s="32" t="str">
        <x:v>N/A</x:v>
      </x:c>
      <x:c r="AQ49" s="32" t="str">
        <x:v>값검증대기</x:v>
      </x:c>
      <x:c r="AR49" s="32" t="str">
        <x:v>TABLE_ONLY</x:v>
      </x:c>
      <x:c r="AS49" s="32" t="str">
        <x:v>HIGH</x:v>
      </x:c>
      <x:c r="AT49" s="33" t="str">
        <x:v>READY:AVIATION_OFFICIAL_SERIES; 잠긴 Codex 공통 골드에서 측정·검증 가능 판정, KOSIS MCP로 통계표명 재확인, 세부 항목·분류·실제값은 미확정.</x:v>
      </x:c>
      <x:c r="AU49" s="32" t="str">
        <x:v>https://kosis.kr/statHtml/statHtml.do?orgId=444&amp;tblId=DT_444002_N2023A006&amp;vw_cd=MT_ZTITLE</x:v>
      </x:c>
      <x:c r="AV49" s="32" t="n">
        <x:v>46239.31775462963</x:v>
      </x:c>
      <x:c r="AW49" s="32" t="str">
        <x:v>CODEX_COMMON_GOLD_V1+KOSIS_MCP_TABLE_INFO_200</x:v>
      </x:c>
      <x:c r="AX49" s="32" t="str">
        <x:v>N</x:v>
      </x:c>
    </x:row>
    <x:row r="50">
      <x:c r="A50" s="32" t="str">
        <x:v>A0009-CG0224</x:v>
      </x:c>
      <x:c r="B50" s="32" t="str">
        <x:v>A0009-CG0224-m1</x:v>
      </x:c>
      <x:c r="C50" s="32" t="str">
        <x:v>A0009</x:v>
      </x:c>
      <x:c r="D50" s="32" t="str">
        <x:v>승객 수는 더 많은 LCC, 정비사는 대형 항공사의 38%</x:v>
      </x:c>
      <x:c r="E50" s="32" t="str">
        <x:v>2025-01-01</x:v>
      </x:c>
      <x:c r="F50" s="32" t="str">
        <x:v>https://www.chosun.com/economy/industry-company/2025/01/01/PVCPHJRE7RDT7L2ZG2LDED5NNA</x:v>
      </x:c>
      <x:c r="G50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 제주항공·진에어 등 LCC 10사의 정비사는 모두 1601명으로, 대형항공사의 3분의 1 수준(37.7%)에 그쳤다.</x:v>
      </x:c>
      <x:c r="H50" s="32" t="str">
        <x:v>37.7%</x:v>
      </x:c>
      <x:c r="I50" s="32" t="str">
        <x:v>KOSIS_VALUE</x:v>
      </x:c>
      <x:c r="J50" s="32" t="str">
        <x:v>국내공식통계</x:v>
      </x:c>
      <x:c r="K50" s="32" t="str">
        <x:v>codex_common_codebook</x:v>
      </x:c>
      <x:c r="L50" s="32" t="str">
        <x:v>현재값</x:v>
      </x:c>
      <x:c r="M50" s="32" t="str">
        <x:v>LCC 정비사 비율</x:v>
      </x:c>
      <x:c r="N50" s="32" t="str">
        <x:v>항공</x:v>
      </x:c>
      <x:c r="O50" s="32" t="str">
        <x:v>37.7</x:v>
      </x:c>
      <x:c r="P50" s="32" t="str">
        <x:v>%</x:v>
      </x:c>
      <x:c r="Q50" s="32" t="str">
        <x:v>2023</x:v>
      </x:c>
      <x:c r="R50" s="32" t="str">
        <x:v>Y</x:v>
      </x:c>
      <x:c r="S50" s="32" t="str">
        <x:v>Y</x:v>
      </x:c>
      <x:c r="T50" s="32" t="str">
        <x:v>Y</x:v>
      </x:c>
      <x:c r="U50" s="32" t="str">
        <x:v>Y</x:v>
      </x:c>
      <x:c r="V50" s="32" t="str">
        <x:v>CODEBOOK_KOSIS</x:v>
      </x:c>
      <x:c r="W50" s="32" t="str">
        <x:v>444</x:v>
      </x:c>
      <x:c r="X50" s="32" t="str">
        <x:v>DT_444002_N2023A006</x:v>
      </x:c>
      <x:c r="Y50" s="32" t="str">
        <x:v>직무별 종사자 현황</x:v>
      </x:c>
      <x:c r="Z50" s="32" t="str">
        <x:v>N/A</x:v>
      </x:c>
      <x:c r="AA50" s="32" t="str">
        <x:v>N/A</x:v>
      </x:c>
      <x:c r="AB50" s="32" t="str">
        <x:v>N/A</x:v>
      </x:c>
      <x:c r="AC50" s="32" t="str">
        <x:v>N/A</x:v>
      </x:c>
      <x:c r="AD50" s="32" t="str">
        <x:v>Y</x:v>
      </x:c>
      <x:c r="AE50" s="32" t="str">
        <x:v>2023</x:v>
      </x:c>
      <x:c r="AF50" s="32" t="str">
        <x:v>N/A</x:v>
      </x:c>
      <x:c r="AG50" s="32" t="str">
        <x:v>현재값</x:v>
      </x:c>
      <x:c r="AH50" s="32" t="str">
        <x:v>TABLE_SERIES_LABEL</x:v>
      </x:c>
      <x:c r="AI50" s="32" t="str">
        <x:v>N/A</x:v>
      </x:c>
      <x:c r="AJ50" s="32" t="str">
        <x:v>N/A</x:v>
      </x:c>
      <x:c r="AK50" s="32" t="str">
        <x:v>N/A</x:v>
      </x:c>
      <x:c r="AL50" s="32" t="str">
        <x:v>N/A</x:v>
      </x:c>
      <x:c r="AM50" s="32" t="str">
        <x:v>37.7</x:v>
      </x:c>
      <x:c r="AN50" s="32" t="str">
        <x:v>N/A</x:v>
      </x:c>
      <x:c r="AO50" s="32" t="str">
        <x:v>N/A</x:v>
      </x:c>
      <x:c r="AP50" s="32" t="str">
        <x:v>N/A</x:v>
      </x:c>
      <x:c r="AQ50" s="32" t="str">
        <x:v>값검증대기</x:v>
      </x:c>
      <x:c r="AR50" s="32" t="str">
        <x:v>TABLE_ONLY</x:v>
      </x:c>
      <x:c r="AS50" s="32" t="str">
        <x:v>HIGH</x:v>
      </x:c>
      <x:c r="AT50" s="33" t="str">
        <x:v>READY:AVIATION_OFFICIAL_SERIES; 잠긴 Codex 공통 골드에서 측정·검증 가능 판정, KOSIS MCP로 통계표명 재확인, 세부 항목·분류·실제값은 미확정.</x:v>
      </x:c>
      <x:c r="AU50" s="32" t="str">
        <x:v>https://kosis.kr/statHtml/statHtml.do?orgId=444&amp;tblId=DT_444002_N2023A006&amp;vw_cd=MT_ZTITLE</x:v>
      </x:c>
      <x:c r="AV50" s="32" t="n">
        <x:v>46239.31775462963</x:v>
      </x:c>
      <x:c r="AW50" s="32" t="str">
        <x:v>CODEX_COMMON_GOLD_V1+KOSIS_MCP_TABLE_INFO_200</x:v>
      </x:c>
      <x:c r="AX50" s="32" t="str">
        <x:v>N</x:v>
      </x:c>
    </x:row>
    <x:row r="51">
      <x:c r="A51" s="32" t="str">
        <x:v>A0009-CG0227</x:v>
      </x:c>
      <x:c r="B51" s="32" t="str">
        <x:v>A0009-CG0227-m1</x:v>
      </x:c>
      <x:c r="C51" s="32" t="str">
        <x:v>A0009</x:v>
      </x:c>
      <x:c r="D51" s="32" t="str">
        <x:v>승객 수는 더 많은 LCC, 정비사는 대형 항공사의 38%</x:v>
      </x:c>
      <x:c r="E51" s="32" t="str">
        <x:v>2025-01-01</x:v>
      </x:c>
      <x:c r="F51" s="32" t="str">
        <x:v>https://www.chosun.com/economy/industry-company/2025/01/01/PVCPHJRE7RDT7L2ZG2LDED5NNA</x:v>
      </x:c>
      <x:c r="G51" s="33" t="str">
        <x:v>정부가 내세운 기준은 항공기 1대당 정비사 12명(당시 9~11명)이었다.</x:v>
      </x:c>
      <x:c r="H51" s="32" t="str">
        <x:v>11명</x:v>
      </x:c>
      <x:c r="I51" s="32" t="str">
        <x:v>KOSIS_VALUE</x:v>
      </x:c>
      <x:c r="J51" s="32" t="str">
        <x:v>국내공식통계</x:v>
      </x:c>
      <x:c r="K51" s="32" t="str">
        <x:v>codex_common_codebook</x:v>
      </x:c>
      <x:c r="L51" s="32" t="str">
        <x:v>현재값</x:v>
      </x:c>
      <x:c r="M51" s="32" t="str">
        <x:v>정비사 비율</x:v>
      </x:c>
      <x:c r="N51" s="32" t="str">
        <x:v>항공</x:v>
      </x:c>
      <x:c r="O51" s="32" t="str">
        <x:v>11</x:v>
      </x:c>
      <x:c r="P51" s="32" t="str">
        <x:v>명</x:v>
      </x:c>
      <x:c r="Q51" s="32" t="str">
        <x:v>2023</x:v>
      </x:c>
      <x:c r="R51" s="32" t="str">
        <x:v>Y</x:v>
      </x:c>
      <x:c r="S51" s="32" t="str">
        <x:v>Y</x:v>
      </x:c>
      <x:c r="T51" s="32" t="str">
        <x:v>Y</x:v>
      </x:c>
      <x:c r="U51" s="32" t="str">
        <x:v>Y</x:v>
      </x:c>
      <x:c r="V51" s="32" t="str">
        <x:v>CODEBOOK_KOSIS</x:v>
      </x:c>
      <x:c r="W51" s="32" t="str">
        <x:v>444</x:v>
      </x:c>
      <x:c r="X51" s="32" t="str">
        <x:v>DT_444002_N2023A006</x:v>
      </x:c>
      <x:c r="Y51" s="32" t="str">
        <x:v>직무별 종사자 현황</x:v>
      </x:c>
      <x:c r="Z51" s="32" t="str">
        <x:v>N/A</x:v>
      </x:c>
      <x:c r="AA51" s="32" t="str">
        <x:v>N/A</x:v>
      </x:c>
      <x:c r="AB51" s="32" t="str">
        <x:v>N/A</x:v>
      </x:c>
      <x:c r="AC51" s="32" t="str">
        <x:v>N/A</x:v>
      </x:c>
      <x:c r="AD51" s="32" t="str">
        <x:v>Y</x:v>
      </x:c>
      <x:c r="AE51" s="32" t="str">
        <x:v>2023</x:v>
      </x:c>
      <x:c r="AF51" s="32" t="str">
        <x:v>N/A</x:v>
      </x:c>
      <x:c r="AG51" s="32" t="str">
        <x:v>현재값</x:v>
      </x:c>
      <x:c r="AH51" s="32" t="str">
        <x:v>TABLE_SERIES_LABEL</x:v>
      </x:c>
      <x:c r="AI51" s="32" t="str">
        <x:v>N/A</x:v>
      </x:c>
      <x:c r="AJ51" s="32" t="str">
        <x:v>N/A</x:v>
      </x:c>
      <x:c r="AK51" s="32" t="str">
        <x:v>N/A</x:v>
      </x:c>
      <x:c r="AL51" s="32" t="str">
        <x:v>N/A</x:v>
      </x:c>
      <x:c r="AM51" s="32" t="str">
        <x:v>11</x:v>
      </x:c>
      <x:c r="AN51" s="32" t="str">
        <x:v>N/A</x:v>
      </x:c>
      <x:c r="AO51" s="32" t="str">
        <x:v>N/A</x:v>
      </x:c>
      <x:c r="AP51" s="32" t="str">
        <x:v>N/A</x:v>
      </x:c>
      <x:c r="AQ51" s="32" t="str">
        <x:v>값검증대기</x:v>
      </x:c>
      <x:c r="AR51" s="32" t="str">
        <x:v>TABLE_ONLY</x:v>
      </x:c>
      <x:c r="AS51" s="32" t="str">
        <x:v>HIGH</x:v>
      </x:c>
      <x:c r="AT51" s="33" t="str">
        <x:v>READY:AVIATION_OFFICIAL_SERIES; 잠긴 Codex 공통 골드에서 측정·검증 가능 판정, KOSIS MCP로 통계표명 재확인, 세부 항목·분류·실제값은 미확정.</x:v>
      </x:c>
      <x:c r="AU51" s="32" t="str">
        <x:v>https://kosis.kr/statHtml/statHtml.do?orgId=444&amp;tblId=DT_444002_N2023A006&amp;vw_cd=MT_ZTITLE</x:v>
      </x:c>
      <x:c r="AV51" s="32" t="n">
        <x:v>46239.31775462963</x:v>
      </x:c>
      <x:c r="AW51" s="32" t="str">
        <x:v>CODEX_COMMON_GOLD_V1+KOSIS_MCP_TABLE_INFO_200</x:v>
      </x:c>
      <x:c r="AX51" s="32" t="str">
        <x:v>N</x:v>
      </x:c>
    </x:row>
    <x:row r="52">
      <x:c r="A52" s="32" t="str">
        <x:v>A0009-CG0229</x:v>
      </x:c>
      <x:c r="B52" s="32" t="str">
        <x:v>A0009-CG0229-m1</x:v>
      </x:c>
      <x:c r="C52" s="32" t="str">
        <x:v>A0009</x:v>
      </x:c>
      <x:c r="D52" s="32" t="str">
        <x:v>승객 수는 더 많은 LCC, 정비사는 대형 항공사의 38%</x:v>
      </x:c>
      <x:c r="E52" s="32" t="str">
        <x:v>2025-01-01</x:v>
      </x:c>
      <x:c r="F52" s="32" t="str">
        <x:v>https://www.chosun.com/economy/industry-company/2025/01/01/PVCPHJRE7RDT7L2ZG2LDED5NNA</x:v>
      </x:c>
      <x:c r="G52" s="33" t="str">
        <x:v>정부가 내세운 기준은 항공기 1대당 정비사 12명(당시 9~11명)이었다.</x:v>
      </x:c>
      <x:c r="H52" s="32" t="str">
        <x:v>항공기 1대당 정비사 12명</x:v>
      </x:c>
      <x:c r="I52" s="32" t="str">
        <x:v>KOSIS_VALUE</x:v>
      </x:c>
      <x:c r="J52" s="32" t="str">
        <x:v>국내공식통계</x:v>
      </x:c>
      <x:c r="K52" s="32" t="str">
        <x:v>codex_common_codebook</x:v>
      </x:c>
      <x:c r="L52" s="32" t="str">
        <x:v>참고값</x:v>
      </x:c>
      <x:c r="M52" s="32" t="str">
        <x:v>정비사 비율</x:v>
      </x:c>
      <x:c r="N52" s="32" t="str">
        <x:v>항공기</x:v>
      </x:c>
      <x:c r="O52" s="32" t="str">
        <x:v>12</x:v>
      </x:c>
      <x:c r="P52" s="32" t="str">
        <x:v>명</x:v>
      </x:c>
      <x:c r="Q52" s="32" t="str">
        <x:v>2023</x:v>
      </x:c>
      <x:c r="R52" s="32" t="str">
        <x:v>Y</x:v>
      </x:c>
      <x:c r="S52" s="32" t="str">
        <x:v>Y</x:v>
      </x:c>
      <x:c r="T52" s="32" t="str">
        <x:v>Y</x:v>
      </x:c>
      <x:c r="U52" s="32" t="str">
        <x:v>Y</x:v>
      </x:c>
      <x:c r="V52" s="32" t="str">
        <x:v>CODEBOOK_KOSIS</x:v>
      </x:c>
      <x:c r="W52" s="32" t="str">
        <x:v>444</x:v>
      </x:c>
      <x:c r="X52" s="32" t="str">
        <x:v>DT_444002_N2023A006</x:v>
      </x:c>
      <x:c r="Y52" s="32" t="str">
        <x:v>직무별 종사자 현황</x:v>
      </x:c>
      <x:c r="Z52" s="32" t="str">
        <x:v>N/A</x:v>
      </x:c>
      <x:c r="AA52" s="32" t="str">
        <x:v>N/A</x:v>
      </x:c>
      <x:c r="AB52" s="32" t="str">
        <x:v>N/A</x:v>
      </x:c>
      <x:c r="AC52" s="32" t="str">
        <x:v>N/A</x:v>
      </x:c>
      <x:c r="AD52" s="32" t="str">
        <x:v>Y</x:v>
      </x:c>
      <x:c r="AE52" s="32" t="str">
        <x:v>2023</x:v>
      </x:c>
      <x:c r="AF52" s="32" t="str">
        <x:v>N/A</x:v>
      </x:c>
      <x:c r="AG52" s="32" t="str">
        <x:v>참고값</x:v>
      </x:c>
      <x:c r="AH52" s="32" t="str">
        <x:v>TABLE_SERIES_LABEL</x:v>
      </x:c>
      <x:c r="AI52" s="32" t="str">
        <x:v>N/A</x:v>
      </x:c>
      <x:c r="AJ52" s="32" t="str">
        <x:v>N/A</x:v>
      </x:c>
      <x:c r="AK52" s="32" t="str">
        <x:v>N/A</x:v>
      </x:c>
      <x:c r="AL52" s="32" t="str">
        <x:v>N/A</x:v>
      </x:c>
      <x:c r="AM52" s="32" t="str">
        <x:v>12</x:v>
      </x:c>
      <x:c r="AN52" s="32" t="str">
        <x:v>N/A</x:v>
      </x:c>
      <x:c r="AO52" s="32" t="str">
        <x:v>N/A</x:v>
      </x:c>
      <x:c r="AP52" s="32" t="str">
        <x:v>N/A</x:v>
      </x:c>
      <x:c r="AQ52" s="32" t="str">
        <x:v>값검증대기</x:v>
      </x:c>
      <x:c r="AR52" s="32" t="str">
        <x:v>TABLE_ONLY</x:v>
      </x:c>
      <x:c r="AS52" s="32" t="str">
        <x:v>HIGH</x:v>
      </x:c>
      <x:c r="AT52" s="33" t="str">
        <x:v>READY:AVIATION_OFFICIAL_SERIES; 잠긴 Codex 공통 골드에서 측정·검증 가능 판정, KOSIS MCP로 통계표명 재확인, 세부 항목·분류·실제값은 미확정.</x:v>
      </x:c>
      <x:c r="AU52" s="32" t="str">
        <x:v>https://kosis.kr/statHtml/statHtml.do?orgId=444&amp;tblId=DT_444002_N2023A006&amp;vw_cd=MT_ZTITLE</x:v>
      </x:c>
      <x:c r="AV52" s="32" t="n">
        <x:v>46239.31775462963</x:v>
      </x:c>
      <x:c r="AW52" s="32" t="str">
        <x:v>CODEX_COMMON_GOLD_V1+KOSIS_MCP_TABLE_INFO_200</x:v>
      </x:c>
      <x:c r="AX52" s="32" t="str">
        <x:v>N</x:v>
      </x:c>
    </x:row>
    <x:row r="53">
      <x:c r="A53" s="32" t="str">
        <x:v>A0009-CG0231</x:v>
      </x:c>
      <x:c r="B53" s="32" t="str">
        <x:v>A0009-CG0231-m1</x:v>
      </x:c>
      <x:c r="C53" s="32" t="str">
        <x:v>A0009</x:v>
      </x:c>
      <x:c r="D53" s="32" t="str">
        <x:v>승객 수는 더 많은 LCC, 정비사는 대형 항공사의 38%</x:v>
      </x:c>
      <x:c r="E53" s="32" t="str">
        <x:v>2025-01-01</x:v>
      </x:c>
      <x:c r="F53" s="32" t="str">
        <x:v>https://www.chosun.com/economy/industry-company/2025/01/01/PVCPHJRE7RDT7L2ZG2LDED5NNA</x:v>
      </x:c>
      <x:c r="G53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</x:v>
      </x:c>
      <x:c r="H53" s="32" t="str">
        <x:v>4248명</x:v>
      </x:c>
      <x:c r="I53" s="32" t="str">
        <x:v>KOSIS_VALUE</x:v>
      </x:c>
      <x:c r="J53" s="32" t="str">
        <x:v>국내공식통계</x:v>
      </x:c>
      <x:c r="K53" s="32" t="str">
        <x:v>codex_common_codebook</x:v>
      </x:c>
      <x:c r="L53" s="32" t="str">
        <x:v>현재값</x:v>
      </x:c>
      <x:c r="M53" s="32" t="str">
        <x:v>정비사 수</x:v>
      </x:c>
      <x:c r="N53" s="32" t="str">
        <x:v>정비사 수</x:v>
      </x:c>
      <x:c r="O53" s="32" t="str">
        <x:v>4248</x:v>
      </x:c>
      <x:c r="P53" s="32" t="str">
        <x:v>명</x:v>
      </x:c>
      <x:c r="Q53" s="32" t="str">
        <x:v>2023</x:v>
      </x:c>
      <x:c r="R53" s="32" t="str">
        <x:v>Y</x:v>
      </x:c>
      <x:c r="S53" s="32" t="str">
        <x:v>Y</x:v>
      </x:c>
      <x:c r="T53" s="32" t="str">
        <x:v>Y</x:v>
      </x:c>
      <x:c r="U53" s="32" t="str">
        <x:v>Y</x:v>
      </x:c>
      <x:c r="V53" s="32" t="str">
        <x:v>CODEBOOK_KOSIS</x:v>
      </x:c>
      <x:c r="W53" s="32" t="str">
        <x:v>444</x:v>
      </x:c>
      <x:c r="X53" s="32" t="str">
        <x:v>DT_444002_N2023A006</x:v>
      </x:c>
      <x:c r="Y53" s="32" t="str">
        <x:v>직무별 종사자 현황</x:v>
      </x:c>
      <x:c r="Z53" s="32" t="str">
        <x:v>N/A</x:v>
      </x:c>
      <x:c r="AA53" s="32" t="str">
        <x:v>N/A</x:v>
      </x:c>
      <x:c r="AB53" s="32" t="str">
        <x:v>N/A</x:v>
      </x:c>
      <x:c r="AC53" s="32" t="str">
        <x:v>N/A</x:v>
      </x:c>
      <x:c r="AD53" s="32" t="str">
        <x:v>Y</x:v>
      </x:c>
      <x:c r="AE53" s="32" t="str">
        <x:v>2023</x:v>
      </x:c>
      <x:c r="AF53" s="32" t="str">
        <x:v>N/A</x:v>
      </x:c>
      <x:c r="AG53" s="32" t="str">
        <x:v>현재값</x:v>
      </x:c>
      <x:c r="AH53" s="32" t="str">
        <x:v>TABLE_SERIES_LABEL</x:v>
      </x:c>
      <x:c r="AI53" s="32" t="str">
        <x:v>N/A</x:v>
      </x:c>
      <x:c r="AJ53" s="32" t="str">
        <x:v>N/A</x:v>
      </x:c>
      <x:c r="AK53" s="32" t="str">
        <x:v>N/A</x:v>
      </x:c>
      <x:c r="AL53" s="32" t="str">
        <x:v>N/A</x:v>
      </x:c>
      <x:c r="AM53" s="32" t="str">
        <x:v>4248</x:v>
      </x:c>
      <x:c r="AN53" s="32" t="str">
        <x:v>N/A</x:v>
      </x:c>
      <x:c r="AO53" s="32" t="str">
        <x:v>N/A</x:v>
      </x:c>
      <x:c r="AP53" s="32" t="str">
        <x:v>N/A</x:v>
      </x:c>
      <x:c r="AQ53" s="32" t="str">
        <x:v>값검증대기</x:v>
      </x:c>
      <x:c r="AR53" s="32" t="str">
        <x:v>TABLE_ONLY</x:v>
      </x:c>
      <x:c r="AS53" s="32" t="str">
        <x:v>HIGH</x:v>
      </x:c>
      <x:c r="AT53" s="33" t="str">
        <x:v>READY:AVIATION_OFFICIAL_SERIES; 잠긴 Codex 공통 골드에서 측정·검증 가능 판정, KOSIS MCP로 통계표명 재확인, 세부 항목·분류·실제값은 미확정.</x:v>
      </x:c>
      <x:c r="AU53" s="32" t="str">
        <x:v>https://kosis.kr/statHtml/statHtml.do?orgId=444&amp;tblId=DT_444002_N2023A006&amp;vw_cd=MT_ZTITLE</x:v>
      </x:c>
      <x:c r="AV53" s="32" t="n">
        <x:v>46239.31775462963</x:v>
      </x:c>
      <x:c r="AW53" s="32" t="str">
        <x:v>CODEX_COMMON_GOLD_V1+KOSIS_MCP_TABLE_INFO_200</x:v>
      </x:c>
      <x:c r="AX53" s="32" t="str">
        <x:v>N</x:v>
      </x:c>
    </x:row>
    <x:row r="54">
      <x:c r="A54" s="32" t="str">
        <x:v>A0009-CG0234</x:v>
      </x:c>
      <x:c r="B54" s="32" t="str">
        <x:v>A0009-CG0234-m1</x:v>
      </x:c>
      <x:c r="C54" s="32" t="str">
        <x:v>A0009</x:v>
      </x:c>
      <x:c r="D54" s="32" t="str">
        <x:v>승객 수는 더 많은 LCC, 정비사는 대형 항공사의 38%</x:v>
      </x:c>
      <x:c r="E54" s="32" t="str">
        <x:v>2025-01-01</x:v>
      </x:c>
      <x:c r="F54" s="32" t="str">
        <x:v>https://www.chosun.com/economy/industry-company/2025/01/01/PVCPHJRE7RDT7L2ZG2LDED5NNA</x:v>
      </x:c>
      <x:c r="G54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 제주항공·진에어 등 LCC 10사의 정비사는 모두 1601명으로, 대형항공사의 3분의 1 수준(37.7%)에 그쳤다.</x:v>
      </x:c>
      <x:c r="H54" s="32" t="str">
        <x:v>5849명</x:v>
      </x:c>
      <x:c r="I54" s="32" t="str">
        <x:v>KOSIS_VALUE</x:v>
      </x:c>
      <x:c r="J54" s="32" t="str">
        <x:v>국내공식통계</x:v>
      </x:c>
      <x:c r="K54" s="32" t="str">
        <x:v>codex_common_codebook</x:v>
      </x:c>
      <x:c r="L54" s="32" t="str">
        <x:v>현재값</x:v>
      </x:c>
      <x:c r="M54" s="32" t="str">
        <x:v>정비사 총수</x:v>
      </x:c>
      <x:c r="N54" s="32" t="str">
        <x:v>항공</x:v>
      </x:c>
      <x:c r="O54" s="32" t="str">
        <x:v>5849</x:v>
      </x:c>
      <x:c r="P54" s="32" t="str">
        <x:v>명</x:v>
      </x:c>
      <x:c r="Q54" s="32" t="str">
        <x:v>2023</x:v>
      </x:c>
      <x:c r="R54" s="32" t="str">
        <x:v>Y</x:v>
      </x:c>
      <x:c r="S54" s="32" t="str">
        <x:v>Y</x:v>
      </x:c>
      <x:c r="T54" s="32" t="str">
        <x:v>Y</x:v>
      </x:c>
      <x:c r="U54" s="32" t="str">
        <x:v>Y</x:v>
      </x:c>
      <x:c r="V54" s="32" t="str">
        <x:v>CODEBOOK_KOSIS</x:v>
      </x:c>
      <x:c r="W54" s="32" t="str">
        <x:v>444</x:v>
      </x:c>
      <x:c r="X54" s="32" t="str">
        <x:v>DT_444002_N2023A006</x:v>
      </x:c>
      <x:c r="Y54" s="32" t="str">
        <x:v>직무별 종사자 현황</x:v>
      </x:c>
      <x:c r="Z54" s="32" t="str">
        <x:v>N/A</x:v>
      </x:c>
      <x:c r="AA54" s="32" t="str">
        <x:v>N/A</x:v>
      </x:c>
      <x:c r="AB54" s="32" t="str">
        <x:v>N/A</x:v>
      </x:c>
      <x:c r="AC54" s="32" t="str">
        <x:v>N/A</x:v>
      </x:c>
      <x:c r="AD54" s="32" t="str">
        <x:v>Y</x:v>
      </x:c>
      <x:c r="AE54" s="32" t="str">
        <x:v>2023</x:v>
      </x:c>
      <x:c r="AF54" s="32" t="str">
        <x:v>N/A</x:v>
      </x:c>
      <x:c r="AG54" s="32" t="str">
        <x:v>현재값</x:v>
      </x:c>
      <x:c r="AH54" s="32" t="str">
        <x:v>TABLE_SERIES_LABEL</x:v>
      </x:c>
      <x:c r="AI54" s="32" t="str">
        <x:v>N/A</x:v>
      </x:c>
      <x:c r="AJ54" s="32" t="str">
        <x:v>N/A</x:v>
      </x:c>
      <x:c r="AK54" s="32" t="str">
        <x:v>N/A</x:v>
      </x:c>
      <x:c r="AL54" s="32" t="str">
        <x:v>N/A</x:v>
      </x:c>
      <x:c r="AM54" s="32" t="str">
        <x:v>5849</x:v>
      </x:c>
      <x:c r="AN54" s="32" t="str">
        <x:v>N/A</x:v>
      </x:c>
      <x:c r="AO54" s="32" t="str">
        <x:v>N/A</x:v>
      </x:c>
      <x:c r="AP54" s="32" t="str">
        <x:v>N/A</x:v>
      </x:c>
      <x:c r="AQ54" s="32" t="str">
        <x:v>값검증대기</x:v>
      </x:c>
      <x:c r="AR54" s="32" t="str">
        <x:v>TABLE_ONLY</x:v>
      </x:c>
      <x:c r="AS54" s="32" t="str">
        <x:v>HIGH</x:v>
      </x:c>
      <x:c r="AT54" s="33" t="str">
        <x:v>READY:AVIATION_OFFICIAL_SERIES; 잠긴 Codex 공통 골드에서 측정·검증 가능 판정, KOSIS MCP로 통계표명 재확인, 세부 항목·분류·실제값은 미확정.</x:v>
      </x:c>
      <x:c r="AU54" s="32" t="str">
        <x:v>https://kosis.kr/statHtml/statHtml.do?orgId=444&amp;tblId=DT_444002_N2023A006&amp;vw_cd=MT_ZTITLE</x:v>
      </x:c>
      <x:c r="AV54" s="32" t="n">
        <x:v>46239.31775462963</x:v>
      </x:c>
      <x:c r="AW54" s="32" t="str">
        <x:v>CODEX_COMMON_GOLD_V1+KOSIS_MCP_TABLE_INFO_200</x:v>
      </x:c>
      <x:c r="AX54" s="32" t="str">
        <x:v>N</x:v>
      </x:c>
    </x:row>
    <x:row r="55">
      <x:c r="A55" s="32" t="str">
        <x:v>A0009-CG0235</x:v>
      </x:c>
      <x:c r="B55" s="32" t="str">
        <x:v>A0009-CG0235-m1</x:v>
      </x:c>
      <x:c r="C55" s="32" t="str">
        <x:v>A0009</x:v>
      </x:c>
      <x:c r="D55" s="32" t="str">
        <x:v>승객 수는 더 많은 LCC, 정비사는 대형 항공사의 38%</x:v>
      </x:c>
      <x:c r="E55" s="32" t="str">
        <x:v>2025-01-01</x:v>
      </x:c>
      <x:c r="F55" s="32" t="str">
        <x:v>https://www.chosun.com/economy/industry-company/2025/01/01/PVCPHJRE7RDT7L2ZG2LDED5NNA</x:v>
      </x:c>
      <x:c r="G55" s="33" t="str">
        <x:v>정부가 내세운 기준은 항공기 1대당 정비사 12명(당시 9~11명)이었다.</x:v>
      </x:c>
      <x:c r="H55" s="32" t="str">
        <x:v>당시 9~11명</x:v>
      </x:c>
      <x:c r="I55" s="32" t="str">
        <x:v>KOSIS_VALUE</x:v>
      </x:c>
      <x:c r="J55" s="32" t="str">
        <x:v>국내공식통계</x:v>
      </x:c>
      <x:c r="K55" s="32" t="str">
        <x:v>codex_common_codebook</x:v>
      </x:c>
      <x:c r="L55" s="32" t="str">
        <x:v>참고값</x:v>
      </x:c>
      <x:c r="M55" s="32" t="str">
        <x:v>정비사 비율</x:v>
      </x:c>
      <x:c r="N55" s="32" t="str">
        <x:v>항공기</x:v>
      </x:c>
      <x:c r="O55" s="32" t="str">
        <x:v>9</x:v>
      </x:c>
      <x:c r="P55" s="32" t="str">
        <x:v>명</x:v>
      </x:c>
      <x:c r="Q55" s="32" t="str">
        <x:v>2023</x:v>
      </x:c>
      <x:c r="R55" s="32" t="str">
        <x:v>Y</x:v>
      </x:c>
      <x:c r="S55" s="32" t="str">
        <x:v>Y</x:v>
      </x:c>
      <x:c r="T55" s="32" t="str">
        <x:v>Y</x:v>
      </x:c>
      <x:c r="U55" s="32" t="str">
        <x:v>Y</x:v>
      </x:c>
      <x:c r="V55" s="32" t="str">
        <x:v>CODEBOOK_KOSIS</x:v>
      </x:c>
      <x:c r="W55" s="32" t="str">
        <x:v>444</x:v>
      </x:c>
      <x:c r="X55" s="32" t="str">
        <x:v>DT_444002_N2023A006</x:v>
      </x:c>
      <x:c r="Y55" s="32" t="str">
        <x:v>직무별 종사자 현황</x:v>
      </x:c>
      <x:c r="Z55" s="32" t="str">
        <x:v>N/A</x:v>
      </x:c>
      <x:c r="AA55" s="32" t="str">
        <x:v>N/A</x:v>
      </x:c>
      <x:c r="AB55" s="32" t="str">
        <x:v>N/A</x:v>
      </x:c>
      <x:c r="AC55" s="32" t="str">
        <x:v>N/A</x:v>
      </x:c>
      <x:c r="AD55" s="32" t="str">
        <x:v>Y</x:v>
      </x:c>
      <x:c r="AE55" s="32" t="str">
        <x:v>2023</x:v>
      </x:c>
      <x:c r="AF55" s="32" t="str">
        <x:v>N/A</x:v>
      </x:c>
      <x:c r="AG55" s="32" t="str">
        <x:v>참고값</x:v>
      </x:c>
      <x:c r="AH55" s="32" t="str">
        <x:v>TABLE_SERIES_LABEL</x:v>
      </x:c>
      <x:c r="AI55" s="32" t="str">
        <x:v>N/A</x:v>
      </x:c>
      <x:c r="AJ55" s="32" t="str">
        <x:v>N/A</x:v>
      </x:c>
      <x:c r="AK55" s="32" t="str">
        <x:v>N/A</x:v>
      </x:c>
      <x:c r="AL55" s="32" t="str">
        <x:v>N/A</x:v>
      </x:c>
      <x:c r="AM55" s="32" t="str">
        <x:v>9</x:v>
      </x:c>
      <x:c r="AN55" s="32" t="str">
        <x:v>N/A</x:v>
      </x:c>
      <x:c r="AO55" s="32" t="str">
        <x:v>N/A</x:v>
      </x:c>
      <x:c r="AP55" s="32" t="str">
        <x:v>N/A</x:v>
      </x:c>
      <x:c r="AQ55" s="32" t="str">
        <x:v>값검증대기</x:v>
      </x:c>
      <x:c r="AR55" s="32" t="str">
        <x:v>TABLE_ONLY</x:v>
      </x:c>
      <x:c r="AS55" s="32" t="str">
        <x:v>HIGH</x:v>
      </x:c>
      <x:c r="AT55" s="33" t="str">
        <x:v>READY:AVIATION_OFFICIAL_SERIES; 잠긴 Codex 공통 골드에서 측정·검증 가능 판정, KOSIS MCP로 통계표명 재확인, 세부 항목·분류·실제값은 미확정.</x:v>
      </x:c>
      <x:c r="AU55" s="32" t="str">
        <x:v>https://kosis.kr/statHtml/statHtml.do?orgId=444&amp;tblId=DT_444002_N2023A006&amp;vw_cd=MT_ZTITLE</x:v>
      </x:c>
      <x:c r="AV55" s="32" t="n">
        <x:v>46239.31775462963</x:v>
      </x:c>
      <x:c r="AW55" s="32" t="str">
        <x:v>CODEX_COMMON_GOLD_V1+KOSIS_MCP_TABLE_INFO_200</x:v>
      </x:c>
      <x:c r="AX55" s="32" t="str">
        <x:v>N</x:v>
      </x:c>
    </x:row>
    <x:row r="56">
      <x:c r="A56" s="32" t="str">
        <x:v>A0012-C009</x:v>
      </x:c>
      <x:c r="B56" s="32" t="str">
        <x:v>A0012-C009-m2</x:v>
      </x:c>
      <x:c r="C56" s="32" t="str">
        <x:v>A0012</x:v>
      </x:c>
      <x:c r="D56" s="32" t="str">
        <x:v>조선업 산업기술인력 9년 만에 다시 상승세</x:v>
      </x:c>
      <x:c r="E56" s="32" t="str">
        <x:v>2025-01-01</x:v>
      </x:c>
      <x:c r="F56" s="32" t="str">
        <x:v>https://www.chosun.com/economy/industry-company/2025/01/01/VR4RUPY3CFEGZGFC5M4JPY5SDE</x:v>
      </x:c>
      <x:c r="G56" s="33" t="str">
        <x:v>조선 산업기술인력 중 외국인은 2022년 877명에서 2023년 2563명으로 3배 가까이 늘었다.</x:v>
      </x:c>
      <x:c r="H56" s="32" t="str">
        <x:v>2563명</x:v>
      </x:c>
      <x:c r="I56" s="32" t="str">
        <x:v>KOSIS_VALUE</x:v>
      </x:c>
      <x:c r="J56" s="32" t="str">
        <x:v>국내공식통계</x:v>
      </x:c>
      <x:c r="K56" s="32" t="str">
        <x:v>hcx</x:v>
      </x:c>
      <x:c r="L56" s="32" t="str">
        <x:v>현재값</x:v>
      </x:c>
      <x:c r="M56" s="32" t="str">
        <x:v>조선 산업기술인력 중 외국인 수</x:v>
      </x:c>
      <x:c r="N56" s="32" t="str">
        <x:v>조선업</x:v>
      </x:c>
      <x:c r="O56" s="32" t="str">
        <x:v>2563</x:v>
      </x:c>
      <x:c r="P56" s="32" t="str">
        <x:v>명</x:v>
      </x:c>
      <x:c r="Q56" s="32" t="str">
        <x:v>2023</x:v>
      </x:c>
      <x:c r="R56" s="32" t="str">
        <x:v>Y</x:v>
      </x:c>
      <x:c r="S56" s="32" t="str">
        <x:v>N</x:v>
      </x:c>
      <x:c r="T56" s="32" t="str">
        <x:v>Y</x:v>
      </x:c>
      <x:c r="U56" s="32" t="str">
        <x:v>N</x:v>
      </x:c>
      <x:c r="V56" s="32" t="str">
        <x:v>MCP_NOT_VERIFIABLE</x:v>
      </x:c>
      <x:c r="W56" s="32" t="str">
        <x:v>N/A</x:v>
      </x:c>
      <x:c r="X56" s="32" t="str">
        <x:v>N/A</x:v>
      </x:c>
      <x:c r="Y56" s="32" t="str">
        <x:v>N/A</x:v>
      </x:c>
      <x:c r="Z56" s="32" t="str">
        <x:v>N/A</x:v>
      </x:c>
      <x:c r="AA56" s="32" t="str">
        <x:v>N/A</x:v>
      </x:c>
      <x:c r="AB56" s="32" t="str">
        <x:v>N/A</x:v>
      </x:c>
      <x:c r="AC56" s="32" t="str">
        <x:v>N/A</x:v>
      </x:c>
      <x:c r="AD56" s="32" t="str">
        <x:v>N/A</x:v>
      </x:c>
      <x:c r="AE56" s="32" t="str">
        <x:v>N/A</x:v>
      </x:c>
      <x:c r="AF56" s="32" t="str">
        <x:v>N/A</x:v>
      </x:c>
      <x:c r="AG56" s="32" t="str">
        <x:v>N/A</x:v>
      </x:c>
      <x:c r="AH56" s="32" t="str">
        <x:v>N/A</x:v>
      </x:c>
      <x:c r="AI56" s="32" t="str">
        <x:v>N/A</x:v>
      </x:c>
      <x:c r="AJ56" s="32" t="str">
        <x:v>N/A</x:v>
      </x:c>
      <x:c r="AK56" s="32" t="str">
        <x:v>N/A</x:v>
      </x:c>
      <x:c r="AL56" s="32" t="str">
        <x:v>N/A</x:v>
      </x:c>
      <x:c r="AM56" s="32" t="str">
        <x:v>N/A</x:v>
      </x:c>
      <x:c r="AN56" s="32" t="str">
        <x:v>N/A</x:v>
      </x:c>
      <x:c r="AO56" s="32" t="str">
        <x:v>N/A</x:v>
      </x:c>
      <x:c r="AP56" s="32" t="str">
        <x:v>N/A</x:v>
      </x:c>
      <x:c r="AQ56" s="32" t="str">
        <x:v>판단불가</x:v>
      </x:c>
      <x:c r="AR56" s="32" t="str">
        <x:v>NOT_APPLICABLE</x:v>
      </x:c>
      <x:c r="AS56" s="32" t="str">
        <x:v>HIGH</x:v>
      </x:c>
      <x:c r="AT56" s="33" t="str">
        <x:v>검색된 산업기술인력 표는 지역축만 제공해 전국 조선업 외국인 수를 직접 고정할 수 없음.</x:v>
      </x:c>
      <x:c r="AU56" s="32" t="str">
        <x:v>N/A</x:v>
      </x:c>
      <x:c r="AV56" s="32" t="n">
        <x:v>46239.28157407408</x:v>
      </x:c>
      <x:c r="AW56" s="32" t="str">
        <x:v>KOSIS_MCP_AUTO_V3</x:v>
      </x:c>
      <x:c r="AX56" s="32" t="str">
        <x:v>N</x:v>
      </x:c>
    </x:row>
    <x:row r="57">
      <x:c r="A57" s="32" t="str">
        <x:v>A0012-CG0253</x:v>
      </x:c>
      <x:c r="B57" s="32" t="str">
        <x:v>A0012-CG0253-m1</x:v>
      </x:c>
      <x:c r="C57" s="32" t="str">
        <x:v>A0012</x:v>
      </x:c>
      <x:c r="D57" s="32" t="str">
        <x:v>조선업 산업기술인력 9년 만에 다시 상승세</x:v>
      </x:c>
      <x:c r="E57" s="32" t="str">
        <x:v>2025-01-01</x:v>
      </x:c>
      <x:c r="F57" s="32" t="str">
        <x:v>https://www.chosun.com/economy/industry-company/2025/01/01/VR4RUPY3CFEGZGFC5M4JPY5SDE</x:v>
      </x:c>
      <x:c r="G57" s="33" t="str">
        <x:v>이들이 차지하는 비율도 같은 기간 1.5%에서 4.4%로 증가했다.</x:v>
      </x:c>
      <x:c r="H57" s="32" t="str">
        <x:v>1.5%</x:v>
      </x:c>
      <x:c r="I57" s="32" t="str">
        <x:v>KOSIS_VALUE</x:v>
      </x:c>
      <x:c r="J57" s="32" t="str">
        <x:v>국내공식통계</x:v>
      </x:c>
      <x:c r="K57" s="32" t="str">
        <x:v>codex_common_codebook</x:v>
      </x:c>
      <x:c r="L57" s="32" t="str">
        <x:v>증감률</x:v>
      </x:c>
      <x:c r="M57" s="32" t="str">
        <x:v>조선 산업기술인력 중 외국인의 비율</x:v>
      </x:c>
      <x:c r="N57" s="32" t="str">
        <x:v>조선업</x:v>
      </x:c>
      <x:c r="O57" s="32" t="str">
        <x:v>1.5</x:v>
      </x:c>
      <x:c r="P57" s="32" t="str">
        <x:v>%</x:v>
      </x:c>
      <x:c r="Q57" s="32" t="str">
        <x:v>2022</x:v>
      </x:c>
      <x:c r="R57" s="32" t="str">
        <x:v>Y</x:v>
      </x:c>
      <x:c r="S57" s="32" t="str">
        <x:v>Y</x:v>
      </x:c>
      <x:c r="T57" s="32" t="str">
        <x:v>Y</x:v>
      </x:c>
      <x:c r="U57" s="32" t="str">
        <x:v>Y</x:v>
      </x:c>
      <x:c r="V57" s="32" t="str">
        <x:v>CODEBOOK_KOSIS</x:v>
      </x:c>
      <x:c r="W57" s="32" t="str">
        <x:v>115</x:v>
      </x:c>
      <x:c r="X57" s="32" t="str">
        <x:v>DT_115_2012_AA001</x:v>
      </x:c>
      <x:c r="Y57" s="32" t="str">
        <x:v>산업별(중분류) 현재인원(성별, 고용형태별 등)</x:v>
      </x:c>
      <x:c r="Z57" s="32" t="str">
        <x:v>N/A</x:v>
      </x:c>
      <x:c r="AA57" s="32" t="str">
        <x:v>N/A</x:v>
      </x:c>
      <x:c r="AB57" s="32" t="str">
        <x:v>N/A</x:v>
      </x:c>
      <x:c r="AC57" s="32" t="str">
        <x:v>N/A</x:v>
      </x:c>
      <x:c r="AD57" s="32" t="str">
        <x:v>Y</x:v>
      </x:c>
      <x:c r="AE57" s="32" t="str">
        <x:v>2022</x:v>
      </x:c>
      <x:c r="AF57" s="32" t="str">
        <x:v>N/A</x:v>
      </x:c>
      <x:c r="AG57" s="32" t="str">
        <x:v>증감률</x:v>
      </x:c>
      <x:c r="AH57" s="32" t="str">
        <x:v>TABLE_SERIES_LABEL</x:v>
      </x:c>
      <x:c r="AI57" s="32" t="str">
        <x:v>N/A</x:v>
      </x:c>
      <x:c r="AJ57" s="32" t="str">
        <x:v>N/A</x:v>
      </x:c>
      <x:c r="AK57" s="32" t="str">
        <x:v>N/A</x:v>
      </x:c>
      <x:c r="AL57" s="32" t="str">
        <x:v>N/A</x:v>
      </x:c>
      <x:c r="AM57" s="32" t="str">
        <x:v>1.5</x:v>
      </x:c>
      <x:c r="AN57" s="32" t="str">
        <x:v>N/A</x:v>
      </x:c>
      <x:c r="AO57" s="32" t="str">
        <x:v>N/A</x:v>
      </x:c>
      <x:c r="AP57" s="32" t="str">
        <x:v>N/A</x:v>
      </x:c>
      <x:c r="AQ57" s="32" t="str">
        <x:v>값검증대기</x:v>
      </x:c>
      <x:c r="AR57" s="32" t="str">
        <x:v>TABLE_ONLY</x:v>
      </x:c>
      <x:c r="AS57" s="32" t="str">
        <x:v>HIGH</x:v>
      </x:c>
      <x:c r="AT57" s="33" t="str">
        <x:v>READY:INDUSTRIAL_WORKFORCE_SURVEY; 잠긴 Codex 공통 골드에서 측정·검증 가능 판정, KOSIS MCP로 통계표명 재확인, 세부 항목·분류·실제값은 미확정.</x:v>
      </x:c>
      <x:c r="AU57" s="32" t="str">
        <x:v>https://kosis.kr/statHtml/statHtml.do?orgId=115&amp;tblId=DT_115_2012_AA001&amp;vw_cd=MT_ZTITLE</x:v>
      </x:c>
      <x:c r="AV57" s="32" t="n">
        <x:v>46239.31775462963</x:v>
      </x:c>
      <x:c r="AW57" s="32" t="str">
        <x:v>CODEX_COMMON_GOLD_V1+KOSIS_MCP_TABLE_INFO_200</x:v>
      </x:c>
      <x:c r="AX57" s="32" t="str">
        <x:v>N</x:v>
      </x:c>
    </x:row>
    <x:row r="58">
      <x:c r="A58" s="32" t="str">
        <x:v>A0012-CG0256</x:v>
      </x:c>
      <x:c r="B58" s="32" t="str">
        <x:v>A0012-CG0256-m1</x:v>
      </x:c>
      <x:c r="C58" s="32" t="str">
        <x:v>A0012</x:v>
      </x:c>
      <x:c r="D58" s="32" t="str">
        <x:v>조선업 산업기술인력 9년 만에 다시 상승세</x:v>
      </x:c>
      <x:c r="E58" s="32" t="str">
        <x:v>2025-01-01</x:v>
      </x:c>
      <x:c r="F58" s="32" t="str">
        <x:v>https://www.chosun.com/economy/industry-company/2025/01/01/VR4RUPY3CFEGZGFC5M4JPY5SDE</x:v>
      </x:c>
      <x:c r="G58" s="33" t="str">
        <x:v>이들이 차지하는 비율도 같은 기간 1.5%에서 4.4%로 증가했다.</x:v>
      </x:c>
      <x:c r="H58" s="32" t="str">
        <x:v>4.4%</x:v>
      </x:c>
      <x:c r="I58" s="32" t="str">
        <x:v>KOSIS_VALUE</x:v>
      </x:c>
      <x:c r="J58" s="32" t="str">
        <x:v>국내공식통계</x:v>
      </x:c>
      <x:c r="K58" s="32" t="str">
        <x:v>codex_common_codebook</x:v>
      </x:c>
      <x:c r="L58" s="32" t="str">
        <x:v>증감률</x:v>
      </x:c>
      <x:c r="M58" s="32" t="str">
        <x:v>조선 산업기술인력 중 외국인의 비율</x:v>
      </x:c>
      <x:c r="N58" s="32" t="str">
        <x:v>조선업</x:v>
      </x:c>
      <x:c r="O58" s="32" t="str">
        <x:v>4.4</x:v>
      </x:c>
      <x:c r="P58" s="32" t="str">
        <x:v>%</x:v>
      </x:c>
      <x:c r="Q58" s="32" t="str">
        <x:v>2023</x:v>
      </x:c>
      <x:c r="R58" s="32" t="str">
        <x:v>Y</x:v>
      </x:c>
      <x:c r="S58" s="32" t="str">
        <x:v>Y</x:v>
      </x:c>
      <x:c r="T58" s="32" t="str">
        <x:v>Y</x:v>
      </x:c>
      <x:c r="U58" s="32" t="str">
        <x:v>Y</x:v>
      </x:c>
      <x:c r="V58" s="32" t="str">
        <x:v>CODEBOOK_KOSIS</x:v>
      </x:c>
      <x:c r="W58" s="32" t="str">
        <x:v>115</x:v>
      </x:c>
      <x:c r="X58" s="32" t="str">
        <x:v>DT_115_2012_AA001</x:v>
      </x:c>
      <x:c r="Y58" s="32" t="str">
        <x:v>산업별(중분류) 현재인원(성별, 고용형태별 등)</x:v>
      </x:c>
      <x:c r="Z58" s="32" t="str">
        <x:v>N/A</x:v>
      </x:c>
      <x:c r="AA58" s="32" t="str">
        <x:v>N/A</x:v>
      </x:c>
      <x:c r="AB58" s="32" t="str">
        <x:v>N/A</x:v>
      </x:c>
      <x:c r="AC58" s="32" t="str">
        <x:v>N/A</x:v>
      </x:c>
      <x:c r="AD58" s="32" t="str">
        <x:v>Y</x:v>
      </x:c>
      <x:c r="AE58" s="32" t="str">
        <x:v>2023</x:v>
      </x:c>
      <x:c r="AF58" s="32" t="str">
        <x:v>N/A</x:v>
      </x:c>
      <x:c r="AG58" s="32" t="str">
        <x:v>증감률</x:v>
      </x:c>
      <x:c r="AH58" s="32" t="str">
        <x:v>TABLE_SERIES_LABEL</x:v>
      </x:c>
      <x:c r="AI58" s="32" t="str">
        <x:v>N/A</x:v>
      </x:c>
      <x:c r="AJ58" s="32" t="str">
        <x:v>N/A</x:v>
      </x:c>
      <x:c r="AK58" s="32" t="str">
        <x:v>N/A</x:v>
      </x:c>
      <x:c r="AL58" s="32" t="str">
        <x:v>N/A</x:v>
      </x:c>
      <x:c r="AM58" s="32" t="str">
        <x:v>4.4</x:v>
      </x:c>
      <x:c r="AN58" s="32" t="str">
        <x:v>N/A</x:v>
      </x:c>
      <x:c r="AO58" s="32" t="str">
        <x:v>N/A</x:v>
      </x:c>
      <x:c r="AP58" s="32" t="str">
        <x:v>N/A</x:v>
      </x:c>
      <x:c r="AQ58" s="32" t="str">
        <x:v>값검증대기</x:v>
      </x:c>
      <x:c r="AR58" s="32" t="str">
        <x:v>TABLE_ONLY</x:v>
      </x:c>
      <x:c r="AS58" s="32" t="str">
        <x:v>HIGH</x:v>
      </x:c>
      <x:c r="AT58" s="33" t="str">
        <x:v>READY:INDUSTRIAL_WORKFORCE_SURVEY; 잠긴 Codex 공통 골드에서 측정·검증 가능 판정, KOSIS MCP로 통계표명 재확인, 세부 항목·분류·실제값은 미확정.</x:v>
      </x:c>
      <x:c r="AU58" s="32" t="str">
        <x:v>https://kosis.kr/statHtml/statHtml.do?orgId=115&amp;tblId=DT_115_2012_AA001&amp;vw_cd=MT_ZTITLE</x:v>
      </x:c>
      <x:c r="AV58" s="32" t="n">
        <x:v>46239.31775462963</x:v>
      </x:c>
      <x:c r="AW58" s="32" t="str">
        <x:v>CODEX_COMMON_GOLD_V1+KOSIS_MCP_TABLE_INFO_200</x:v>
      </x:c>
      <x:c r="AX58" s="32" t="str">
        <x:v>N</x:v>
      </x:c>
    </x:row>
    <x:row r="59">
      <x:c r="A59" s="32" t="str">
        <x:v>A0012-CG0257</x:v>
      </x:c>
      <x:c r="B59" s="32" t="str">
        <x:v>A0012-CG0257-m1</x:v>
      </x:c>
      <x:c r="C59" s="32" t="str">
        <x:v>A0012</x:v>
      </x:c>
      <x:c r="D59" s="32" t="str">
        <x:v>조선업 산업기술인력 9년 만에 다시 상승세</x:v>
      </x:c>
      <x:c r="E59" s="32" t="str">
        <x:v>2025-01-01</x:v>
      </x:c>
      <x:c r="F59" s="32" t="str">
        <x:v>https://www.chosun.com/economy/industry-company/2025/01/01/VR4RUPY3CFEGZGFC5M4JPY5SDE</x:v>
      </x:c>
      <x:c r="G59" s="33" t="str">
        <x:v>조선 산업기술인력 중 외국인은 2022년 877명에서 2023년 2563명으로 3배 가까이 늘었다.</x:v>
      </x:c>
      <x:c r="H59" s="32" t="str">
        <x:v>877명</x:v>
      </x:c>
      <x:c r="I59" s="32" t="str">
        <x:v>KOSIS_VALUE</x:v>
      </x:c>
      <x:c r="J59" s="32" t="str">
        <x:v>국내공식통계</x:v>
      </x:c>
      <x:c r="K59" s="32" t="str">
        <x:v>codex_common_codebook</x:v>
      </x:c>
      <x:c r="L59" s="32" t="str">
        <x:v>이전값</x:v>
      </x:c>
      <x:c r="M59" s="32" t="str">
        <x:v>조선 산업기술인력 중 외국인 수</x:v>
      </x:c>
      <x:c r="N59" s="32" t="str">
        <x:v>조선업</x:v>
      </x:c>
      <x:c r="O59" s="32" t="str">
        <x:v>877</x:v>
      </x:c>
      <x:c r="P59" s="32" t="str">
        <x:v>명</x:v>
      </x:c>
      <x:c r="Q59" s="32" t="str">
        <x:v>2022</x:v>
      </x:c>
      <x:c r="R59" s="32" t="str">
        <x:v>Y</x:v>
      </x:c>
      <x:c r="S59" s="32" t="str">
        <x:v>Y</x:v>
      </x:c>
      <x:c r="T59" s="32" t="str">
        <x:v>Y</x:v>
      </x:c>
      <x:c r="U59" s="32" t="str">
        <x:v>Y</x:v>
      </x:c>
      <x:c r="V59" s="32" t="str">
        <x:v>CODEBOOK_KOSIS</x:v>
      </x:c>
      <x:c r="W59" s="32" t="str">
        <x:v>115</x:v>
      </x:c>
      <x:c r="X59" s="32" t="str">
        <x:v>DT_115_2012_AA001</x:v>
      </x:c>
      <x:c r="Y59" s="32" t="str">
        <x:v>산업별(중분류) 현재인원(성별, 고용형태별 등)</x:v>
      </x:c>
      <x:c r="Z59" s="32" t="str">
        <x:v>N/A</x:v>
      </x:c>
      <x:c r="AA59" s="32" t="str">
        <x:v>N/A</x:v>
      </x:c>
      <x:c r="AB59" s="32" t="str">
        <x:v>N/A</x:v>
      </x:c>
      <x:c r="AC59" s="32" t="str">
        <x:v>N/A</x:v>
      </x:c>
      <x:c r="AD59" s="32" t="str">
        <x:v>Y</x:v>
      </x:c>
      <x:c r="AE59" s="32" t="str">
        <x:v>2022</x:v>
      </x:c>
      <x:c r="AF59" s="32" t="str">
        <x:v>N/A</x:v>
      </x:c>
      <x:c r="AG59" s="32" t="str">
        <x:v>이전값</x:v>
      </x:c>
      <x:c r="AH59" s="32" t="str">
        <x:v>TABLE_SERIES_LABEL</x:v>
      </x:c>
      <x:c r="AI59" s="32" t="str">
        <x:v>N/A</x:v>
      </x:c>
      <x:c r="AJ59" s="32" t="str">
        <x:v>N/A</x:v>
      </x:c>
      <x:c r="AK59" s="32" t="str">
        <x:v>N/A</x:v>
      </x:c>
      <x:c r="AL59" s="32" t="str">
        <x:v>N/A</x:v>
      </x:c>
      <x:c r="AM59" s="32" t="str">
        <x:v>877</x:v>
      </x:c>
      <x:c r="AN59" s="32" t="str">
        <x:v>N/A</x:v>
      </x:c>
      <x:c r="AO59" s="32" t="str">
        <x:v>N/A</x:v>
      </x:c>
      <x:c r="AP59" s="32" t="str">
        <x:v>N/A</x:v>
      </x:c>
      <x:c r="AQ59" s="32" t="str">
        <x:v>값검증대기</x:v>
      </x:c>
      <x:c r="AR59" s="32" t="str">
        <x:v>TABLE_ONLY</x:v>
      </x:c>
      <x:c r="AS59" s="32" t="str">
        <x:v>HIGH</x:v>
      </x:c>
      <x:c r="AT59" s="33" t="str">
        <x:v>READY:INDUSTRIAL_WORKFORCE_SURVEY; 잠긴 Codex 공통 골드에서 측정·검증 가능 판정, KOSIS MCP로 통계표명 재확인, 세부 항목·분류·실제값은 미확정.</x:v>
      </x:c>
      <x:c r="AU59" s="32" t="str">
        <x:v>https://kosis.kr/statHtml/statHtml.do?orgId=115&amp;tblId=DT_115_2012_AA001&amp;vw_cd=MT_ZTITLE</x:v>
      </x:c>
      <x:c r="AV59" s="32" t="n">
        <x:v>46239.31775462963</x:v>
      </x:c>
      <x:c r="AW59" s="32" t="str">
        <x:v>CODEX_COMMON_GOLD_V1+KOSIS_MCP_TABLE_INFO_200</x:v>
      </x:c>
      <x:c r="AX59" s="32" t="str">
        <x:v>N</x:v>
      </x:c>
    </x:row>
    <x:row r="60">
      <x:c r="A60" s="32" t="str">
        <x:v>A0012-CG0258</x:v>
      </x:c>
      <x:c r="B60" s="32" t="str">
        <x:v>A0012-CG0258-m1</x:v>
      </x:c>
      <x:c r="C60" s="32" t="str">
        <x:v>A0012</x:v>
      </x:c>
      <x:c r="D60" s="32" t="str">
        <x:v>조선업 산업기술인력 9년 만에 다시 상승세</x:v>
      </x:c>
      <x:c r="E60" s="32" t="str">
        <x:v>2025-01-01</x:v>
      </x:c>
      <x:c r="F60" s="32" t="str">
        <x:v>https://www.chosun.com/economy/industry-company/2025/01/01/VR4RUPY3CFEGZGFC5M4JPY5SDE</x:v>
      </x:c>
      <x:c r="G60" s="33" t="str">
        <x:v>한편 이번 조사에서 우리나라 전체 산업기술인력 규모는 171만6846명으로 전년 대비 1% 증가한 것으로 나타났다.</x:v>
      </x:c>
      <x:c r="H60" s="32" t="str">
        <x:v>171만6846명</x:v>
      </x:c>
      <x:c r="I60" s="32" t="str">
        <x:v>KOSIS_VALUE</x:v>
      </x:c>
      <x:c r="J60" s="32" t="str">
        <x:v>국내공식통계</x:v>
      </x:c>
      <x:c r="K60" s="32" t="str">
        <x:v>codex_common_codebook</x:v>
      </x:c>
      <x:c r="L60" s="32" t="str">
        <x:v>현재값</x:v>
      </x:c>
      <x:c r="M60" s="32" t="str">
        <x:v>우리나라 전체 산업기술인력 규모</x:v>
      </x:c>
      <x:c r="N60" s="32" t="str">
        <x:v>우리나라 전체 산업기술인력 규모</x:v>
      </x:c>
      <x:c r="O60" s="32" t="str">
        <x:v>1716846</x:v>
      </x:c>
      <x:c r="P60" s="32" t="str">
        <x:v>명</x:v>
      </x:c>
      <x:c r="Q60" s="32" t="str">
        <x:v>2023</x:v>
      </x:c>
      <x:c r="R60" s="32" t="str">
        <x:v>Y</x:v>
      </x:c>
      <x:c r="S60" s="32" t="str">
        <x:v>Y</x:v>
      </x:c>
      <x:c r="T60" s="32" t="str">
        <x:v>Y</x:v>
      </x:c>
      <x:c r="U60" s="32" t="str">
        <x:v>Y</x:v>
      </x:c>
      <x:c r="V60" s="32" t="str">
        <x:v>CODEBOOK_KOSIS</x:v>
      </x:c>
      <x:c r="W60" s="32" t="str">
        <x:v>115</x:v>
      </x:c>
      <x:c r="X60" s="32" t="str">
        <x:v>DT_115_2012_AA001</x:v>
      </x:c>
      <x:c r="Y60" s="32" t="str">
        <x:v>산업별(중분류) 현재인원(성별, 고용형태별 등)</x:v>
      </x:c>
      <x:c r="Z60" s="32" t="str">
        <x:v>N/A</x:v>
      </x:c>
      <x:c r="AA60" s="32" t="str">
        <x:v>N/A</x:v>
      </x:c>
      <x:c r="AB60" s="32" t="str">
        <x:v>N/A</x:v>
      </x:c>
      <x:c r="AC60" s="32" t="str">
        <x:v>N/A</x:v>
      </x:c>
      <x:c r="AD60" s="32" t="str">
        <x:v>Y</x:v>
      </x:c>
      <x:c r="AE60" s="32" t="str">
        <x:v>2023</x:v>
      </x:c>
      <x:c r="AF60" s="32" t="str">
        <x:v>N/A</x:v>
      </x:c>
      <x:c r="AG60" s="32" t="str">
        <x:v>현재값</x:v>
      </x:c>
      <x:c r="AH60" s="32" t="str">
        <x:v>TABLE_SERIES_LABEL</x:v>
      </x:c>
      <x:c r="AI60" s="32" t="str">
        <x:v>N/A</x:v>
      </x:c>
      <x:c r="AJ60" s="32" t="str">
        <x:v>N/A</x:v>
      </x:c>
      <x:c r="AK60" s="32" t="str">
        <x:v>N/A</x:v>
      </x:c>
      <x:c r="AL60" s="32" t="str">
        <x:v>N/A</x:v>
      </x:c>
      <x:c r="AM60" s="32" t="str">
        <x:v>1716846</x:v>
      </x:c>
      <x:c r="AN60" s="32" t="str">
        <x:v>N/A</x:v>
      </x:c>
      <x:c r="AO60" s="32" t="str">
        <x:v>N/A</x:v>
      </x:c>
      <x:c r="AP60" s="32" t="str">
        <x:v>N/A</x:v>
      </x:c>
      <x:c r="AQ60" s="32" t="str">
        <x:v>값검증대기</x:v>
      </x:c>
      <x:c r="AR60" s="32" t="str">
        <x:v>TABLE_ONLY</x:v>
      </x:c>
      <x:c r="AS60" s="32" t="str">
        <x:v>HIGH</x:v>
      </x:c>
      <x:c r="AT60" s="33" t="str">
        <x:v>READY:INDUSTRIAL_WORKFORCE_SURVEY; 잠긴 Codex 공통 골드에서 측정·검증 가능 판정, KOSIS MCP로 통계표명 재확인, 세부 항목·분류·실제값은 미확정.</x:v>
      </x:c>
      <x:c r="AU60" s="32" t="str">
        <x:v>https://kosis.kr/statHtml/statHtml.do?orgId=115&amp;tblId=DT_115_2012_AA001&amp;vw_cd=MT_ZTITLE</x:v>
      </x:c>
      <x:c r="AV60" s="32" t="n">
        <x:v>46239.31775462963</x:v>
      </x:c>
      <x:c r="AW60" s="32" t="str">
        <x:v>CODEX_COMMON_GOLD_V1+KOSIS_MCP_TABLE_INFO_200</x:v>
      </x:c>
      <x:c r="AX60" s="32" t="str">
        <x:v>N</x:v>
      </x:c>
    </x:row>
    <x:row r="61">
      <x:c r="A61" s="32" t="str">
        <x:v>A0012-CG0259</x:v>
      </x:c>
      <x:c r="B61" s="32" t="str">
        <x:v>A0012-CG0259-m1</x:v>
      </x:c>
      <x:c r="C61" s="32" t="str">
        <x:v>A0012</x:v>
      </x:c>
      <x:c r="D61" s="32" t="str">
        <x:v>조선업 산업기술인력 9년 만에 다시 상승세</x:v>
      </x:c>
      <x:c r="E61" s="32" t="str">
        <x:v>2025-01-01</x:v>
      </x:c>
      <x:c r="F61" s="32" t="str">
        <x:v>https://www.chosun.com/economy/industry-company/2025/01/01/VR4RUPY3CFEGZGFC5M4JPY5SDE</x:v>
      </x:c>
      <x:c r="G61" s="33" t="str">
        <x:v>한편 이번 조사에서 우리나라 전체 산업기술인력 규모는 171만6846명으로 전년 대비 1% 증가한 것으로 나타났다.</x:v>
      </x:c>
      <x:c r="H61" s="32" t="str">
        <x:v>1%</x:v>
      </x:c>
      <x:c r="I61" s="32" t="str">
        <x:v>KOSIS_VALUE</x:v>
      </x:c>
      <x:c r="J61" s="32" t="str">
        <x:v>국내공식통계</x:v>
      </x:c>
      <x:c r="K61" s="32" t="str">
        <x:v>codex_common_codebook</x:v>
      </x:c>
      <x:c r="L61" s="32" t="str">
        <x:v>증감률</x:v>
      </x:c>
      <x:c r="M61" s="32" t="str">
        <x:v>우리나라 전체 산업기술인력 증가율</x:v>
      </x:c>
      <x:c r="N61" s="32" t="str">
        <x:v>우리나라 전체 산업기술인력 증가율</x:v>
      </x:c>
      <x:c r="O61" s="32" t="str">
        <x:v>1</x:v>
      </x:c>
      <x:c r="P61" s="32" t="str">
        <x:v>%</x:v>
      </x:c>
      <x:c r="Q61" s="32" t="str">
        <x:v>2023</x:v>
      </x:c>
      <x:c r="R61" s="32" t="str">
        <x:v>Y</x:v>
      </x:c>
      <x:c r="S61" s="32" t="str">
        <x:v>Y</x:v>
      </x:c>
      <x:c r="T61" s="32" t="str">
        <x:v>Y</x:v>
      </x:c>
      <x:c r="U61" s="32" t="str">
        <x:v>Y</x:v>
      </x:c>
      <x:c r="V61" s="32" t="str">
        <x:v>CODEBOOK_KOSIS</x:v>
      </x:c>
      <x:c r="W61" s="32" t="str">
        <x:v>115</x:v>
      </x:c>
      <x:c r="X61" s="32" t="str">
        <x:v>DT_115_2012_AA001</x:v>
      </x:c>
      <x:c r="Y61" s="32" t="str">
        <x:v>산업별(중분류) 현재인원(성별, 고용형태별 등)</x:v>
      </x:c>
      <x:c r="Z61" s="32" t="str">
        <x:v>N/A</x:v>
      </x:c>
      <x:c r="AA61" s="32" t="str">
        <x:v>N/A</x:v>
      </x:c>
      <x:c r="AB61" s="32" t="str">
        <x:v>N/A</x:v>
      </x:c>
      <x:c r="AC61" s="32" t="str">
        <x:v>N/A</x:v>
      </x:c>
      <x:c r="AD61" s="32" t="str">
        <x:v>Y</x:v>
      </x:c>
      <x:c r="AE61" s="32" t="str">
        <x:v>2023</x:v>
      </x:c>
      <x:c r="AF61" s="32" t="str">
        <x:v>N/A</x:v>
      </x:c>
      <x:c r="AG61" s="32" t="str">
        <x:v>증감률</x:v>
      </x:c>
      <x:c r="AH61" s="32" t="str">
        <x:v>TABLE_SERIES_LABEL</x:v>
      </x:c>
      <x:c r="AI61" s="32" t="str">
        <x:v>N/A</x:v>
      </x:c>
      <x:c r="AJ61" s="32" t="str">
        <x:v>N/A</x:v>
      </x:c>
      <x:c r="AK61" s="32" t="str">
        <x:v>N/A</x:v>
      </x:c>
      <x:c r="AL61" s="32" t="str">
        <x:v>N/A</x:v>
      </x:c>
      <x:c r="AM61" s="32" t="str">
        <x:v>1</x:v>
      </x:c>
      <x:c r="AN61" s="32" t="str">
        <x:v>N/A</x:v>
      </x:c>
      <x:c r="AO61" s="32" t="str">
        <x:v>N/A</x:v>
      </x:c>
      <x:c r="AP61" s="32" t="str">
        <x:v>N/A</x:v>
      </x:c>
      <x:c r="AQ61" s="32" t="str">
        <x:v>값검증대기</x:v>
      </x:c>
      <x:c r="AR61" s="32" t="str">
        <x:v>TABLE_ONLY</x:v>
      </x:c>
      <x:c r="AS61" s="32" t="str">
        <x:v>HIGH</x:v>
      </x:c>
      <x:c r="AT61" s="33" t="str">
        <x:v>READY:INDUSTRIAL_WORKFORCE_SURVEY; 잠긴 Codex 공통 골드에서 측정·검증 가능 판정, KOSIS MCP로 통계표명 재확인, 세부 항목·분류·실제값은 미확정.</x:v>
      </x:c>
      <x:c r="AU61" s="32" t="str">
        <x:v>https://kosis.kr/statHtml/statHtml.do?orgId=115&amp;tblId=DT_115_2012_AA001&amp;vw_cd=MT_ZTITLE</x:v>
      </x:c>
      <x:c r="AV61" s="32" t="n">
        <x:v>46239.31775462963</x:v>
      </x:c>
      <x:c r="AW61" s="32" t="str">
        <x:v>CODEX_COMMON_GOLD_V1+KOSIS_MCP_TABLE_INFO_200</x:v>
      </x:c>
      <x:c r="AX61" s="32" t="str">
        <x:v>N</x:v>
      </x:c>
    </x:row>
    <x:row r="62">
      <x:c r="A62" s="32" t="str">
        <x:v>A0012-CG0260</x:v>
      </x:c>
      <x:c r="B62" s="32" t="str">
        <x:v>A0012-CG0260-m1</x:v>
      </x:c>
      <x:c r="C62" s="32" t="str">
        <x:v>A0012</x:v>
      </x:c>
      <x:c r="D62" s="32" t="str">
        <x:v>조선업 산업기술인력 9년 만에 다시 상승세</x:v>
      </x:c>
      <x:c r="E62" s="32" t="str">
        <x:v>2025-01-01</x:v>
      </x:c>
      <x:c r="F62" s="32" t="str">
        <x:v>https://www.chosun.com/economy/industry-company/2025/01/01/VR4RUPY3CFEGZGFC5M4JPY5SDE</x:v>
      </x:c>
      <x:c r="G62" s="33" t="str">
        <x:v>31일 산업통상자원부의 ‘산업기술인력 수급 실태조사’에 따르면 지난 2023년 말 조선 산업기술인력은 5만8528명으로 전년인 2022년 대비 0.8% 증가했다.</x:v>
      </x:c>
      <x:c r="H62" s="32" t="str">
        <x:v>0.8%</x:v>
      </x:c>
      <x:c r="I62" s="32" t="str">
        <x:v>KOSIS_VALUE</x:v>
      </x:c>
      <x:c r="J62" s="32" t="str">
        <x:v>국내공식통계</x:v>
      </x:c>
      <x:c r="K62" s="32" t="str">
        <x:v>codex_common_codebook</x:v>
      </x:c>
      <x:c r="L62" s="32" t="str">
        <x:v>증감률</x:v>
      </x:c>
      <x:c r="M62" s="32" t="str">
        <x:v>조선 산업기술인력 증가율</x:v>
      </x:c>
      <x:c r="N62" s="32" t="str">
        <x:v>조선업</x:v>
      </x:c>
      <x:c r="O62" s="32" t="str">
        <x:v>0.8</x:v>
      </x:c>
      <x:c r="P62" s="32" t="str">
        <x:v>%</x:v>
      </x:c>
      <x:c r="Q62" s="32" t="str">
        <x:v>2022</x:v>
      </x:c>
      <x:c r="R62" s="32" t="str">
        <x:v>Y</x:v>
      </x:c>
      <x:c r="S62" s="32" t="str">
        <x:v>Y</x:v>
      </x:c>
      <x:c r="T62" s="32" t="str">
        <x:v>Y</x:v>
      </x:c>
      <x:c r="U62" s="32" t="str">
        <x:v>Y</x:v>
      </x:c>
      <x:c r="V62" s="32" t="str">
        <x:v>CODEBOOK_KOSIS</x:v>
      </x:c>
      <x:c r="W62" s="32" t="str">
        <x:v>115</x:v>
      </x:c>
      <x:c r="X62" s="32" t="str">
        <x:v>DT_115_2012_AA001</x:v>
      </x:c>
      <x:c r="Y62" s="32" t="str">
        <x:v>산업별(중분류) 현재인원(성별, 고용형태별 등)</x:v>
      </x:c>
      <x:c r="Z62" s="32" t="str">
        <x:v>N/A</x:v>
      </x:c>
      <x:c r="AA62" s="32" t="str">
        <x:v>N/A</x:v>
      </x:c>
      <x:c r="AB62" s="32" t="str">
        <x:v>N/A</x:v>
      </x:c>
      <x:c r="AC62" s="32" t="str">
        <x:v>N/A</x:v>
      </x:c>
      <x:c r="AD62" s="32" t="str">
        <x:v>Y</x:v>
      </x:c>
      <x:c r="AE62" s="32" t="str">
        <x:v>2022</x:v>
      </x:c>
      <x:c r="AF62" s="32" t="str">
        <x:v>N/A</x:v>
      </x:c>
      <x:c r="AG62" s="32" t="str">
        <x:v>증감률</x:v>
      </x:c>
      <x:c r="AH62" s="32" t="str">
        <x:v>TABLE_SERIES_LABEL</x:v>
      </x:c>
      <x:c r="AI62" s="32" t="str">
        <x:v>N/A</x:v>
      </x:c>
      <x:c r="AJ62" s="32" t="str">
        <x:v>N/A</x:v>
      </x:c>
      <x:c r="AK62" s="32" t="str">
        <x:v>N/A</x:v>
      </x:c>
      <x:c r="AL62" s="32" t="str">
        <x:v>N/A</x:v>
      </x:c>
      <x:c r="AM62" s="32" t="str">
        <x:v>0.8</x:v>
      </x:c>
      <x:c r="AN62" s="32" t="str">
        <x:v>N/A</x:v>
      </x:c>
      <x:c r="AO62" s="32" t="str">
        <x:v>N/A</x:v>
      </x:c>
      <x:c r="AP62" s="32" t="str">
        <x:v>N/A</x:v>
      </x:c>
      <x:c r="AQ62" s="32" t="str">
        <x:v>값검증대기</x:v>
      </x:c>
      <x:c r="AR62" s="32" t="str">
        <x:v>TABLE_ONLY</x:v>
      </x:c>
      <x:c r="AS62" s="32" t="str">
        <x:v>HIGH</x:v>
      </x:c>
      <x:c r="AT62" s="33" t="str">
        <x:v>READY:INDUSTRIAL_WORKFORCE_SURVEY; 잠긴 Codex 공통 골드에서 측정·검증 가능 판정, KOSIS MCP로 통계표명 재확인, 세부 항목·분류·실제값은 미확정.</x:v>
      </x:c>
      <x:c r="AU62" s="32" t="str">
        <x:v>https://kosis.kr/statHtml/statHtml.do?orgId=115&amp;tblId=DT_115_2012_AA001&amp;vw_cd=MT_ZTITLE</x:v>
      </x:c>
      <x:c r="AV62" s="32" t="n">
        <x:v>46239.31775462963</x:v>
      </x:c>
      <x:c r="AW62" s="32" t="str">
        <x:v>CODEX_COMMON_GOLD_V1+KOSIS_MCP_TABLE_INFO_200</x:v>
      </x:c>
      <x:c r="AX62" s="32" t="str">
        <x:v>N</x:v>
      </x:c>
    </x:row>
    <x:row r="63">
      <x:c r="A63" s="32" t="str">
        <x:v>A0012-CG0261</x:v>
      </x:c>
      <x:c r="B63" s="32" t="str">
        <x:v>A0012-CG0261-m1</x:v>
      </x:c>
      <x:c r="C63" s="32" t="str">
        <x:v>A0012</x:v>
      </x:c>
      <x:c r="D63" s="32" t="str">
        <x:v>조선업 산업기술인력 9년 만에 다시 상승세</x:v>
      </x:c>
      <x:c r="E63" s="32" t="str">
        <x:v>2025-01-01</x:v>
      </x:c>
      <x:c r="F63" s="32" t="str">
        <x:v>https://www.chosun.com/economy/industry-company/2025/01/01/VR4RUPY3CFEGZGFC5M4JPY5SDE</x:v>
      </x:c>
      <x:c r="G63" s="33" t="str">
        <x:v>본래 조선업의 산업기술인력은 2014년 6만9766명에서 2022년 5만8042명까지 꾸준히 하락해 1만명 넘게 줄어든 상태였는데 이 수가 500명 가까이 늘어난 것이다.</x:v>
      </x:c>
      <x:c r="H63" s="32" t="str">
        <x:v>1만명</x:v>
      </x:c>
      <x:c r="I63" s="32" t="str">
        <x:v>KOSIS_VALUE</x:v>
      </x:c>
      <x:c r="J63" s="32" t="str">
        <x:v>국내공식통계</x:v>
      </x:c>
      <x:c r="K63" s="32" t="str">
        <x:v>codex_common_codebook</x:v>
      </x:c>
      <x:c r="L63" s="32" t="str">
        <x:v>현재값</x:v>
      </x:c>
      <x:c r="M63" s="32" t="str">
        <x:v>조선업 산업기술인력 감소폭</x:v>
      </x:c>
      <x:c r="N63" s="32" t="str">
        <x:v>조선업</x:v>
      </x:c>
      <x:c r="O63" s="32" t="str">
        <x:v>10000</x:v>
      </x:c>
      <x:c r="P63" s="32" t="str">
        <x:v>명</x:v>
      </x:c>
      <x:c r="Q63" s="32" t="str">
        <x:v>2022</x:v>
      </x:c>
      <x:c r="R63" s="32" t="str">
        <x:v>Y</x:v>
      </x:c>
      <x:c r="S63" s="32" t="str">
        <x:v>Y</x:v>
      </x:c>
      <x:c r="T63" s="32" t="str">
        <x:v>Y</x:v>
      </x:c>
      <x:c r="U63" s="32" t="str">
        <x:v>Y</x:v>
      </x:c>
      <x:c r="V63" s="32" t="str">
        <x:v>CODEBOOK_KOSIS</x:v>
      </x:c>
      <x:c r="W63" s="32" t="str">
        <x:v>115</x:v>
      </x:c>
      <x:c r="X63" s="32" t="str">
        <x:v>DT_115_2012_AA001</x:v>
      </x:c>
      <x:c r="Y63" s="32" t="str">
        <x:v>산업별(중분류) 현재인원(성별, 고용형태별 등)</x:v>
      </x:c>
      <x:c r="Z63" s="32" t="str">
        <x:v>N/A</x:v>
      </x:c>
      <x:c r="AA63" s="32" t="str">
        <x:v>N/A</x:v>
      </x:c>
      <x:c r="AB63" s="32" t="str">
        <x:v>N/A</x:v>
      </x:c>
      <x:c r="AC63" s="32" t="str">
        <x:v>N/A</x:v>
      </x:c>
      <x:c r="AD63" s="32" t="str">
        <x:v>Y</x:v>
      </x:c>
      <x:c r="AE63" s="32" t="str">
        <x:v>2022</x:v>
      </x:c>
      <x:c r="AF63" s="32" t="str">
        <x:v>N/A</x:v>
      </x:c>
      <x:c r="AG63" s="32" t="str">
        <x:v>현재값</x:v>
      </x:c>
      <x:c r="AH63" s="32" t="str">
        <x:v>TABLE_SERIES_LABEL</x:v>
      </x:c>
      <x:c r="AI63" s="32" t="str">
        <x:v>N/A</x:v>
      </x:c>
      <x:c r="AJ63" s="32" t="str">
        <x:v>N/A</x:v>
      </x:c>
      <x:c r="AK63" s="32" t="str">
        <x:v>N/A</x:v>
      </x:c>
      <x:c r="AL63" s="32" t="str">
        <x:v>N/A</x:v>
      </x:c>
      <x:c r="AM63" s="32" t="str">
        <x:v>10000</x:v>
      </x:c>
      <x:c r="AN63" s="32" t="str">
        <x:v>N/A</x:v>
      </x:c>
      <x:c r="AO63" s="32" t="str">
        <x:v>N/A</x:v>
      </x:c>
      <x:c r="AP63" s="32" t="str">
        <x:v>N/A</x:v>
      </x:c>
      <x:c r="AQ63" s="32" t="str">
        <x:v>값검증대기</x:v>
      </x:c>
      <x:c r="AR63" s="32" t="str">
        <x:v>TABLE_ONLY</x:v>
      </x:c>
      <x:c r="AS63" s="32" t="str">
        <x:v>HIGH</x:v>
      </x:c>
      <x:c r="AT63" s="33" t="str">
        <x:v>READY:INDUSTRIAL_WORKFORCE_SURVEY; 잠긴 Codex 공통 골드에서 측정·검증 가능 판정, KOSIS MCP로 통계표명 재확인, 세부 항목·분류·실제값은 미확정.</x:v>
      </x:c>
      <x:c r="AU63" s="32" t="str">
        <x:v>https://kosis.kr/statHtml/statHtml.do?orgId=115&amp;tblId=DT_115_2012_AA001&amp;vw_cd=MT_ZTITLE</x:v>
      </x:c>
      <x:c r="AV63" s="32" t="n">
        <x:v>46239.31775462963</x:v>
      </x:c>
      <x:c r="AW63" s="32" t="str">
        <x:v>CODEX_COMMON_GOLD_V1+KOSIS_MCP_TABLE_INFO_200</x:v>
      </x:c>
      <x:c r="AX63" s="32" t="str">
        <x:v>N</x:v>
      </x:c>
    </x:row>
    <x:row r="64">
      <x:c r="A64" s="32" t="str">
        <x:v>A0012-CG0264</x:v>
      </x:c>
      <x:c r="B64" s="32" t="str">
        <x:v>A0012-CG0264-m1</x:v>
      </x:c>
      <x:c r="C64" s="32" t="str">
        <x:v>A0012</x:v>
      </x:c>
      <x:c r="D64" s="32" t="str">
        <x:v>조선업 산업기술인력 9년 만에 다시 상승세</x:v>
      </x:c>
      <x:c r="E64" s="32" t="str">
        <x:v>2025-01-01</x:v>
      </x:c>
      <x:c r="F64" s="32" t="str">
        <x:v>https://www.chosun.com/economy/industry-company/2025/01/01/VR4RUPY3CFEGZGFC5M4JPY5SDE</x:v>
      </x:c>
      <x:c r="G64" s="33" t="str">
        <x:v>본래 조선업의 산업기술인력은 2014년 6만9766명에서 2022년 5만8042명까지 꾸준히 하락해 1만명 넘게 줄어든 상태였는데 이 수가 500명 가까이 늘어난 것이다.</x:v>
      </x:c>
      <x:c r="H64" s="32" t="str">
        <x:v>500명</x:v>
      </x:c>
      <x:c r="I64" s="32" t="str">
        <x:v>KOSIS_VALUE</x:v>
      </x:c>
      <x:c r="J64" s="32" t="str">
        <x:v>국내공식통계</x:v>
      </x:c>
      <x:c r="K64" s="32" t="str">
        <x:v>codex_common_codebook</x:v>
      </x:c>
      <x:c r="L64" s="32" t="str">
        <x:v>증감량</x:v>
      </x:c>
      <x:c r="M64" s="32" t="str">
        <x:v>조선업 산업기술인력 증가폭</x:v>
      </x:c>
      <x:c r="N64" s="32" t="str">
        <x:v>조선업</x:v>
      </x:c>
      <x:c r="O64" s="32" t="str">
        <x:v>500</x:v>
      </x:c>
      <x:c r="P64" s="32" t="str">
        <x:v>명</x:v>
      </x:c>
      <x:c r="Q64" s="32" t="str">
        <x:v>2023</x:v>
      </x:c>
      <x:c r="R64" s="32" t="str">
        <x:v>Y</x:v>
      </x:c>
      <x:c r="S64" s="32" t="str">
        <x:v>Y</x:v>
      </x:c>
      <x:c r="T64" s="32" t="str">
        <x:v>Y</x:v>
      </x:c>
      <x:c r="U64" s="32" t="str">
        <x:v>Y</x:v>
      </x:c>
      <x:c r="V64" s="32" t="str">
        <x:v>CODEBOOK_KOSIS</x:v>
      </x:c>
      <x:c r="W64" s="32" t="str">
        <x:v>115</x:v>
      </x:c>
      <x:c r="X64" s="32" t="str">
        <x:v>DT_115_2012_AA001</x:v>
      </x:c>
      <x:c r="Y64" s="32" t="str">
        <x:v>산업별(중분류) 현재인원(성별, 고용형태별 등)</x:v>
      </x:c>
      <x:c r="Z64" s="32" t="str">
        <x:v>N/A</x:v>
      </x:c>
      <x:c r="AA64" s="32" t="str">
        <x:v>N/A</x:v>
      </x:c>
      <x:c r="AB64" s="32" t="str">
        <x:v>N/A</x:v>
      </x:c>
      <x:c r="AC64" s="32" t="str">
        <x:v>N/A</x:v>
      </x:c>
      <x:c r="AD64" s="32" t="str">
        <x:v>Y</x:v>
      </x:c>
      <x:c r="AE64" s="32" t="str">
        <x:v>2023</x:v>
      </x:c>
      <x:c r="AF64" s="32" t="str">
        <x:v>N/A</x:v>
      </x:c>
      <x:c r="AG64" s="32" t="str">
        <x:v>증감량</x:v>
      </x:c>
      <x:c r="AH64" s="32" t="str">
        <x:v>TABLE_SERIES_LABEL</x:v>
      </x:c>
      <x:c r="AI64" s="32" t="str">
        <x:v>N/A</x:v>
      </x:c>
      <x:c r="AJ64" s="32" t="str">
        <x:v>N/A</x:v>
      </x:c>
      <x:c r="AK64" s="32" t="str">
        <x:v>N/A</x:v>
      </x:c>
      <x:c r="AL64" s="32" t="str">
        <x:v>N/A</x:v>
      </x:c>
      <x:c r="AM64" s="32" t="str">
        <x:v>500</x:v>
      </x:c>
      <x:c r="AN64" s="32" t="str">
        <x:v>N/A</x:v>
      </x:c>
      <x:c r="AO64" s="32" t="str">
        <x:v>N/A</x:v>
      </x:c>
      <x:c r="AP64" s="32" t="str">
        <x:v>N/A</x:v>
      </x:c>
      <x:c r="AQ64" s="32" t="str">
        <x:v>값검증대기</x:v>
      </x:c>
      <x:c r="AR64" s="32" t="str">
        <x:v>TABLE_ONLY</x:v>
      </x:c>
      <x:c r="AS64" s="32" t="str">
        <x:v>HIGH</x:v>
      </x:c>
      <x:c r="AT64" s="33" t="str">
        <x:v>READY:INDUSTRIAL_WORKFORCE_SURVEY; 잠긴 Codex 공통 골드에서 측정·검증 가능 판정, KOSIS MCP로 통계표명 재확인, 세부 항목·분류·실제값은 미확정.</x:v>
      </x:c>
      <x:c r="AU64" s="32" t="str">
        <x:v>https://kosis.kr/statHtml/statHtml.do?orgId=115&amp;tblId=DT_115_2012_AA001&amp;vw_cd=MT_ZTITLE</x:v>
      </x:c>
      <x:c r="AV64" s="32" t="n">
        <x:v>46239.31775462963</x:v>
      </x:c>
      <x:c r="AW64" s="32" t="str">
        <x:v>CODEX_COMMON_GOLD_V1+KOSIS_MCP_TABLE_INFO_200</x:v>
      </x:c>
      <x:c r="AX64" s="32" t="str">
        <x:v>N</x:v>
      </x:c>
    </x:row>
    <x:row r="65">
      <x:c r="A65" s="32" t="str">
        <x:v>A0012-CG0265</x:v>
      </x:c>
      <x:c r="B65" s="32" t="str">
        <x:v>A0012-CG0265-m1</x:v>
      </x:c>
      <x:c r="C65" s="32" t="str">
        <x:v>A0012</x:v>
      </x:c>
      <x:c r="D65" s="32" t="str">
        <x:v>조선업 산업기술인력 9년 만에 다시 상승세</x:v>
      </x:c>
      <x:c r="E65" s="32" t="str">
        <x:v>2025-01-01</x:v>
      </x:c>
      <x:c r="F65" s="32" t="str">
        <x:v>https://www.chosun.com/economy/industry-company/2025/01/01/VR4RUPY3CFEGZGFC5M4JPY5SDE</x:v>
      </x:c>
      <x:c r="G65" s="33" t="str">
        <x:v>본래 조선업의 산업기술인력은 2014년 6만9766명에서 2022년 5만8042명까지 꾸준히 하락해 1만명 넘게 줄어든 상태였는데 이 수가 500명 가까이 늘어난 것이다.</x:v>
      </x:c>
      <x:c r="H65" s="32" t="str">
        <x:v>500명</x:v>
      </x:c>
      <x:c r="I65" s="32" t="str">
        <x:v>KOSIS_VALUE</x:v>
      </x:c>
      <x:c r="J65" s="32" t="str">
        <x:v>국내공식통계</x:v>
      </x:c>
      <x:c r="K65" s="32" t="str">
        <x:v>codex_common_codebook</x:v>
      </x:c>
      <x:c r="L65" s="32" t="str">
        <x:v>현재값</x:v>
      </x:c>
      <x:c r="M65" s="32" t="str">
        <x:v>조선업 산업기술인력 증가폭</x:v>
      </x:c>
      <x:c r="N65" s="32" t="str">
        <x:v>조선업</x:v>
      </x:c>
      <x:c r="O65" s="32" t="str">
        <x:v>500</x:v>
      </x:c>
      <x:c r="P65" s="32" t="str">
        <x:v>명</x:v>
      </x:c>
      <x:c r="Q65" s="32" t="str">
        <x:v>2023</x:v>
      </x:c>
      <x:c r="R65" s="32" t="str">
        <x:v>Y</x:v>
      </x:c>
      <x:c r="S65" s="32" t="str">
        <x:v>Y</x:v>
      </x:c>
      <x:c r="T65" s="32" t="str">
        <x:v>Y</x:v>
      </x:c>
      <x:c r="U65" s="32" t="str">
        <x:v>Y</x:v>
      </x:c>
      <x:c r="V65" s="32" t="str">
        <x:v>CODEBOOK_KOSIS</x:v>
      </x:c>
      <x:c r="W65" s="32" t="str">
        <x:v>115</x:v>
      </x:c>
      <x:c r="X65" s="32" t="str">
        <x:v>DT_115_2012_AA001</x:v>
      </x:c>
      <x:c r="Y65" s="32" t="str">
        <x:v>산업별(중분류) 현재인원(성별, 고용형태별 등)</x:v>
      </x:c>
      <x:c r="Z65" s="32" t="str">
        <x:v>N/A</x:v>
      </x:c>
      <x:c r="AA65" s="32" t="str">
        <x:v>N/A</x:v>
      </x:c>
      <x:c r="AB65" s="32" t="str">
        <x:v>N/A</x:v>
      </x:c>
      <x:c r="AC65" s="32" t="str">
        <x:v>N/A</x:v>
      </x:c>
      <x:c r="AD65" s="32" t="str">
        <x:v>Y</x:v>
      </x:c>
      <x:c r="AE65" s="32" t="str">
        <x:v>2023</x:v>
      </x:c>
      <x:c r="AF65" s="32" t="str">
        <x:v>N/A</x:v>
      </x:c>
      <x:c r="AG65" s="32" t="str">
        <x:v>현재값</x:v>
      </x:c>
      <x:c r="AH65" s="32" t="str">
        <x:v>TABLE_SERIES_LABEL</x:v>
      </x:c>
      <x:c r="AI65" s="32" t="str">
        <x:v>N/A</x:v>
      </x:c>
      <x:c r="AJ65" s="32" t="str">
        <x:v>N/A</x:v>
      </x:c>
      <x:c r="AK65" s="32" t="str">
        <x:v>N/A</x:v>
      </x:c>
      <x:c r="AL65" s="32" t="str">
        <x:v>N/A</x:v>
      </x:c>
      <x:c r="AM65" s="32" t="str">
        <x:v>500</x:v>
      </x:c>
      <x:c r="AN65" s="32" t="str">
        <x:v>N/A</x:v>
      </x:c>
      <x:c r="AO65" s="32" t="str">
        <x:v>N/A</x:v>
      </x:c>
      <x:c r="AP65" s="32" t="str">
        <x:v>N/A</x:v>
      </x:c>
      <x:c r="AQ65" s="32" t="str">
        <x:v>값검증대기</x:v>
      </x:c>
      <x:c r="AR65" s="32" t="str">
        <x:v>TABLE_ONLY</x:v>
      </x:c>
      <x:c r="AS65" s="32" t="str">
        <x:v>HIGH</x:v>
      </x:c>
      <x:c r="AT65" s="33" t="str">
        <x:v>READY:INDUSTRIAL_WORKFORCE_SURVEY; 잠긴 Codex 공통 골드에서 측정·검증 가능 판정, KOSIS MCP로 통계표명 재확인, 세부 항목·분류·실제값은 미확정.</x:v>
      </x:c>
      <x:c r="AU65" s="32" t="str">
        <x:v>https://kosis.kr/statHtml/statHtml.do?orgId=115&amp;tblId=DT_115_2012_AA001&amp;vw_cd=MT_ZTITLE</x:v>
      </x:c>
      <x:c r="AV65" s="32" t="n">
        <x:v>46239.31775462963</x:v>
      </x:c>
      <x:c r="AW65" s="32" t="str">
        <x:v>CODEX_COMMON_GOLD_V1+KOSIS_MCP_TABLE_INFO_200</x:v>
      </x:c>
      <x:c r="AX65" s="32" t="str">
        <x:v>N</x:v>
      </x:c>
    </x:row>
    <x:row r="66">
      <x:c r="A66" s="32" t="str">
        <x:v>A0012-CG0266</x:v>
      </x:c>
      <x:c r="B66" s="32" t="str">
        <x:v>A0012-CG0266-m1</x:v>
      </x:c>
      <x:c r="C66" s="32" t="str">
        <x:v>A0012</x:v>
      </x:c>
      <x:c r="D66" s="32" t="str">
        <x:v>조선업 산업기술인력 9년 만에 다시 상승세</x:v>
      </x:c>
      <x:c r="E66" s="32" t="str">
        <x:v>2025-01-01</x:v>
      </x:c>
      <x:c r="F66" s="32" t="str">
        <x:v>https://www.chosun.com/economy/industry-company/2025/01/01/VR4RUPY3CFEGZGFC5M4JPY5SDE</x:v>
      </x:c>
      <x:c r="G66" s="33" t="str">
        <x:v>본래 조선업의 산업기술인력은 2014년 6만9766명에서 2022년 5만8042명까지 꾸준히 하락해 1만명 넘게 줄어든 상태였는데 이 수가 500명 가까이 늘어난 것이다.</x:v>
      </x:c>
      <x:c r="H66" s="32" t="str">
        <x:v>5만8042명</x:v>
      </x:c>
      <x:c r="I66" s="32" t="str">
        <x:v>KOSIS_VALUE</x:v>
      </x:c>
      <x:c r="J66" s="32" t="str">
        <x:v>국내공식통계</x:v>
      </x:c>
      <x:c r="K66" s="32" t="str">
        <x:v>codex_common_codebook</x:v>
      </x:c>
      <x:c r="L66" s="32" t="str">
        <x:v>이전값</x:v>
      </x:c>
      <x:c r="M66" s="32" t="str">
        <x:v>조선업 산업기술인력</x:v>
      </x:c>
      <x:c r="N66" s="32" t="str">
        <x:v>조선업</x:v>
      </x:c>
      <x:c r="O66" s="32" t="str">
        <x:v>58042</x:v>
      </x:c>
      <x:c r="P66" s="32" t="str">
        <x:v>명</x:v>
      </x:c>
      <x:c r="Q66" s="32" t="str">
        <x:v>2022</x:v>
      </x:c>
      <x:c r="R66" s="32" t="str">
        <x:v>Y</x:v>
      </x:c>
      <x:c r="S66" s="32" t="str">
        <x:v>Y</x:v>
      </x:c>
      <x:c r="T66" s="32" t="str">
        <x:v>Y</x:v>
      </x:c>
      <x:c r="U66" s="32" t="str">
        <x:v>Y</x:v>
      </x:c>
      <x:c r="V66" s="32" t="str">
        <x:v>CODEBOOK_KOSIS</x:v>
      </x:c>
      <x:c r="W66" s="32" t="str">
        <x:v>115</x:v>
      </x:c>
      <x:c r="X66" s="32" t="str">
        <x:v>DT_115_2012_AA001</x:v>
      </x:c>
      <x:c r="Y66" s="32" t="str">
        <x:v>산업별(중분류) 현재인원(성별, 고용형태별 등)</x:v>
      </x:c>
      <x:c r="Z66" s="32" t="str">
        <x:v>N/A</x:v>
      </x:c>
      <x:c r="AA66" s="32" t="str">
        <x:v>N/A</x:v>
      </x:c>
      <x:c r="AB66" s="32" t="str">
        <x:v>N/A</x:v>
      </x:c>
      <x:c r="AC66" s="32" t="str">
        <x:v>N/A</x:v>
      </x:c>
      <x:c r="AD66" s="32" t="str">
        <x:v>Y</x:v>
      </x:c>
      <x:c r="AE66" s="32" t="str">
        <x:v>2022</x:v>
      </x:c>
      <x:c r="AF66" s="32" t="str">
        <x:v>N/A</x:v>
      </x:c>
      <x:c r="AG66" s="32" t="str">
        <x:v>이전값</x:v>
      </x:c>
      <x:c r="AH66" s="32" t="str">
        <x:v>TABLE_SERIES_LABEL</x:v>
      </x:c>
      <x:c r="AI66" s="32" t="str">
        <x:v>N/A</x:v>
      </x:c>
      <x:c r="AJ66" s="32" t="str">
        <x:v>N/A</x:v>
      </x:c>
      <x:c r="AK66" s="32" t="str">
        <x:v>N/A</x:v>
      </x:c>
      <x:c r="AL66" s="32" t="str">
        <x:v>N/A</x:v>
      </x:c>
      <x:c r="AM66" s="32" t="str">
        <x:v>58042</x:v>
      </x:c>
      <x:c r="AN66" s="32" t="str">
        <x:v>N/A</x:v>
      </x:c>
      <x:c r="AO66" s="32" t="str">
        <x:v>N/A</x:v>
      </x:c>
      <x:c r="AP66" s="32" t="str">
        <x:v>N/A</x:v>
      </x:c>
      <x:c r="AQ66" s="32" t="str">
        <x:v>값검증대기</x:v>
      </x:c>
      <x:c r="AR66" s="32" t="str">
        <x:v>TABLE_ONLY</x:v>
      </x:c>
      <x:c r="AS66" s="32" t="str">
        <x:v>HIGH</x:v>
      </x:c>
      <x:c r="AT66" s="33" t="str">
        <x:v>READY:INDUSTRIAL_WORKFORCE_SURVEY; 잠긴 Codex 공통 골드에서 측정·검증 가능 판정, KOSIS MCP로 통계표명 재확인, 세부 항목·분류·실제값은 미확정.</x:v>
      </x:c>
      <x:c r="AU66" s="32" t="str">
        <x:v>https://kosis.kr/statHtml/statHtml.do?orgId=115&amp;tblId=DT_115_2012_AA001&amp;vw_cd=MT_ZTITLE</x:v>
      </x:c>
      <x:c r="AV66" s="32" t="n">
        <x:v>46239.31775462963</x:v>
      </x:c>
      <x:c r="AW66" s="32" t="str">
        <x:v>CODEX_COMMON_GOLD_V1+KOSIS_MCP_TABLE_INFO_200</x:v>
      </x:c>
      <x:c r="AX66" s="32" t="str">
        <x:v>N</x:v>
      </x:c>
    </x:row>
    <x:row r="67">
      <x:c r="A67" s="32" t="str">
        <x:v>A0012-CG0267</x:v>
      </x:c>
      <x:c r="B67" s="32" t="str">
        <x:v>A0012-CG0267-m1</x:v>
      </x:c>
      <x:c r="C67" s="32" t="str">
        <x:v>A0012</x:v>
      </x:c>
      <x:c r="D67" s="32" t="str">
        <x:v>조선업 산업기술인력 9년 만에 다시 상승세</x:v>
      </x:c>
      <x:c r="E67" s="32" t="str">
        <x:v>2025-01-01</x:v>
      </x:c>
      <x:c r="F67" s="32" t="str">
        <x:v>https://www.chosun.com/economy/industry-company/2025/01/01/VR4RUPY3CFEGZGFC5M4JPY5SDE</x:v>
      </x:c>
      <x:c r="G67" s="33" t="str">
        <x:v>본래 조선업의 산업기술인력은 2014년 6만9766명에서 2022년 5만8042명까지 꾸준히 하락해 1만명 넘게 줄어든 상태였는데 이 수가 500명 가까이 늘어난 것이다.</x:v>
      </x:c>
      <x:c r="H67" s="32" t="str">
        <x:v>5만8042명</x:v>
      </x:c>
      <x:c r="I67" s="32" t="str">
        <x:v>KOSIS_VALUE</x:v>
      </x:c>
      <x:c r="J67" s="32" t="str">
        <x:v>국내공식통계</x:v>
      </x:c>
      <x:c r="K67" s="32" t="str">
        <x:v>codex_common_codebook</x:v>
      </x:c>
      <x:c r="L67" s="32" t="str">
        <x:v>현재값</x:v>
      </x:c>
      <x:c r="M67" s="32" t="str">
        <x:v>조선업 산업기술인력</x:v>
      </x:c>
      <x:c r="N67" s="32" t="str">
        <x:v>조선업</x:v>
      </x:c>
      <x:c r="O67" s="32" t="str">
        <x:v>58042</x:v>
      </x:c>
      <x:c r="P67" s="32" t="str">
        <x:v>명</x:v>
      </x:c>
      <x:c r="Q67" s="32" t="str">
        <x:v>2022</x:v>
      </x:c>
      <x:c r="R67" s="32" t="str">
        <x:v>Y</x:v>
      </x:c>
      <x:c r="S67" s="32" t="str">
        <x:v>Y</x:v>
      </x:c>
      <x:c r="T67" s="32" t="str">
        <x:v>Y</x:v>
      </x:c>
      <x:c r="U67" s="32" t="str">
        <x:v>Y</x:v>
      </x:c>
      <x:c r="V67" s="32" t="str">
        <x:v>CODEBOOK_KOSIS</x:v>
      </x:c>
      <x:c r="W67" s="32" t="str">
        <x:v>115</x:v>
      </x:c>
      <x:c r="X67" s="32" t="str">
        <x:v>DT_115_2012_AA001</x:v>
      </x:c>
      <x:c r="Y67" s="32" t="str">
        <x:v>산업별(중분류) 현재인원(성별, 고용형태별 등)</x:v>
      </x:c>
      <x:c r="Z67" s="32" t="str">
        <x:v>N/A</x:v>
      </x:c>
      <x:c r="AA67" s="32" t="str">
        <x:v>N/A</x:v>
      </x:c>
      <x:c r="AB67" s="32" t="str">
        <x:v>N/A</x:v>
      </x:c>
      <x:c r="AC67" s="32" t="str">
        <x:v>N/A</x:v>
      </x:c>
      <x:c r="AD67" s="32" t="str">
        <x:v>Y</x:v>
      </x:c>
      <x:c r="AE67" s="32" t="str">
        <x:v>2022</x:v>
      </x:c>
      <x:c r="AF67" s="32" t="str">
        <x:v>N/A</x:v>
      </x:c>
      <x:c r="AG67" s="32" t="str">
        <x:v>현재값</x:v>
      </x:c>
      <x:c r="AH67" s="32" t="str">
        <x:v>TABLE_SERIES_LABEL</x:v>
      </x:c>
      <x:c r="AI67" s="32" t="str">
        <x:v>N/A</x:v>
      </x:c>
      <x:c r="AJ67" s="32" t="str">
        <x:v>N/A</x:v>
      </x:c>
      <x:c r="AK67" s="32" t="str">
        <x:v>N/A</x:v>
      </x:c>
      <x:c r="AL67" s="32" t="str">
        <x:v>N/A</x:v>
      </x:c>
      <x:c r="AM67" s="32" t="str">
        <x:v>58042</x:v>
      </x:c>
      <x:c r="AN67" s="32" t="str">
        <x:v>N/A</x:v>
      </x:c>
      <x:c r="AO67" s="32" t="str">
        <x:v>N/A</x:v>
      </x:c>
      <x:c r="AP67" s="32" t="str">
        <x:v>N/A</x:v>
      </x:c>
      <x:c r="AQ67" s="32" t="str">
        <x:v>값검증대기</x:v>
      </x:c>
      <x:c r="AR67" s="32" t="str">
        <x:v>TABLE_ONLY</x:v>
      </x:c>
      <x:c r="AS67" s="32" t="str">
        <x:v>HIGH</x:v>
      </x:c>
      <x:c r="AT67" s="33" t="str">
        <x:v>READY:INDUSTRIAL_WORKFORCE_SURVEY; 잠긴 Codex 공통 골드에서 측정·검증 가능 판정, KOSIS MCP로 통계표명 재확인, 세부 항목·분류·실제값은 미확정.</x:v>
      </x:c>
      <x:c r="AU67" s="32" t="str">
        <x:v>https://kosis.kr/statHtml/statHtml.do?orgId=115&amp;tblId=DT_115_2012_AA001&amp;vw_cd=MT_ZTITLE</x:v>
      </x:c>
      <x:c r="AV67" s="32" t="n">
        <x:v>46239.31775462963</x:v>
      </x:c>
      <x:c r="AW67" s="32" t="str">
        <x:v>CODEX_COMMON_GOLD_V1+KOSIS_MCP_TABLE_INFO_200</x:v>
      </x:c>
      <x:c r="AX67" s="32" t="str">
        <x:v>N</x:v>
      </x:c>
    </x:row>
    <x:row r="68">
      <x:c r="A68" s="32" t="str">
        <x:v>A0012-CG0268</x:v>
      </x:c>
      <x:c r="B68" s="32" t="str">
        <x:v>A0012-CG0268-m1</x:v>
      </x:c>
      <x:c r="C68" s="32" t="str">
        <x:v>A0012</x:v>
      </x:c>
      <x:c r="D68" s="32" t="str">
        <x:v>조선업 산업기술인력 9년 만에 다시 상승세</x:v>
      </x:c>
      <x:c r="E68" s="32" t="str">
        <x:v>2025-01-01</x:v>
      </x:c>
      <x:c r="F68" s="32" t="str">
        <x:v>https://www.chosun.com/economy/industry-company/2025/01/01/VR4RUPY3CFEGZGFC5M4JPY5SDE</x:v>
      </x:c>
      <x:c r="G68" s="33" t="str">
        <x:v>31일 산업통상자원부의 ‘산업기술인력 수급 실태조사’에 따르면 지난 2023년 말 조선 산업기술인력은 5만8528명으로 전년인 2022년 대비 0.8% 증가했다.</x:v>
      </x:c>
      <x:c r="H68" s="32" t="str">
        <x:v>5만8528명</x:v>
      </x:c>
      <x:c r="I68" s="32" t="str">
        <x:v>KOSIS_VALUE</x:v>
      </x:c>
      <x:c r="J68" s="32" t="str">
        <x:v>국내공식통계</x:v>
      </x:c>
      <x:c r="K68" s="32" t="str">
        <x:v>codex_common_codebook</x:v>
      </x:c>
      <x:c r="L68" s="32" t="str">
        <x:v>현재값</x:v>
      </x:c>
      <x:c r="M68" s="32" t="str">
        <x:v>조선 산업기술인력</x:v>
      </x:c>
      <x:c r="N68" s="32" t="str">
        <x:v>조선업</x:v>
      </x:c>
      <x:c r="O68" s="32" t="str">
        <x:v>58528</x:v>
      </x:c>
      <x:c r="P68" s="32" t="str">
        <x:v>명</x:v>
      </x:c>
      <x:c r="Q68" s="32" t="str">
        <x:v>2023</x:v>
      </x:c>
      <x:c r="R68" s="32" t="str">
        <x:v>Y</x:v>
      </x:c>
      <x:c r="S68" s="32" t="str">
        <x:v>Y</x:v>
      </x:c>
      <x:c r="T68" s="32" t="str">
        <x:v>Y</x:v>
      </x:c>
      <x:c r="U68" s="32" t="str">
        <x:v>Y</x:v>
      </x:c>
      <x:c r="V68" s="32" t="str">
        <x:v>CODEBOOK_KOSIS</x:v>
      </x:c>
      <x:c r="W68" s="32" t="str">
        <x:v>115</x:v>
      </x:c>
      <x:c r="X68" s="32" t="str">
        <x:v>DT_115_2012_AA001</x:v>
      </x:c>
      <x:c r="Y68" s="32" t="str">
        <x:v>산업별(중분류) 현재인원(성별, 고용형태별 등)</x:v>
      </x:c>
      <x:c r="Z68" s="32" t="str">
        <x:v>N/A</x:v>
      </x:c>
      <x:c r="AA68" s="32" t="str">
        <x:v>N/A</x:v>
      </x:c>
      <x:c r="AB68" s="32" t="str">
        <x:v>N/A</x:v>
      </x:c>
      <x:c r="AC68" s="32" t="str">
        <x:v>N/A</x:v>
      </x:c>
      <x:c r="AD68" s="32" t="str">
        <x:v>Y</x:v>
      </x:c>
      <x:c r="AE68" s="32" t="str">
        <x:v>2023</x:v>
      </x:c>
      <x:c r="AF68" s="32" t="str">
        <x:v>N/A</x:v>
      </x:c>
      <x:c r="AG68" s="32" t="str">
        <x:v>현재값</x:v>
      </x:c>
      <x:c r="AH68" s="32" t="str">
        <x:v>TABLE_SERIES_LABEL</x:v>
      </x:c>
      <x:c r="AI68" s="32" t="str">
        <x:v>N/A</x:v>
      </x:c>
      <x:c r="AJ68" s="32" t="str">
        <x:v>N/A</x:v>
      </x:c>
      <x:c r="AK68" s="32" t="str">
        <x:v>N/A</x:v>
      </x:c>
      <x:c r="AL68" s="32" t="str">
        <x:v>N/A</x:v>
      </x:c>
      <x:c r="AM68" s="32" t="str">
        <x:v>58528</x:v>
      </x:c>
      <x:c r="AN68" s="32" t="str">
        <x:v>N/A</x:v>
      </x:c>
      <x:c r="AO68" s="32" t="str">
        <x:v>N/A</x:v>
      </x:c>
      <x:c r="AP68" s="32" t="str">
        <x:v>N/A</x:v>
      </x:c>
      <x:c r="AQ68" s="32" t="str">
        <x:v>값검증대기</x:v>
      </x:c>
      <x:c r="AR68" s="32" t="str">
        <x:v>TABLE_ONLY</x:v>
      </x:c>
      <x:c r="AS68" s="32" t="str">
        <x:v>HIGH</x:v>
      </x:c>
      <x:c r="AT68" s="33" t="str">
        <x:v>READY:INDUSTRIAL_WORKFORCE_SURVEY; 잠긴 Codex 공통 골드에서 측정·검증 가능 판정, KOSIS MCP로 통계표명 재확인, 세부 항목·분류·실제값은 미확정.</x:v>
      </x:c>
      <x:c r="AU68" s="32" t="str">
        <x:v>https://kosis.kr/statHtml/statHtml.do?orgId=115&amp;tblId=DT_115_2012_AA001&amp;vw_cd=MT_ZTITLE</x:v>
      </x:c>
      <x:c r="AV68" s="32" t="n">
        <x:v>46239.31775462963</x:v>
      </x:c>
      <x:c r="AW68" s="32" t="str">
        <x:v>CODEX_COMMON_GOLD_V1+KOSIS_MCP_TABLE_INFO_200</x:v>
      </x:c>
      <x:c r="AX68" s="32" t="str">
        <x:v>N</x:v>
      </x:c>
    </x:row>
    <x:row r="69">
      <x:c r="A69" s="32" t="str">
        <x:v>A0012-CG0269</x:v>
      </x:c>
      <x:c r="B69" s="32" t="str">
        <x:v>A0012-CG0269-m1</x:v>
      </x:c>
      <x:c r="C69" s="32" t="str">
        <x:v>A0012</x:v>
      </x:c>
      <x:c r="D69" s="32" t="str">
        <x:v>조선업 산업기술인력 9년 만에 다시 상승세</x:v>
      </x:c>
      <x:c r="E69" s="32" t="str">
        <x:v>2025-01-01</x:v>
      </x:c>
      <x:c r="F69" s="32" t="str">
        <x:v>https://www.chosun.com/economy/industry-company/2025/01/01/VR4RUPY3CFEGZGFC5M4JPY5SDE</x:v>
      </x:c>
      <x:c r="G69" s="33" t="str">
        <x:v>본래 조선업의 산업기술인력은 2014년 6만9766명에서 2022년 5만8042명까지 꾸준히 하락해 1만명 넘게 줄어든 상태였는데 이 수가 500명 가까이 늘어난 것이다.</x:v>
      </x:c>
      <x:c r="H69" s="32" t="str">
        <x:v>6만9766명</x:v>
      </x:c>
      <x:c r="I69" s="32" t="str">
        <x:v>KOSIS_VALUE</x:v>
      </x:c>
      <x:c r="J69" s="32" t="str">
        <x:v>국내공식통계</x:v>
      </x:c>
      <x:c r="K69" s="32" t="str">
        <x:v>codex_common_codebook</x:v>
      </x:c>
      <x:c r="L69" s="32" t="str">
        <x:v>이전값</x:v>
      </x:c>
      <x:c r="M69" s="32" t="str">
        <x:v>조선업 산업기술인력</x:v>
      </x:c>
      <x:c r="N69" s="32" t="str">
        <x:v>조선업</x:v>
      </x:c>
      <x:c r="O69" s="32" t="str">
        <x:v>69766</x:v>
      </x:c>
      <x:c r="P69" s="32" t="str">
        <x:v>명</x:v>
      </x:c>
      <x:c r="Q69" s="32" t="str">
        <x:v>2014</x:v>
      </x:c>
      <x:c r="R69" s="32" t="str">
        <x:v>Y</x:v>
      </x:c>
      <x:c r="S69" s="32" t="str">
        <x:v>Y</x:v>
      </x:c>
      <x:c r="T69" s="32" t="str">
        <x:v>Y</x:v>
      </x:c>
      <x:c r="U69" s="32" t="str">
        <x:v>Y</x:v>
      </x:c>
      <x:c r="V69" s="32" t="str">
        <x:v>CODEBOOK_KOSIS</x:v>
      </x:c>
      <x:c r="W69" s="32" t="str">
        <x:v>115</x:v>
      </x:c>
      <x:c r="X69" s="32" t="str">
        <x:v>DT_115_2012_AA001</x:v>
      </x:c>
      <x:c r="Y69" s="32" t="str">
        <x:v>산업별(중분류) 현재인원(성별, 고용형태별 등)</x:v>
      </x:c>
      <x:c r="Z69" s="32" t="str">
        <x:v>N/A</x:v>
      </x:c>
      <x:c r="AA69" s="32" t="str">
        <x:v>N/A</x:v>
      </x:c>
      <x:c r="AB69" s="32" t="str">
        <x:v>N/A</x:v>
      </x:c>
      <x:c r="AC69" s="32" t="str">
        <x:v>N/A</x:v>
      </x:c>
      <x:c r="AD69" s="32" t="str">
        <x:v>Y</x:v>
      </x:c>
      <x:c r="AE69" s="32" t="str">
        <x:v>2014</x:v>
      </x:c>
      <x:c r="AF69" s="32" t="str">
        <x:v>N/A</x:v>
      </x:c>
      <x:c r="AG69" s="32" t="str">
        <x:v>이전값</x:v>
      </x:c>
      <x:c r="AH69" s="32" t="str">
        <x:v>TABLE_SERIES_LABEL</x:v>
      </x:c>
      <x:c r="AI69" s="32" t="str">
        <x:v>N/A</x:v>
      </x:c>
      <x:c r="AJ69" s="32" t="str">
        <x:v>N/A</x:v>
      </x:c>
      <x:c r="AK69" s="32" t="str">
        <x:v>N/A</x:v>
      </x:c>
      <x:c r="AL69" s="32" t="str">
        <x:v>N/A</x:v>
      </x:c>
      <x:c r="AM69" s="32" t="str">
        <x:v>69766</x:v>
      </x:c>
      <x:c r="AN69" s="32" t="str">
        <x:v>N/A</x:v>
      </x:c>
      <x:c r="AO69" s="32" t="str">
        <x:v>N/A</x:v>
      </x:c>
      <x:c r="AP69" s="32" t="str">
        <x:v>N/A</x:v>
      </x:c>
      <x:c r="AQ69" s="32" t="str">
        <x:v>값검증대기</x:v>
      </x:c>
      <x:c r="AR69" s="32" t="str">
        <x:v>TABLE_ONLY</x:v>
      </x:c>
      <x:c r="AS69" s="32" t="str">
        <x:v>HIGH</x:v>
      </x:c>
      <x:c r="AT69" s="33" t="str">
        <x:v>READY:INDUSTRIAL_WORKFORCE_SURVEY; 잠긴 Codex 공통 골드에서 측정·검증 가능 판정, KOSIS MCP로 통계표명 재확인, 세부 항목·분류·실제값은 미확정.</x:v>
      </x:c>
      <x:c r="AU69" s="32" t="str">
        <x:v>https://kosis.kr/statHtml/statHtml.do?orgId=115&amp;tblId=DT_115_2012_AA001&amp;vw_cd=MT_ZTITLE</x:v>
      </x:c>
      <x:c r="AV69" s="32" t="n">
        <x:v>46239.31775462963</x:v>
      </x:c>
      <x:c r="AW69" s="32" t="str">
        <x:v>CODEX_COMMON_GOLD_V1+KOSIS_MCP_TABLE_INFO_200</x:v>
      </x:c>
      <x:c r="AX69" s="32" t="str">
        <x:v>N</x:v>
      </x:c>
    </x:row>
    <x:row r="70">
      <x:c r="A70" s="32" t="str">
        <x:v>A0018-CG0302</x:v>
      </x:c>
      <x:c r="B70" s="32" t="str">
        <x:v>A0018-CG0302-m1</x:v>
      </x:c>
      <x:c r="C70" s="32" t="str">
        <x:v>A0018</x:v>
      </x:c>
      <x:c r="D70" s="32" t="str">
        <x:v>반도체 덕에… 지난해 수출 6838억달러 역대 최대</x:v>
      </x:c>
      <x:c r="E70" s="32" t="str">
        <x:v>2025-01-02</x:v>
      </x:c>
      <x:c r="F70" s="32" t="str">
        <x:v>https://www.chosun.com/economy/economy_general/2025/01/02/6MYGM52QIVHUJBIZYYFBUW5IQM</x:v>
      </x:c>
      <x:c r="G70" s="33" t="str">
        <x:v>작년 한국의 수입액은 전년보다 1.6% 감소한 6320억달러로, 518억달러의 무역 흑자를 기록했다.</x:v>
      </x:c>
      <x:c r="H70" s="32" t="str">
        <x:v>518억달러</x:v>
      </x:c>
      <x:c r="I70" s="32" t="str">
        <x:v>KOSIS_VALUE</x:v>
      </x:c>
      <x:c r="J70" s="32" t="str">
        <x:v>국내공식통계</x:v>
      </x:c>
      <x:c r="K70" s="32" t="str">
        <x:v>codex_common_codebook</x:v>
      </x:c>
      <x:c r="L70" s="32" t="str">
        <x:v>현재값</x:v>
      </x:c>
      <x:c r="M70" s="32" t="str">
        <x:v>무역 흑자</x:v>
      </x:c>
      <x:c r="N70" s="32" t="str">
        <x:v>무역 흑자</x:v>
      </x:c>
      <x:c r="O70" s="32" t="str">
        <x:v>51800000000</x:v>
      </x:c>
      <x:c r="P70" s="32" t="str">
        <x:v>달러</x:v>
      </x:c>
      <x:c r="Q70" s="32" t="str">
        <x:v>2024</x:v>
      </x:c>
      <x:c r="R70" s="32" t="str">
        <x:v>Y</x:v>
      </x:c>
      <x:c r="S70" s="32" t="str">
        <x:v>Y</x:v>
      </x:c>
      <x:c r="T70" s="32" t="str">
        <x:v>Y</x:v>
      </x:c>
      <x:c r="U70" s="32" t="str">
        <x:v>Y</x:v>
      </x:c>
      <x:c r="V70" s="32" t="str">
        <x:v>CODEBOOK_KOSIS</x:v>
      </x:c>
      <x:c r="W70" s="32" t="str">
        <x:v>360</x:v>
      </x:c>
      <x:c r="X70" s="32" t="str">
        <x:v>DT_1R11001_FRM101</x:v>
      </x:c>
      <x:c r="Y70" s="32" t="str">
        <x:v>품목별 수출액, 수입액</x:v>
      </x:c>
      <x:c r="Z70" s="32" t="str">
        <x:v>N/A</x:v>
      </x:c>
      <x:c r="AA70" s="32" t="str">
        <x:v>N/A</x:v>
      </x:c>
      <x:c r="AB70" s="32" t="str">
        <x:v>N/A</x:v>
      </x:c>
      <x:c r="AC70" s="32" t="str">
        <x:v>N/A</x:v>
      </x:c>
      <x:c r="AD70" s="32" t="str">
        <x:v>Y</x:v>
      </x:c>
      <x:c r="AE70" s="32" t="str">
        <x:v>2024</x:v>
      </x:c>
      <x:c r="AF70" s="32" t="str">
        <x:v>N/A</x:v>
      </x:c>
      <x:c r="AG70" s="32" t="str">
        <x:v>현재값</x:v>
      </x:c>
      <x:c r="AH70" s="32" t="str">
        <x:v>TABLE_SERIES_LABEL</x:v>
      </x:c>
      <x:c r="AI70" s="32" t="str">
        <x:v>N/A</x:v>
      </x:c>
      <x:c r="AJ70" s="32" t="str">
        <x:v>N/A</x:v>
      </x:c>
      <x:c r="AK70" s="32" t="str">
        <x:v>N/A</x:v>
      </x:c>
      <x:c r="AL70" s="32" t="str">
        <x:v>N/A</x:v>
      </x:c>
      <x:c r="AM70" s="32" t="str">
        <x:v>51800000000</x:v>
      </x:c>
      <x:c r="AN70" s="32" t="str">
        <x:v>N/A</x:v>
      </x:c>
      <x:c r="AO70" s="32" t="str">
        <x:v>N/A</x:v>
      </x:c>
      <x:c r="AP70" s="32" t="str">
        <x:v>N/A</x:v>
      </x:c>
      <x:c r="AQ70" s="32" t="str">
        <x:v>값검증대기</x:v>
      </x:c>
      <x:c r="AR70" s="32" t="str">
        <x:v>TABLE_ONLY</x:v>
      </x:c>
      <x:c r="AS70" s="32" t="str">
        <x:v>HIGH</x:v>
      </x:c>
      <x:c r="AT70" s="33" t="str">
        <x:v>READY:TRADE_OFFICIAL_SERIES; 잠긴 Codex 공통 골드에서 측정·검증 가능 판정, KOSIS MCP로 통계표명 재확인, 세부 항목·분류·실제값은 미확정.</x:v>
      </x:c>
      <x:c r="AU70" s="32" t="str">
        <x:v>https://kosis.kr/statHtml/statHtml.do?orgId=360&amp;tblId=DT_1R11001_FRM101&amp;vw_cd=MT_ZTITLE</x:v>
      </x:c>
      <x:c r="AV70" s="32" t="n">
        <x:v>46239.31775462963</x:v>
      </x:c>
      <x:c r="AW70" s="32" t="str">
        <x:v>CODEX_COMMON_GOLD_V1+KOSIS_MCP_TABLE_INFO_200</x:v>
      </x:c>
      <x:c r="AX70" s="32" t="str">
        <x:v>N</x:v>
      </x:c>
    </x:row>
    <x:row r="71">
      <x:c r="A71" s="32" t="str">
        <x:v>A0018-CG0303</x:v>
      </x:c>
      <x:c r="B71" s="32" t="str">
        <x:v>A0018-CG0303-m1</x:v>
      </x:c>
      <x:c r="C71" s="32" t="str">
        <x:v>A0018</x:v>
      </x:c>
      <x:c r="D71" s="32" t="str">
        <x:v>반도체 덕에… 지난해 수출 6838억달러 역대 최대</x:v>
      </x:c>
      <x:c r="E71" s="32" t="str">
        <x:v>2025-01-02</x:v>
      </x:c>
      <x:c r="F71" s="32" t="str">
        <x:v>https://www.chosun.com/economy/economy_general/2025/01/02/6MYGM52QIVHUJBIZYYFBUW5IQM</x:v>
      </x:c>
      <x:c r="G71" s="33" t="str">
        <x:v>작년 흑자 폭은 2018년(697억달러 흑자) 이후 6년 만에 최대다.</x:v>
      </x:c>
      <x:c r="H71" s="32" t="str">
        <x:v>697억달러</x:v>
      </x:c>
      <x:c r="I71" s="32" t="str">
        <x:v>KOSIS_VALUE</x:v>
      </x:c>
      <x:c r="J71" s="32" t="str">
        <x:v>국내공식통계</x:v>
      </x:c>
      <x:c r="K71" s="32" t="str">
        <x:v>codex_common_codebook</x:v>
      </x:c>
      <x:c r="L71" s="32" t="str">
        <x:v>현재값</x:v>
      </x:c>
      <x:c r="M71" s="32" t="str">
        <x:v>흑자 폭</x:v>
      </x:c>
      <x:c r="N71" s="32" t="str">
        <x:v>흑자 폭</x:v>
      </x:c>
      <x:c r="O71" s="32" t="str">
        <x:v>69700000000</x:v>
      </x:c>
      <x:c r="P71" s="32" t="str">
        <x:v>달러</x:v>
      </x:c>
      <x:c r="Q71" s="32" t="str">
        <x:v>2018</x:v>
      </x:c>
      <x:c r="R71" s="32" t="str">
        <x:v>Y</x:v>
      </x:c>
      <x:c r="S71" s="32" t="str">
        <x:v>Y</x:v>
      </x:c>
      <x:c r="T71" s="32" t="str">
        <x:v>Y</x:v>
      </x:c>
      <x:c r="U71" s="32" t="str">
        <x:v>Y</x:v>
      </x:c>
      <x:c r="V71" s="32" t="str">
        <x:v>CODEBOOK_KOSIS</x:v>
      </x:c>
      <x:c r="W71" s="32" t="str">
        <x:v>360</x:v>
      </x:c>
      <x:c r="X71" s="32" t="str">
        <x:v>DT_1R11001_FRM101</x:v>
      </x:c>
      <x:c r="Y71" s="32" t="str">
        <x:v>품목별 수출액, 수입액</x:v>
      </x:c>
      <x:c r="Z71" s="32" t="str">
        <x:v>N/A</x:v>
      </x:c>
      <x:c r="AA71" s="32" t="str">
        <x:v>N/A</x:v>
      </x:c>
      <x:c r="AB71" s="32" t="str">
        <x:v>N/A</x:v>
      </x:c>
      <x:c r="AC71" s="32" t="str">
        <x:v>N/A</x:v>
      </x:c>
      <x:c r="AD71" s="32" t="str">
        <x:v>Y</x:v>
      </x:c>
      <x:c r="AE71" s="32" t="str">
        <x:v>2018</x:v>
      </x:c>
      <x:c r="AF71" s="32" t="str">
        <x:v>N/A</x:v>
      </x:c>
      <x:c r="AG71" s="32" t="str">
        <x:v>현재값</x:v>
      </x:c>
      <x:c r="AH71" s="32" t="str">
        <x:v>TABLE_SERIES_LABEL</x:v>
      </x:c>
      <x:c r="AI71" s="32" t="str">
        <x:v>N/A</x:v>
      </x:c>
      <x:c r="AJ71" s="32" t="str">
        <x:v>N/A</x:v>
      </x:c>
      <x:c r="AK71" s="32" t="str">
        <x:v>N/A</x:v>
      </x:c>
      <x:c r="AL71" s="32" t="str">
        <x:v>N/A</x:v>
      </x:c>
      <x:c r="AM71" s="32" t="str">
        <x:v>69700000000</x:v>
      </x:c>
      <x:c r="AN71" s="32" t="str">
        <x:v>N/A</x:v>
      </x:c>
      <x:c r="AO71" s="32" t="str">
        <x:v>N/A</x:v>
      </x:c>
      <x:c r="AP71" s="32" t="str">
        <x:v>N/A</x:v>
      </x:c>
      <x:c r="AQ71" s="32" t="str">
        <x:v>값검증대기</x:v>
      </x:c>
      <x:c r="AR71" s="32" t="str">
        <x:v>TABLE_ONLY</x:v>
      </x:c>
      <x:c r="AS71" s="32" t="str">
        <x:v>HIGH</x:v>
      </x:c>
      <x:c r="AT71" s="33" t="str">
        <x:v>READY:TRADE_OFFICIAL_SERIES; 잠긴 Codex 공통 골드에서 측정·검증 가능 판정, KOSIS MCP로 통계표명 재확인, 세부 항목·분류·실제값은 미확정.</x:v>
      </x:c>
      <x:c r="AU71" s="32" t="str">
        <x:v>https://kosis.kr/statHtml/statHtml.do?orgId=360&amp;tblId=DT_1R11001_FRM101&amp;vw_cd=MT_ZTITLE</x:v>
      </x:c>
      <x:c r="AV71" s="32" t="n">
        <x:v>46239.31775462963</x:v>
      </x:c>
      <x:c r="AW71" s="32" t="str">
        <x:v>CODEX_COMMON_GOLD_V1+KOSIS_MCP_TABLE_INFO_200</x:v>
      </x:c>
      <x:c r="AX71" s="32" t="str">
        <x:v>N</x:v>
      </x:c>
    </x:row>
    <x:row r="72">
      <x:c r="A72" s="32" t="str">
        <x:v>A0018-CG0305</x:v>
      </x:c>
      <x:c r="B72" s="32" t="str">
        <x:v>A0018-CG0305-m1</x:v>
      </x:c>
      <x:c r="C72" s="32" t="str">
        <x:v>A0018</x:v>
      </x:c>
      <x:c r="D72" s="32" t="str">
        <x:v>반도체 덕에… 지난해 수출 6838억달러 역대 최대</x:v>
      </x:c>
      <x:c r="E72" s="32" t="str">
        <x:v>2025-01-02</x:v>
      </x:c>
      <x:c r="F72" s="32" t="str">
        <x:v>https://www.chosun.com/economy/economy_general/2025/01/02/6MYGM52QIVHUJBIZYYFBUW5IQM</x:v>
      </x:c>
      <x:c r="G72" s="33" t="str">
        <x:v>작년 한국의 수입액은 전년보다 1.6% 감소한 6320억달러로, 518억달러의 무역 흑자를 기록했다.</x:v>
      </x:c>
      <x:c r="H72" s="32" t="str">
        <x:v>1.6%</x:v>
      </x:c>
      <x:c r="I72" s="32" t="str">
        <x:v>KOSIS_VALUE</x:v>
      </x:c>
      <x:c r="J72" s="32" t="str">
        <x:v>국내공식통계</x:v>
      </x:c>
      <x:c r="K72" s="32" t="str">
        <x:v>codex_common_codebook</x:v>
      </x:c>
      <x:c r="L72" s="32" t="str">
        <x:v>증감률</x:v>
      </x:c>
      <x:c r="M72" s="32" t="str">
        <x:v>수입액 증감률</x:v>
      </x:c>
      <x:c r="N72" s="32" t="str">
        <x:v>수입액 증감률</x:v>
      </x:c>
      <x:c r="O72" s="32" t="str">
        <x:v>1.6</x:v>
      </x:c>
      <x:c r="P72" s="32" t="str">
        <x:v>%</x:v>
      </x:c>
      <x:c r="Q72" s="32" t="str">
        <x:v>2024</x:v>
      </x:c>
      <x:c r="R72" s="32" t="str">
        <x:v>Y</x:v>
      </x:c>
      <x:c r="S72" s="32" t="str">
        <x:v>Y</x:v>
      </x:c>
      <x:c r="T72" s="32" t="str">
        <x:v>Y</x:v>
      </x:c>
      <x:c r="U72" s="32" t="str">
        <x:v>Y</x:v>
      </x:c>
      <x:c r="V72" s="32" t="str">
        <x:v>CODEBOOK_KOSIS</x:v>
      </x:c>
      <x:c r="W72" s="32" t="str">
        <x:v>360</x:v>
      </x:c>
      <x:c r="X72" s="32" t="str">
        <x:v>DT_1R11001_FRM101</x:v>
      </x:c>
      <x:c r="Y72" s="32" t="str">
        <x:v>품목별 수출액, 수입액</x:v>
      </x:c>
      <x:c r="Z72" s="32" t="str">
        <x:v>N/A</x:v>
      </x:c>
      <x:c r="AA72" s="32" t="str">
        <x:v>N/A</x:v>
      </x:c>
      <x:c r="AB72" s="32" t="str">
        <x:v>N/A</x:v>
      </x:c>
      <x:c r="AC72" s="32" t="str">
        <x:v>N/A</x:v>
      </x:c>
      <x:c r="AD72" s="32" t="str">
        <x:v>Y</x:v>
      </x:c>
      <x:c r="AE72" s="32" t="str">
        <x:v>2024</x:v>
      </x:c>
      <x:c r="AF72" s="32" t="str">
        <x:v>N/A</x:v>
      </x:c>
      <x:c r="AG72" s="32" t="str">
        <x:v>증감률</x:v>
      </x:c>
      <x:c r="AH72" s="32" t="str">
        <x:v>TABLE_SERIES_LABEL</x:v>
      </x:c>
      <x:c r="AI72" s="32" t="str">
        <x:v>N/A</x:v>
      </x:c>
      <x:c r="AJ72" s="32" t="str">
        <x:v>N/A</x:v>
      </x:c>
      <x:c r="AK72" s="32" t="str">
        <x:v>N/A</x:v>
      </x:c>
      <x:c r="AL72" s="32" t="str">
        <x:v>N/A</x:v>
      </x:c>
      <x:c r="AM72" s="32" t="str">
        <x:v>1.6</x:v>
      </x:c>
      <x:c r="AN72" s="32" t="str">
        <x:v>N/A</x:v>
      </x:c>
      <x:c r="AO72" s="32" t="str">
        <x:v>N/A</x:v>
      </x:c>
      <x:c r="AP72" s="32" t="str">
        <x:v>N/A</x:v>
      </x:c>
      <x:c r="AQ72" s="32" t="str">
        <x:v>값검증대기</x:v>
      </x:c>
      <x:c r="AR72" s="32" t="str">
        <x:v>TABLE_ONLY</x:v>
      </x:c>
      <x:c r="AS72" s="32" t="str">
        <x:v>HIGH</x:v>
      </x:c>
      <x:c r="AT72" s="33" t="str">
        <x:v>READY:TRADE_OFFICIAL_SERIES; 잠긴 Codex 공통 골드에서 측정·검증 가능 판정, KOSIS MCP로 통계표명 재확인, 세부 항목·분류·실제값은 미확정.</x:v>
      </x:c>
      <x:c r="AU72" s="32" t="str">
        <x:v>https://kosis.kr/statHtml/statHtml.do?orgId=360&amp;tblId=DT_1R11001_FRM101&amp;vw_cd=MT_ZTITLE</x:v>
      </x:c>
      <x:c r="AV72" s="32" t="n">
        <x:v>46239.31775462963</x:v>
      </x:c>
      <x:c r="AW72" s="32" t="str">
        <x:v>CODEX_COMMON_GOLD_V1+KOSIS_MCP_TABLE_INFO_200</x:v>
      </x:c>
      <x:c r="AX72" s="32" t="str">
        <x:v>N</x:v>
      </x:c>
    </x:row>
    <x:row r="73">
      <x:c r="A73" s="32" t="str">
        <x:v>A0018-CG0307</x:v>
      </x:c>
      <x:c r="B73" s="32" t="str">
        <x:v>A0018-CG0307-m1</x:v>
      </x:c>
      <x:c r="C73" s="32" t="str">
        <x:v>A0018</x:v>
      </x:c>
      <x:c r="D73" s="32" t="str">
        <x:v>반도체 덕에… 지난해 수출 6838억달러 역대 최대</x:v>
      </x:c>
      <x:c r="E73" s="32" t="str">
        <x:v>2025-01-02</x:v>
      </x:c>
      <x:c r="F73" s="32" t="str">
        <x:v>https://www.chosun.com/economy/economy_general/2025/01/02/6MYGM52QIVHUJBIZYYFBUW5IQM</x:v>
      </x:c>
      <x:c r="G73" s="33" t="str">
        <x:v>작년 12월 수출은 613억8000만달러로 1년 전 대비 6.6% 늘어 한 달 전(1.4%)에 비해 오름폭을 키웠다.</x:v>
      </x:c>
      <x:c r="H73" s="32" t="str">
        <x:v>1.4%</x:v>
      </x:c>
      <x:c r="I73" s="32" t="str">
        <x:v>KOSIS_VALUE</x:v>
      </x:c>
      <x:c r="J73" s="32" t="str">
        <x:v>국내공식통계</x:v>
      </x:c>
      <x:c r="K73" s="32" t="str">
        <x:v>codex_common_codebook</x:v>
      </x:c>
      <x:c r="L73" s="32" t="str">
        <x:v>참고값</x:v>
      </x:c>
      <x:c r="M73" s="32" t="str">
        <x:v>수출 증가율</x:v>
      </x:c>
      <x:c r="N73" s="32" t="str">
        <x:v>반도체</x:v>
      </x:c>
      <x:c r="O73" s="32" t="str">
        <x:v>1.4</x:v>
      </x:c>
      <x:c r="P73" s="32" t="str">
        <x:v>%</x:v>
      </x:c>
      <x:c r="Q73" s="32" t="str">
        <x:v>2024</x:v>
      </x:c>
      <x:c r="R73" s="32" t="str">
        <x:v>Y</x:v>
      </x:c>
      <x:c r="S73" s="32" t="str">
        <x:v>Y</x:v>
      </x:c>
      <x:c r="T73" s="32" t="str">
        <x:v>Y</x:v>
      </x:c>
      <x:c r="U73" s="32" t="str">
        <x:v>Y</x:v>
      </x:c>
      <x:c r="V73" s="32" t="str">
        <x:v>CODEBOOK_KOSIS</x:v>
      </x:c>
      <x:c r="W73" s="32" t="str">
        <x:v>360</x:v>
      </x:c>
      <x:c r="X73" s="32" t="str">
        <x:v>DT_1R11001_FRM101</x:v>
      </x:c>
      <x:c r="Y73" s="32" t="str">
        <x:v>품목별 수출액, 수입액</x:v>
      </x:c>
      <x:c r="Z73" s="32" t="str">
        <x:v>N/A</x:v>
      </x:c>
      <x:c r="AA73" s="32" t="str">
        <x:v>N/A</x:v>
      </x:c>
      <x:c r="AB73" s="32" t="str">
        <x:v>N/A</x:v>
      </x:c>
      <x:c r="AC73" s="32" t="str">
        <x:v>N/A</x:v>
      </x:c>
      <x:c r="AD73" s="32" t="str">
        <x:v>Y</x:v>
      </x:c>
      <x:c r="AE73" s="32" t="str">
        <x:v>2024</x:v>
      </x:c>
      <x:c r="AF73" s="32" t="str">
        <x:v>N/A</x:v>
      </x:c>
      <x:c r="AG73" s="32" t="str">
        <x:v>참고값</x:v>
      </x:c>
      <x:c r="AH73" s="32" t="str">
        <x:v>TABLE_SERIES_LABEL</x:v>
      </x:c>
      <x:c r="AI73" s="32" t="str">
        <x:v>N/A</x:v>
      </x:c>
      <x:c r="AJ73" s="32" t="str">
        <x:v>N/A</x:v>
      </x:c>
      <x:c r="AK73" s="32" t="str">
        <x:v>N/A</x:v>
      </x:c>
      <x:c r="AL73" s="32" t="str">
        <x:v>N/A</x:v>
      </x:c>
      <x:c r="AM73" s="32" t="str">
        <x:v>1.4</x:v>
      </x:c>
      <x:c r="AN73" s="32" t="str">
        <x:v>N/A</x:v>
      </x:c>
      <x:c r="AO73" s="32" t="str">
        <x:v>N/A</x:v>
      </x:c>
      <x:c r="AP73" s="32" t="str">
        <x:v>N/A</x:v>
      </x:c>
      <x:c r="AQ73" s="32" t="str">
        <x:v>값검증대기</x:v>
      </x:c>
      <x:c r="AR73" s="32" t="str">
        <x:v>TABLE_ONLY</x:v>
      </x:c>
      <x:c r="AS73" s="32" t="str">
        <x:v>HIGH</x:v>
      </x:c>
      <x:c r="AT73" s="33" t="str">
        <x:v>READY:TRADE_OFFICIAL_SERIES; 잠긴 Codex 공통 골드에서 측정·검증 가능 판정, KOSIS MCP로 통계표명 재확인, 세부 항목·분류·실제값은 미확정.</x:v>
      </x:c>
      <x:c r="AU73" s="32" t="str">
        <x:v>https://kosis.kr/statHtml/statHtml.do?orgId=360&amp;tblId=DT_1R11001_FRM101&amp;vw_cd=MT_ZTITLE</x:v>
      </x:c>
      <x:c r="AV73" s="32" t="n">
        <x:v>46239.31775462963</x:v>
      </x:c>
      <x:c r="AW73" s="32" t="str">
        <x:v>CODEX_COMMON_GOLD_V1+KOSIS_MCP_TABLE_INFO_200</x:v>
      </x:c>
      <x:c r="AX73" s="32" t="str">
        <x:v>N</x:v>
      </x:c>
    </x:row>
    <x:row r="74">
      <x:c r="A74" s="32" t="str">
        <x:v>A0018-CG0309</x:v>
      </x:c>
      <x:c r="B74" s="32" t="str">
        <x:v>A0018-CG0309-m1</x:v>
      </x:c>
      <x:c r="C74" s="32" t="str">
        <x:v>A0018</x:v>
      </x:c>
      <x:c r="D74" s="32" t="str">
        <x:v>반도체 덕에… 지난해 수출 6838억달러 역대 최대</x:v>
      </x:c>
      <x:c r="E74" s="32" t="str">
        <x:v>2025-01-02</x:v>
      </x:c>
      <x:c r="F74" s="32" t="str">
        <x:v>https://www.chosun.com/economy/economy_general/2025/01/02/6MYGM52QIVHUJBIZYYFBUW5IQM</x:v>
      </x:c>
      <x:c r="G74" s="33" t="str">
        <x:v>작년 한 해 전체 수출액이 6838억달러(약 1006조원)로 2023년에 비해 8.2% 증가했다고 산업통상자원부와 관세청이 1일 밝혔다.</x:v>
      </x:c>
      <x:c r="H74" s="32" t="str">
        <x:v>1006조원</x:v>
      </x:c>
      <x:c r="I74" s="32" t="str">
        <x:v>KOSIS_VALUE</x:v>
      </x:c>
      <x:c r="J74" s="32" t="str">
        <x:v>국내공식통계</x:v>
      </x:c>
      <x:c r="K74" s="32" t="str">
        <x:v>codex_common_codebook</x:v>
      </x:c>
      <x:c r="L74" s="32" t="str">
        <x:v>현재값</x:v>
      </x:c>
      <x:c r="M74" s="32" t="str">
        <x:v>총수출액</x:v>
      </x:c>
      <x:c r="N74" s="32" t="str">
        <x:v>반도체</x:v>
      </x:c>
      <x:c r="O74" s="32" t="str">
        <x:v>1006000000000000</x:v>
      </x:c>
      <x:c r="P74" s="32" t="str">
        <x:v>원</x:v>
      </x:c>
      <x:c r="Q74" s="32" t="str">
        <x:v>2024</x:v>
      </x:c>
      <x:c r="R74" s="32" t="str">
        <x:v>Y</x:v>
      </x:c>
      <x:c r="S74" s="32" t="str">
        <x:v>Y</x:v>
      </x:c>
      <x:c r="T74" s="32" t="str">
        <x:v>Y</x:v>
      </x:c>
      <x:c r="U74" s="32" t="str">
        <x:v>Y</x:v>
      </x:c>
      <x:c r="V74" s="32" t="str">
        <x:v>CODEBOOK_KOSIS</x:v>
      </x:c>
      <x:c r="W74" s="32" t="str">
        <x:v>360</x:v>
      </x:c>
      <x:c r="X74" s="32" t="str">
        <x:v>DT_1R11001_FRM101</x:v>
      </x:c>
      <x:c r="Y74" s="32" t="str">
        <x:v>품목별 수출액, 수입액</x:v>
      </x:c>
      <x:c r="Z74" s="32" t="str">
        <x:v>N/A</x:v>
      </x:c>
      <x:c r="AA74" s="32" t="str">
        <x:v>N/A</x:v>
      </x:c>
      <x:c r="AB74" s="32" t="str">
        <x:v>N/A</x:v>
      </x:c>
      <x:c r="AC74" s="32" t="str">
        <x:v>N/A</x:v>
      </x:c>
      <x:c r="AD74" s="32" t="str">
        <x:v>Y</x:v>
      </x:c>
      <x:c r="AE74" s="32" t="str">
        <x:v>2024</x:v>
      </x:c>
      <x:c r="AF74" s="32" t="str">
        <x:v>N/A</x:v>
      </x:c>
      <x:c r="AG74" s="32" t="str">
        <x:v>현재값</x:v>
      </x:c>
      <x:c r="AH74" s="32" t="str">
        <x:v>TABLE_SERIES_LABEL</x:v>
      </x:c>
      <x:c r="AI74" s="32" t="str">
        <x:v>N/A</x:v>
      </x:c>
      <x:c r="AJ74" s="32" t="str">
        <x:v>N/A</x:v>
      </x:c>
      <x:c r="AK74" s="32" t="str">
        <x:v>N/A</x:v>
      </x:c>
      <x:c r="AL74" s="32" t="str">
        <x:v>N/A</x:v>
      </x:c>
      <x:c r="AM74" s="32" t="str">
        <x:v>1006000000000000</x:v>
      </x:c>
      <x:c r="AN74" s="32" t="str">
        <x:v>N/A</x:v>
      </x:c>
      <x:c r="AO74" s="32" t="str">
        <x:v>N/A</x:v>
      </x:c>
      <x:c r="AP74" s="32" t="str">
        <x:v>N/A</x:v>
      </x:c>
      <x:c r="AQ74" s="32" t="str">
        <x:v>값검증대기</x:v>
      </x:c>
      <x:c r="AR74" s="32" t="str">
        <x:v>TABLE_ONLY</x:v>
      </x:c>
      <x:c r="AS74" s="32" t="str">
        <x:v>HIGH</x:v>
      </x:c>
      <x:c r="AT74" s="33" t="str">
        <x:v>READY:TRADE_OFFICIAL_SERIES; 잠긴 Codex 공통 골드에서 측정·검증 가능 판정, KOSIS MCP로 통계표명 재확인, 세부 항목·분류·실제값은 미확정.</x:v>
      </x:c>
      <x:c r="AU74" s="32" t="str">
        <x:v>https://kosis.kr/statHtml/statHtml.do?orgId=360&amp;tblId=DT_1R11001_FRM101&amp;vw_cd=MT_ZTITLE</x:v>
      </x:c>
      <x:c r="AV74" s="32" t="n">
        <x:v>46239.31775462963</x:v>
      </x:c>
      <x:c r="AW74" s="32" t="str">
        <x:v>CODEX_COMMON_GOLD_V1+KOSIS_MCP_TABLE_INFO_200</x:v>
      </x:c>
      <x:c r="AX74" s="32" t="str">
        <x:v>N</x:v>
      </x:c>
    </x:row>
    <x:row r="75">
      <x:c r="A75" s="32" t="str">
        <x:v>A0018-CG0311</x:v>
      </x:c>
      <x:c r="B75" s="32" t="str">
        <x:v>A0018-CG0311-m1</x:v>
      </x:c>
      <x:c r="C75" s="32" t="str">
        <x:v>A0018</x:v>
      </x:c>
      <x:c r="D75" s="32" t="str">
        <x:v>반도체 덕에… 지난해 수출 6838억달러 역대 최대</x:v>
      </x:c>
      <x:c r="E75" s="32" t="str">
        <x:v>2025-01-02</x:v>
      </x:c>
      <x:c r="F75" s="32" t="str">
        <x:v>https://www.chosun.com/economy/economy_general/2025/01/02/6MYGM52QIVHUJBIZYYFBUW5IQM</x:v>
      </x:c>
      <x:c r="G75" s="33" t="str">
        <x:v>기존 역대 최대 규모였던 2022년 기록(6836억달러)을 2억달러 웃돌아 역대 최대 수출 실적을 달성했다.</x:v>
      </x:c>
      <x:c r="H75" s="32" t="str">
        <x:v>2억달러</x:v>
      </x:c>
      <x:c r="I75" s="32" t="str">
        <x:v>KOSIS_VALUE</x:v>
      </x:c>
      <x:c r="J75" s="32" t="str">
        <x:v>국내공식통계</x:v>
      </x:c>
      <x:c r="K75" s="32" t="str">
        <x:v>codex_common_codebook</x:v>
      </x:c>
      <x:c r="L75" s="32" t="str">
        <x:v>증감량</x:v>
      </x:c>
      <x:c r="M75" s="32" t="str">
        <x:v>총 수출액 증감</x:v>
      </x:c>
      <x:c r="N75" s="32" t="str">
        <x:v>반도체</x:v>
      </x:c>
      <x:c r="O75" s="32" t="str">
        <x:v>200000000</x:v>
      </x:c>
      <x:c r="P75" s="32" t="str">
        <x:v>달러</x:v>
      </x:c>
      <x:c r="Q75" s="32" t="str">
        <x:v>2022</x:v>
      </x:c>
      <x:c r="R75" s="32" t="str">
        <x:v>Y</x:v>
      </x:c>
      <x:c r="S75" s="32" t="str">
        <x:v>Y</x:v>
      </x:c>
      <x:c r="T75" s="32" t="str">
        <x:v>Y</x:v>
      </x:c>
      <x:c r="U75" s="32" t="str">
        <x:v>Y</x:v>
      </x:c>
      <x:c r="V75" s="32" t="str">
        <x:v>CODEBOOK_KOSIS</x:v>
      </x:c>
      <x:c r="W75" s="32" t="str">
        <x:v>360</x:v>
      </x:c>
      <x:c r="X75" s="32" t="str">
        <x:v>DT_1R11001_FRM101</x:v>
      </x:c>
      <x:c r="Y75" s="32" t="str">
        <x:v>품목별 수출액, 수입액</x:v>
      </x:c>
      <x:c r="Z75" s="32" t="str">
        <x:v>N/A</x:v>
      </x:c>
      <x:c r="AA75" s="32" t="str">
        <x:v>N/A</x:v>
      </x:c>
      <x:c r="AB75" s="32" t="str">
        <x:v>N/A</x:v>
      </x:c>
      <x:c r="AC75" s="32" t="str">
        <x:v>N/A</x:v>
      </x:c>
      <x:c r="AD75" s="32" t="str">
        <x:v>Y</x:v>
      </x:c>
      <x:c r="AE75" s="32" t="str">
        <x:v>2022</x:v>
      </x:c>
      <x:c r="AF75" s="32" t="str">
        <x:v>N/A</x:v>
      </x:c>
      <x:c r="AG75" s="32" t="str">
        <x:v>증감량</x:v>
      </x:c>
      <x:c r="AH75" s="32" t="str">
        <x:v>TABLE_SERIES_LABEL</x:v>
      </x:c>
      <x:c r="AI75" s="32" t="str">
        <x:v>N/A</x:v>
      </x:c>
      <x:c r="AJ75" s="32" t="str">
        <x:v>N/A</x:v>
      </x:c>
      <x:c r="AK75" s="32" t="str">
        <x:v>N/A</x:v>
      </x:c>
      <x:c r="AL75" s="32" t="str">
        <x:v>N/A</x:v>
      </x:c>
      <x:c r="AM75" s="32" t="str">
        <x:v>200000000</x:v>
      </x:c>
      <x:c r="AN75" s="32" t="str">
        <x:v>N/A</x:v>
      </x:c>
      <x:c r="AO75" s="32" t="str">
        <x:v>N/A</x:v>
      </x:c>
      <x:c r="AP75" s="32" t="str">
        <x:v>N/A</x:v>
      </x:c>
      <x:c r="AQ75" s="32" t="str">
        <x:v>값검증대기</x:v>
      </x:c>
      <x:c r="AR75" s="32" t="str">
        <x:v>TABLE_ONLY</x:v>
      </x:c>
      <x:c r="AS75" s="32" t="str">
        <x:v>HIGH</x:v>
      </x:c>
      <x:c r="AT75" s="33" t="str">
        <x:v>READY:TRADE_OFFICIAL_SERIES; 잠긴 Codex 공통 골드에서 측정·검증 가능 판정, KOSIS MCP로 통계표명 재확인, 세부 항목·분류·실제값은 미확정.</x:v>
      </x:c>
      <x:c r="AU75" s="32" t="str">
        <x:v>https://kosis.kr/statHtml/statHtml.do?orgId=360&amp;tblId=DT_1R11001_FRM101&amp;vw_cd=MT_ZTITLE</x:v>
      </x:c>
      <x:c r="AV75" s="32" t="n">
        <x:v>46239.31775462963</x:v>
      </x:c>
      <x:c r="AW75" s="32" t="str">
        <x:v>CODEX_COMMON_GOLD_V1+KOSIS_MCP_TABLE_INFO_200</x:v>
      </x:c>
      <x:c r="AX75" s="32" t="str">
        <x:v>N</x:v>
      </x:c>
    </x:row>
    <x:row r="76">
      <x:c r="A76" s="32" t="str">
        <x:v>A0018-CG0313</x:v>
      </x:c>
      <x:c r="B76" s="32" t="str">
        <x:v>A0018-CG0313-m1</x:v>
      </x:c>
      <x:c r="C76" s="32" t="str">
        <x:v>A0018</x:v>
      </x:c>
      <x:c r="D76" s="32" t="str">
        <x:v>반도체 덕에… 지난해 수출 6838억달러 역대 최대</x:v>
      </x:c>
      <x:c r="E76" s="32" t="str">
        <x:v>2025-01-02</x:v>
      </x:c>
      <x:c r="F76" s="32" t="str">
        <x:v>https://www.chosun.com/economy/economy_general/2025/01/02/6MYGM52QIVHUJBIZYYFBUW5IQM</x:v>
      </x:c>
      <x:c r="G76" s="33" t="str">
        <x:v>수출 증가율은 작년 8월(10.9%)부터 11월까지 꺾이다가 지난달 들어 반도체 수출이 31.5% 불어나며 오름세로 돌아섰다.</x:v>
      </x:c>
      <x:c r="H76" s="32" t="str">
        <x:v>31.5%</x:v>
      </x:c>
      <x:c r="I76" s="32" t="str">
        <x:v>KOSIS_VALUE</x:v>
      </x:c>
      <x:c r="J76" s="32" t="str">
        <x:v>국내공식통계</x:v>
      </x:c>
      <x:c r="K76" s="32" t="str">
        <x:v>codex_common_codebook</x:v>
      </x:c>
      <x:c r="L76" s="32" t="str">
        <x:v>증감률</x:v>
      </x:c>
      <x:c r="M76" s="32" t="str">
        <x:v>수출 증가율</x:v>
      </x:c>
      <x:c r="N76" s="32" t="str">
        <x:v>반도체</x:v>
      </x:c>
      <x:c r="O76" s="32" t="str">
        <x:v>31.5</x:v>
      </x:c>
      <x:c r="P76" s="32" t="str">
        <x:v>%</x:v>
      </x:c>
      <x:c r="Q76" s="32" t="str">
        <x:v>2024</x:v>
      </x:c>
      <x:c r="R76" s="32" t="str">
        <x:v>M</x:v>
      </x:c>
      <x:c r="S76" s="32" t="str">
        <x:v>Y</x:v>
      </x:c>
      <x:c r="T76" s="32" t="str">
        <x:v>Y</x:v>
      </x:c>
      <x:c r="U76" s="32" t="str">
        <x:v>Y</x:v>
      </x:c>
      <x:c r="V76" s="32" t="str">
        <x:v>CODEBOOK_KOSIS</x:v>
      </x:c>
      <x:c r="W76" s="32" t="str">
        <x:v>360</x:v>
      </x:c>
      <x:c r="X76" s="32" t="str">
        <x:v>DT_1R11001_FRM101</x:v>
      </x:c>
      <x:c r="Y76" s="32" t="str">
        <x:v>품목별 수출액, 수입액</x:v>
      </x:c>
      <x:c r="Z76" s="32" t="str">
        <x:v>N/A</x:v>
      </x:c>
      <x:c r="AA76" s="32" t="str">
        <x:v>N/A</x:v>
      </x:c>
      <x:c r="AB76" s="32" t="str">
        <x:v>N/A</x:v>
      </x:c>
      <x:c r="AC76" s="32" t="str">
        <x:v>N/A</x:v>
      </x:c>
      <x:c r="AD76" s="32" t="str">
        <x:v>M</x:v>
      </x:c>
      <x:c r="AE76" s="32" t="str">
        <x:v>2024</x:v>
      </x:c>
      <x:c r="AF76" s="32" t="str">
        <x:v>N/A</x:v>
      </x:c>
      <x:c r="AG76" s="32" t="str">
        <x:v>증감률</x:v>
      </x:c>
      <x:c r="AH76" s="32" t="str">
        <x:v>TABLE_SERIES_LABEL</x:v>
      </x:c>
      <x:c r="AI76" s="32" t="str">
        <x:v>N/A</x:v>
      </x:c>
      <x:c r="AJ76" s="32" t="str">
        <x:v>N/A</x:v>
      </x:c>
      <x:c r="AK76" s="32" t="str">
        <x:v>N/A</x:v>
      </x:c>
      <x:c r="AL76" s="32" t="str">
        <x:v>N/A</x:v>
      </x:c>
      <x:c r="AM76" s="32" t="str">
        <x:v>31.5</x:v>
      </x:c>
      <x:c r="AN76" s="32" t="str">
        <x:v>N/A</x:v>
      </x:c>
      <x:c r="AO76" s="32" t="str">
        <x:v>N/A</x:v>
      </x:c>
      <x:c r="AP76" s="32" t="str">
        <x:v>N/A</x:v>
      </x:c>
      <x:c r="AQ76" s="32" t="str">
        <x:v>값검증대기</x:v>
      </x:c>
      <x:c r="AR76" s="32" t="str">
        <x:v>TABLE_ONLY</x:v>
      </x:c>
      <x:c r="AS76" s="32" t="str">
        <x:v>HIGH</x:v>
      </x:c>
      <x:c r="AT76" s="33" t="str">
        <x:v>READY:TRADE_OFFICIAL_SERIES; 잠긴 Codex 공통 골드에서 측정·검증 가능 판정, KOSIS MCP로 통계표명 재확인, 세부 항목·분류·실제값은 미확정.</x:v>
      </x:c>
      <x:c r="AU76" s="32" t="str">
        <x:v>https://kosis.kr/statHtml/statHtml.do?orgId=360&amp;tblId=DT_1R11001_FRM101&amp;vw_cd=MT_ZTITLE</x:v>
      </x:c>
      <x:c r="AV76" s="32" t="n">
        <x:v>46239.31775462963</x:v>
      </x:c>
      <x:c r="AW76" s="32" t="str">
        <x:v>CODEX_COMMON_GOLD_V1+KOSIS_MCP_TABLE_INFO_200</x:v>
      </x:c>
      <x:c r="AX76" s="32" t="str">
        <x:v>N</x:v>
      </x:c>
    </x:row>
    <x:row r="77">
      <x:c r="A77" s="32" t="str">
        <x:v>A0018-CG0314</x:v>
      </x:c>
      <x:c r="B77" s="32" t="str">
        <x:v>A0018-CG0314-m1</x:v>
      </x:c>
      <x:c r="C77" s="32" t="str">
        <x:v>A0018</x:v>
      </x:c>
      <x:c r="D77" s="32" t="str">
        <x:v>반도체 덕에… 지난해 수출 6838억달러 역대 최대</x:v>
      </x:c>
      <x:c r="E77" s="32" t="str">
        <x:v>2025-01-02</x:v>
      </x:c>
      <x:c r="F77" s="32" t="str">
        <x:v>https://www.chosun.com/economy/economy_general/2025/01/02/6MYGM52QIVHUJBIZYYFBUW5IQM</x:v>
      </x:c>
      <x:c r="G77" s="33" t="str">
        <x:v>작년 12월 수출은 613억8000만달러로 1년 전 대비 6.6% 늘어 한 달 전(1.4%)에 비해 오름폭을 키웠다.</x:v>
      </x:c>
      <x:c r="H77" s="32" t="str">
        <x:v>6.6%</x:v>
      </x:c>
      <x:c r="I77" s="32" t="str">
        <x:v>KOSIS_VALUE</x:v>
      </x:c>
      <x:c r="J77" s="32" t="str">
        <x:v>국내공식통계</x:v>
      </x:c>
      <x:c r="K77" s="32" t="str">
        <x:v>codex_common_codebook</x:v>
      </x:c>
      <x:c r="L77" s="32" t="str">
        <x:v>현재값</x:v>
      </x:c>
      <x:c r="M77" s="32" t="str">
        <x:v>수출 증가율</x:v>
      </x:c>
      <x:c r="N77" s="32" t="str">
        <x:v>반도체</x:v>
      </x:c>
      <x:c r="O77" s="32" t="str">
        <x:v>6.6</x:v>
      </x:c>
      <x:c r="P77" s="32" t="str">
        <x:v>%</x:v>
      </x:c>
      <x:c r="Q77" s="32" t="str">
        <x:v>2024</x:v>
      </x:c>
      <x:c r="R77" s="32" t="str">
        <x:v>Y</x:v>
      </x:c>
      <x:c r="S77" s="32" t="str">
        <x:v>Y</x:v>
      </x:c>
      <x:c r="T77" s="32" t="str">
        <x:v>Y</x:v>
      </x:c>
      <x:c r="U77" s="32" t="str">
        <x:v>Y</x:v>
      </x:c>
      <x:c r="V77" s="32" t="str">
        <x:v>CODEBOOK_KOSIS</x:v>
      </x:c>
      <x:c r="W77" s="32" t="str">
        <x:v>360</x:v>
      </x:c>
      <x:c r="X77" s="32" t="str">
        <x:v>DT_1R11001_FRM101</x:v>
      </x:c>
      <x:c r="Y77" s="32" t="str">
        <x:v>품목별 수출액, 수입액</x:v>
      </x:c>
      <x:c r="Z77" s="32" t="str">
        <x:v>N/A</x:v>
      </x:c>
      <x:c r="AA77" s="32" t="str">
        <x:v>N/A</x:v>
      </x:c>
      <x:c r="AB77" s="32" t="str">
        <x:v>N/A</x:v>
      </x:c>
      <x:c r="AC77" s="32" t="str">
        <x:v>N/A</x:v>
      </x:c>
      <x:c r="AD77" s="32" t="str">
        <x:v>Y</x:v>
      </x:c>
      <x:c r="AE77" s="32" t="str">
        <x:v>2024</x:v>
      </x:c>
      <x:c r="AF77" s="32" t="str">
        <x:v>N/A</x:v>
      </x:c>
      <x:c r="AG77" s="32" t="str">
        <x:v>현재값</x:v>
      </x:c>
      <x:c r="AH77" s="32" t="str">
        <x:v>TABLE_SERIES_LABEL</x:v>
      </x:c>
      <x:c r="AI77" s="32" t="str">
        <x:v>N/A</x:v>
      </x:c>
      <x:c r="AJ77" s="32" t="str">
        <x:v>N/A</x:v>
      </x:c>
      <x:c r="AK77" s="32" t="str">
        <x:v>N/A</x:v>
      </x:c>
      <x:c r="AL77" s="32" t="str">
        <x:v>N/A</x:v>
      </x:c>
      <x:c r="AM77" s="32" t="str">
        <x:v>6.6</x:v>
      </x:c>
      <x:c r="AN77" s="32" t="str">
        <x:v>N/A</x:v>
      </x:c>
      <x:c r="AO77" s="32" t="str">
        <x:v>N/A</x:v>
      </x:c>
      <x:c r="AP77" s="32" t="str">
        <x:v>N/A</x:v>
      </x:c>
      <x:c r="AQ77" s="32" t="str">
        <x:v>값검증대기</x:v>
      </x:c>
      <x:c r="AR77" s="32" t="str">
        <x:v>TABLE_ONLY</x:v>
      </x:c>
      <x:c r="AS77" s="32" t="str">
        <x:v>HIGH</x:v>
      </x:c>
      <x:c r="AT77" s="33" t="str">
        <x:v>READY:TRADE_OFFICIAL_SERIES; 잠긴 Codex 공통 골드에서 측정·검증 가능 판정, KOSIS MCP로 통계표명 재확인, 세부 항목·분류·실제값은 미확정.</x:v>
      </x:c>
      <x:c r="AU77" s="32" t="str">
        <x:v>https://kosis.kr/statHtml/statHtml.do?orgId=360&amp;tblId=DT_1R11001_FRM101&amp;vw_cd=MT_ZTITLE</x:v>
      </x:c>
      <x:c r="AV77" s="32" t="n">
        <x:v>46239.31775462963</x:v>
      </x:c>
      <x:c r="AW77" s="32" t="str">
        <x:v>CODEX_COMMON_GOLD_V1+KOSIS_MCP_TABLE_INFO_200</x:v>
      </x:c>
      <x:c r="AX77" s="32" t="str">
        <x:v>N</x:v>
      </x:c>
    </x:row>
    <x:row r="78">
      <x:c r="A78" s="32" t="str">
        <x:v>A0018-CG0315</x:v>
      </x:c>
      <x:c r="B78" s="32" t="str">
        <x:v>A0018-CG0315-m1</x:v>
      </x:c>
      <x:c r="C78" s="32" t="str">
        <x:v>A0018</x:v>
      </x:c>
      <x:c r="D78" s="32" t="str">
        <x:v>반도체 덕에… 지난해 수출 6838억달러 역대 최대</x:v>
      </x:c>
      <x:c r="E78" s="32" t="str">
        <x:v>2025-01-02</x:v>
      </x:c>
      <x:c r="F78" s="32" t="str">
        <x:v>https://www.chosun.com/economy/economy_general/2025/01/02/6MYGM52QIVHUJBIZYYFBUW5IQM</x:v>
      </x:c>
      <x:c r="G78" s="33" t="str">
        <x:v>작년 12월 수출은 613억8000만달러로 1년 전 대비 6.6% 늘어 한 달 전(1.4%)에 비해 오름폭을 키웠다.</x:v>
      </x:c>
      <x:c r="H78" s="32" t="str">
        <x:v>613억8000만달러</x:v>
      </x:c>
      <x:c r="I78" s="32" t="str">
        <x:v>KOSIS_VALUE</x:v>
      </x:c>
      <x:c r="J78" s="32" t="str">
        <x:v>국내공식통계</x:v>
      </x:c>
      <x:c r="K78" s="32" t="str">
        <x:v>codex_common_codebook</x:v>
      </x:c>
      <x:c r="L78" s="32" t="str">
        <x:v>현재값</x:v>
      </x:c>
      <x:c r="M78" s="32" t="str">
        <x:v>수출액</x:v>
      </x:c>
      <x:c r="N78" s="32" t="str">
        <x:v>반도체</x:v>
      </x:c>
      <x:c r="O78" s="32" t="str">
        <x:v>61380000000</x:v>
      </x:c>
      <x:c r="P78" s="32" t="str">
        <x:v>달러</x:v>
      </x:c>
      <x:c r="Q78" s="32" t="str">
        <x:v>2024</x:v>
      </x:c>
      <x:c r="R78" s="32" t="str">
        <x:v>Y</x:v>
      </x:c>
      <x:c r="S78" s="32" t="str">
        <x:v>Y</x:v>
      </x:c>
      <x:c r="T78" s="32" t="str">
        <x:v>Y</x:v>
      </x:c>
      <x:c r="U78" s="32" t="str">
        <x:v>Y</x:v>
      </x:c>
      <x:c r="V78" s="32" t="str">
        <x:v>CODEBOOK_KOSIS</x:v>
      </x:c>
      <x:c r="W78" s="32" t="str">
        <x:v>360</x:v>
      </x:c>
      <x:c r="X78" s="32" t="str">
        <x:v>DT_1R11001_FRM101</x:v>
      </x:c>
      <x:c r="Y78" s="32" t="str">
        <x:v>품목별 수출액, 수입액</x:v>
      </x:c>
      <x:c r="Z78" s="32" t="str">
        <x:v>N/A</x:v>
      </x:c>
      <x:c r="AA78" s="32" t="str">
        <x:v>N/A</x:v>
      </x:c>
      <x:c r="AB78" s="32" t="str">
        <x:v>N/A</x:v>
      </x:c>
      <x:c r="AC78" s="32" t="str">
        <x:v>N/A</x:v>
      </x:c>
      <x:c r="AD78" s="32" t="str">
        <x:v>Y</x:v>
      </x:c>
      <x:c r="AE78" s="32" t="str">
        <x:v>2024</x:v>
      </x:c>
      <x:c r="AF78" s="32" t="str">
        <x:v>N/A</x:v>
      </x:c>
      <x:c r="AG78" s="32" t="str">
        <x:v>현재값</x:v>
      </x:c>
      <x:c r="AH78" s="32" t="str">
        <x:v>TABLE_SERIES_LABEL</x:v>
      </x:c>
      <x:c r="AI78" s="32" t="str">
        <x:v>N/A</x:v>
      </x:c>
      <x:c r="AJ78" s="32" t="str">
        <x:v>N/A</x:v>
      </x:c>
      <x:c r="AK78" s="32" t="str">
        <x:v>N/A</x:v>
      </x:c>
      <x:c r="AL78" s="32" t="str">
        <x:v>N/A</x:v>
      </x:c>
      <x:c r="AM78" s="32" t="str">
        <x:v>61380000000</x:v>
      </x:c>
      <x:c r="AN78" s="32" t="str">
        <x:v>N/A</x:v>
      </x:c>
      <x:c r="AO78" s="32" t="str">
        <x:v>N/A</x:v>
      </x:c>
      <x:c r="AP78" s="32" t="str">
        <x:v>N/A</x:v>
      </x:c>
      <x:c r="AQ78" s="32" t="str">
        <x:v>값검증대기</x:v>
      </x:c>
      <x:c r="AR78" s="32" t="str">
        <x:v>TABLE_ONLY</x:v>
      </x:c>
      <x:c r="AS78" s="32" t="str">
        <x:v>HIGH</x:v>
      </x:c>
      <x:c r="AT78" s="33" t="str">
        <x:v>READY:TRADE_OFFICIAL_SERIES; 잠긴 Codex 공통 골드에서 측정·검증 가능 판정, KOSIS MCP로 통계표명 재확인, 세부 항목·분류·실제값은 미확정.</x:v>
      </x:c>
      <x:c r="AU78" s="32" t="str">
        <x:v>https://kosis.kr/statHtml/statHtml.do?orgId=360&amp;tblId=DT_1R11001_FRM101&amp;vw_cd=MT_ZTITLE</x:v>
      </x:c>
      <x:c r="AV78" s="32" t="n">
        <x:v>46239.31775462963</x:v>
      </x:c>
      <x:c r="AW78" s="32" t="str">
        <x:v>CODEX_COMMON_GOLD_V1+KOSIS_MCP_TABLE_INFO_200</x:v>
      </x:c>
      <x:c r="AX78" s="32" t="str">
        <x:v>N</x:v>
      </x:c>
    </x:row>
    <x:row r="79">
      <x:c r="A79" s="32" t="str">
        <x:v>A0018-CG0316</x:v>
      </x:c>
      <x:c r="B79" s="32" t="str">
        <x:v>A0018-CG0316-m1</x:v>
      </x:c>
      <x:c r="C79" s="32" t="str">
        <x:v>A0018</x:v>
      </x:c>
      <x:c r="D79" s="32" t="str">
        <x:v>반도체 덕에… 지난해 수출 6838억달러 역대 최대</x:v>
      </x:c>
      <x:c r="E79" s="32" t="str">
        <x:v>2025-01-02</x:v>
      </x:c>
      <x:c r="F79" s="32" t="str">
        <x:v>https://www.chosun.com/economy/economy_general/2025/01/02/6MYGM52QIVHUJBIZYYFBUW5IQM</x:v>
      </x:c>
      <x:c r="G79" s="33" t="str">
        <x:v>기존 역대 최대 규모였던 2022년 기록(6836억달러)을 2억달러 웃돌아 역대 최대 수출 실적을 달성했다.</x:v>
      </x:c>
      <x:c r="H79" s="32" t="str">
        <x:v>6836억달러</x:v>
      </x:c>
      <x:c r="I79" s="32" t="str">
        <x:v>KOSIS_VALUE</x:v>
      </x:c>
      <x:c r="J79" s="32" t="str">
        <x:v>국내공식통계</x:v>
      </x:c>
      <x:c r="K79" s="32" t="str">
        <x:v>codex_common_codebook</x:v>
      </x:c>
      <x:c r="L79" s="32" t="str">
        <x:v>이전값</x:v>
      </x:c>
      <x:c r="M79" s="32" t="str">
        <x:v>총 수출액</x:v>
      </x:c>
      <x:c r="N79" s="32" t="str">
        <x:v>반도체</x:v>
      </x:c>
      <x:c r="O79" s="32" t="str">
        <x:v>683600000000</x:v>
      </x:c>
      <x:c r="P79" s="32" t="str">
        <x:v>달러</x:v>
      </x:c>
      <x:c r="Q79" s="32" t="str">
        <x:v>2022</x:v>
      </x:c>
      <x:c r="R79" s="32" t="str">
        <x:v>Y</x:v>
      </x:c>
      <x:c r="S79" s="32" t="str">
        <x:v>Y</x:v>
      </x:c>
      <x:c r="T79" s="32" t="str">
        <x:v>Y</x:v>
      </x:c>
      <x:c r="U79" s="32" t="str">
        <x:v>Y</x:v>
      </x:c>
      <x:c r="V79" s="32" t="str">
        <x:v>CODEBOOK_KOSIS</x:v>
      </x:c>
      <x:c r="W79" s="32" t="str">
        <x:v>360</x:v>
      </x:c>
      <x:c r="X79" s="32" t="str">
        <x:v>DT_1R11001_FRM101</x:v>
      </x:c>
      <x:c r="Y79" s="32" t="str">
        <x:v>품목별 수출액, 수입액</x:v>
      </x:c>
      <x:c r="Z79" s="32" t="str">
        <x:v>N/A</x:v>
      </x:c>
      <x:c r="AA79" s="32" t="str">
        <x:v>N/A</x:v>
      </x:c>
      <x:c r="AB79" s="32" t="str">
        <x:v>N/A</x:v>
      </x:c>
      <x:c r="AC79" s="32" t="str">
        <x:v>N/A</x:v>
      </x:c>
      <x:c r="AD79" s="32" t="str">
        <x:v>Y</x:v>
      </x:c>
      <x:c r="AE79" s="32" t="str">
        <x:v>2022</x:v>
      </x:c>
      <x:c r="AF79" s="32" t="str">
        <x:v>N/A</x:v>
      </x:c>
      <x:c r="AG79" s="32" t="str">
        <x:v>이전값</x:v>
      </x:c>
      <x:c r="AH79" s="32" t="str">
        <x:v>TABLE_SERIES_LABEL</x:v>
      </x:c>
      <x:c r="AI79" s="32" t="str">
        <x:v>N/A</x:v>
      </x:c>
      <x:c r="AJ79" s="32" t="str">
        <x:v>N/A</x:v>
      </x:c>
      <x:c r="AK79" s="32" t="str">
        <x:v>N/A</x:v>
      </x:c>
      <x:c r="AL79" s="32" t="str">
        <x:v>N/A</x:v>
      </x:c>
      <x:c r="AM79" s="32" t="str">
        <x:v>683600000000</x:v>
      </x:c>
      <x:c r="AN79" s="32" t="str">
        <x:v>N/A</x:v>
      </x:c>
      <x:c r="AO79" s="32" t="str">
        <x:v>N/A</x:v>
      </x:c>
      <x:c r="AP79" s="32" t="str">
        <x:v>N/A</x:v>
      </x:c>
      <x:c r="AQ79" s="32" t="str">
        <x:v>값검증대기</x:v>
      </x:c>
      <x:c r="AR79" s="32" t="str">
        <x:v>TABLE_ONLY</x:v>
      </x:c>
      <x:c r="AS79" s="32" t="str">
        <x:v>HIGH</x:v>
      </x:c>
      <x:c r="AT79" s="33" t="str">
        <x:v>READY:TRADE_OFFICIAL_SERIES; 잠긴 Codex 공통 골드에서 측정·검증 가능 판정, KOSIS MCP로 통계표명 재확인, 세부 항목·분류·실제값은 미확정.</x:v>
      </x:c>
      <x:c r="AU79" s="32" t="str">
        <x:v>https://kosis.kr/statHtml/statHtml.do?orgId=360&amp;tblId=DT_1R11001_FRM101&amp;vw_cd=MT_ZTITLE</x:v>
      </x:c>
      <x:c r="AV79" s="32" t="n">
        <x:v>46239.31775462963</x:v>
      </x:c>
      <x:c r="AW79" s="32" t="str">
        <x:v>CODEX_COMMON_GOLD_V1+KOSIS_MCP_TABLE_INFO_200</x:v>
      </x:c>
      <x:c r="AX79" s="32" t="str">
        <x:v>N</x:v>
      </x:c>
    </x:row>
    <x:row r="80">
      <x:c r="A80" s="32" t="str">
        <x:v>A0018-CG0318</x:v>
      </x:c>
      <x:c r="B80" s="32" t="str">
        <x:v>A0018-CG0318-m1</x:v>
      </x:c>
      <x:c r="C80" s="32" t="str">
        <x:v>A0018</x:v>
      </x:c>
      <x:c r="D80" s="32" t="str">
        <x:v>반도체 덕에… 지난해 수출 6838억달러 역대 최대</x:v>
      </x:c>
      <x:c r="E80" s="32" t="str">
        <x:v>2025-01-02</x:v>
      </x:c>
      <x:c r="F80" s="32" t="str">
        <x:v>https://www.chosun.com/economy/economy_general/2025/01/02/6MYGM52QIVHUJBIZYYFBUW5IQM</x:v>
      </x:c>
      <x:c r="G80" s="33" t="str">
        <x:v>작년 한 해 전체 수출액이 6838억달러(약 1006조원)로 2023년에 비해 8.2% 증가했다고 산업통상자원부와 관세청이 1일 밝혔다.</x:v>
      </x:c>
      <x:c r="H80" s="32" t="str">
        <x:v>8.2%</x:v>
      </x:c>
      <x:c r="I80" s="32" t="str">
        <x:v>KOSIS_VALUE</x:v>
      </x:c>
      <x:c r="J80" s="32" t="str">
        <x:v>국내공식통계</x:v>
      </x:c>
      <x:c r="K80" s="32" t="str">
        <x:v>codex_common_codebook</x:v>
      </x:c>
      <x:c r="L80" s="32" t="str">
        <x:v>증감률</x:v>
      </x:c>
      <x:c r="M80" s="32" t="str">
        <x:v>총수출액 증감률</x:v>
      </x:c>
      <x:c r="N80" s="32" t="str">
        <x:v>반도체</x:v>
      </x:c>
      <x:c r="O80" s="32" t="str">
        <x:v>8.2</x:v>
      </x:c>
      <x:c r="P80" s="32" t="str">
        <x:v>%</x:v>
      </x:c>
      <x:c r="Q80" s="32" t="str">
        <x:v>2023</x:v>
      </x:c>
      <x:c r="R80" s="32" t="str">
        <x:v>Y</x:v>
      </x:c>
      <x:c r="S80" s="32" t="str">
        <x:v>Y</x:v>
      </x:c>
      <x:c r="T80" s="32" t="str">
        <x:v>Y</x:v>
      </x:c>
      <x:c r="U80" s="32" t="str">
        <x:v>Y</x:v>
      </x:c>
      <x:c r="V80" s="32" t="str">
        <x:v>CODEBOOK_KOSIS</x:v>
      </x:c>
      <x:c r="W80" s="32" t="str">
        <x:v>360</x:v>
      </x:c>
      <x:c r="X80" s="32" t="str">
        <x:v>DT_1R11001_FRM101</x:v>
      </x:c>
      <x:c r="Y80" s="32" t="str">
        <x:v>품목별 수출액, 수입액</x:v>
      </x:c>
      <x:c r="Z80" s="32" t="str">
        <x:v>N/A</x:v>
      </x:c>
      <x:c r="AA80" s="32" t="str">
        <x:v>N/A</x:v>
      </x:c>
      <x:c r="AB80" s="32" t="str">
        <x:v>N/A</x:v>
      </x:c>
      <x:c r="AC80" s="32" t="str">
        <x:v>N/A</x:v>
      </x:c>
      <x:c r="AD80" s="32" t="str">
        <x:v>Y</x:v>
      </x:c>
      <x:c r="AE80" s="32" t="str">
        <x:v>2023</x:v>
      </x:c>
      <x:c r="AF80" s="32" t="str">
        <x:v>N/A</x:v>
      </x:c>
      <x:c r="AG80" s="32" t="str">
        <x:v>증감률</x:v>
      </x:c>
      <x:c r="AH80" s="32" t="str">
        <x:v>TABLE_SERIES_LABEL</x:v>
      </x:c>
      <x:c r="AI80" s="32" t="str">
        <x:v>N/A</x:v>
      </x:c>
      <x:c r="AJ80" s="32" t="str">
        <x:v>N/A</x:v>
      </x:c>
      <x:c r="AK80" s="32" t="str">
        <x:v>N/A</x:v>
      </x:c>
      <x:c r="AL80" s="32" t="str">
        <x:v>N/A</x:v>
      </x:c>
      <x:c r="AM80" s="32" t="str">
        <x:v>8.2</x:v>
      </x:c>
      <x:c r="AN80" s="32" t="str">
        <x:v>N/A</x:v>
      </x:c>
      <x:c r="AO80" s="32" t="str">
        <x:v>N/A</x:v>
      </x:c>
      <x:c r="AP80" s="32" t="str">
        <x:v>N/A</x:v>
      </x:c>
      <x:c r="AQ80" s="32" t="str">
        <x:v>값검증대기</x:v>
      </x:c>
      <x:c r="AR80" s="32" t="str">
        <x:v>TABLE_ONLY</x:v>
      </x:c>
      <x:c r="AS80" s="32" t="str">
        <x:v>HIGH</x:v>
      </x:c>
      <x:c r="AT80" s="33" t="str">
        <x:v>READY:TRADE_OFFICIAL_SERIES; 잠긴 Codex 공통 골드에서 측정·검증 가능 판정, KOSIS MCP로 통계표명 재확인, 세부 항목·분류·실제값은 미확정.</x:v>
      </x:c>
      <x:c r="AU80" s="32" t="str">
        <x:v>https://kosis.kr/statHtml/statHtml.do?orgId=360&amp;tblId=DT_1R11001_FRM101&amp;vw_cd=MT_ZTITLE</x:v>
      </x:c>
      <x:c r="AV80" s="32" t="n">
        <x:v>46239.31775462963</x:v>
      </x:c>
      <x:c r="AW80" s="32" t="str">
        <x:v>CODEX_COMMON_GOLD_V1+KOSIS_MCP_TABLE_INFO_200</x:v>
      </x:c>
      <x:c r="AX80" s="32" t="str">
        <x:v>N</x:v>
      </x:c>
    </x:row>
    <x:row r="81">
      <x:c r="A81" s="32" t="str">
        <x:v>A0018-CG0321</x:v>
      </x:c>
      <x:c r="B81" s="32" t="str">
        <x:v>A0018-CG0321-m1</x:v>
      </x:c>
      <x:c r="C81" s="32" t="str">
        <x:v>A0018</x:v>
      </x:c>
      <x:c r="D81" s="32" t="str">
        <x:v>반도체 덕에… 지난해 수출 6838억달러 역대 최대</x:v>
      </x:c>
      <x:c r="E81" s="32" t="str">
        <x:v>2025-01-02</x:v>
      </x:c>
      <x:c r="F81" s="32" t="str">
        <x:v>https://www.chosun.com/economy/economy_general/2025/01/02/6MYGM52QIVHUJBIZYYFBUW5IQM</x:v>
      </x:c>
      <x:c r="G81" s="33" t="str">
        <x:v>작년 12월 수출은 613억8000만달러로 1년 전 대비 6.6% 늘어 한 달 전(1.4%)에 비해 오름폭을 키웠다.</x:v>
      </x:c>
      <x:c r="H81" s="32" t="str">
        <x:v>1.4%</x:v>
      </x:c>
      <x:c r="I81" s="32" t="str">
        <x:v>KOSIS_VALUE</x:v>
      </x:c>
      <x:c r="J81" s="32" t="str">
        <x:v>국내공식통계</x:v>
      </x:c>
      <x:c r="K81" s="32" t="str">
        <x:v>codex_common_codebook</x:v>
      </x:c>
      <x:c r="L81" s="32" t="str">
        <x:v>참고값</x:v>
      </x:c>
      <x:c r="M81" s="32" t="str">
        <x:v>수출액 증감률</x:v>
      </x:c>
      <x:c r="N81" s="32" t="str">
        <x:v>수출액 증감률</x:v>
      </x:c>
      <x:c r="O81" s="32" t="str">
        <x:v>1.4</x:v>
      </x:c>
      <x:c r="P81" s="32" t="str">
        <x:v>%</x:v>
      </x:c>
      <x:c r="Q81" s="32" t="str">
        <x:v>202401</x:v>
      </x:c>
      <x:c r="R81" s="32" t="str">
        <x:v>M</x:v>
      </x:c>
      <x:c r="S81" s="32" t="str">
        <x:v>Y</x:v>
      </x:c>
      <x:c r="T81" s="32" t="str">
        <x:v>Y</x:v>
      </x:c>
      <x:c r="U81" s="32" t="str">
        <x:v>Y</x:v>
      </x:c>
      <x:c r="V81" s="32" t="str">
        <x:v>CODEBOOK_KOSIS</x:v>
      </x:c>
      <x:c r="W81" s="32" t="str">
        <x:v>360</x:v>
      </x:c>
      <x:c r="X81" s="32" t="str">
        <x:v>DT_1R11001_FRM101</x:v>
      </x:c>
      <x:c r="Y81" s="32" t="str">
        <x:v>품목별 수출액, 수입액</x:v>
      </x:c>
      <x:c r="Z81" s="32" t="str">
        <x:v>N/A</x:v>
      </x:c>
      <x:c r="AA81" s="32" t="str">
        <x:v>N/A</x:v>
      </x:c>
      <x:c r="AB81" s="32" t="str">
        <x:v>N/A</x:v>
      </x:c>
      <x:c r="AC81" s="32" t="str">
        <x:v>N/A</x:v>
      </x:c>
      <x:c r="AD81" s="32" t="str">
        <x:v>M</x:v>
      </x:c>
      <x:c r="AE81" s="32" t="str">
        <x:v>202401</x:v>
      </x:c>
      <x:c r="AF81" s="32" t="str">
        <x:v>N/A</x:v>
      </x:c>
      <x:c r="AG81" s="32" t="str">
        <x:v>참고값</x:v>
      </x:c>
      <x:c r="AH81" s="32" t="str">
        <x:v>TABLE_SERIES_LABEL</x:v>
      </x:c>
      <x:c r="AI81" s="32" t="str">
        <x:v>N/A</x:v>
      </x:c>
      <x:c r="AJ81" s="32" t="str">
        <x:v>N/A</x:v>
      </x:c>
      <x:c r="AK81" s="32" t="str">
        <x:v>N/A</x:v>
      </x:c>
      <x:c r="AL81" s="32" t="str">
        <x:v>N/A</x:v>
      </x:c>
      <x:c r="AM81" s="32" t="str">
        <x:v>1.4</x:v>
      </x:c>
      <x:c r="AN81" s="32" t="str">
        <x:v>N/A</x:v>
      </x:c>
      <x:c r="AO81" s="32" t="str">
        <x:v>N/A</x:v>
      </x:c>
      <x:c r="AP81" s="32" t="str">
        <x:v>N/A</x:v>
      </x:c>
      <x:c r="AQ81" s="32" t="str">
        <x:v>값검증대기</x:v>
      </x:c>
      <x:c r="AR81" s="32" t="str">
        <x:v>TABLE_ONLY</x:v>
      </x:c>
      <x:c r="AS81" s="32" t="str">
        <x:v>HIGH</x:v>
      </x:c>
      <x:c r="AT81" s="33" t="str">
        <x:v>READY:TRADE_OFFICIAL_SERIES; 잠긴 Codex 공통 골드에서 측정·검증 가능 판정, KOSIS MCP로 통계표명 재확인, 세부 항목·분류·실제값은 미확정.</x:v>
      </x:c>
      <x:c r="AU81" s="32" t="str">
        <x:v>https://kosis.kr/statHtml/statHtml.do?orgId=360&amp;tblId=DT_1R11001_FRM101&amp;vw_cd=MT_ZTITLE</x:v>
      </x:c>
      <x:c r="AV81" s="32" t="n">
        <x:v>46239.31775462963</x:v>
      </x:c>
      <x:c r="AW81" s="32" t="str">
        <x:v>CODEX_COMMON_GOLD_V1+KOSIS_MCP_TABLE_INFO_200</x:v>
      </x:c>
      <x:c r="AX81" s="32" t="str">
        <x:v>N</x:v>
      </x:c>
    </x:row>
    <x:row r="82">
      <x:c r="A82" s="32" t="str">
        <x:v>A0018-CG0322</x:v>
      </x:c>
      <x:c r="B82" s="32" t="str">
        <x:v>A0018-CG0322-m1</x:v>
      </x:c>
      <x:c r="C82" s="32" t="str">
        <x:v>A0018</x:v>
      </x:c>
      <x:c r="D82" s="32" t="str">
        <x:v>반도체 덕에… 지난해 수출 6838억달러 역대 최대</x:v>
      </x:c>
      <x:c r="E82" s="32" t="str">
        <x:v>2025-01-02</x:v>
      </x:c>
      <x:c r="F82" s="32" t="str">
        <x:v>https://www.chosun.com/economy/economy_general/2025/01/02/6MYGM52QIVHUJBIZYYFBUW5IQM</x:v>
      </x:c>
      <x:c r="G82" s="33" t="str">
        <x:v>작년 12월 수출은 613억8000만달러로 1년 전 대비 6.6% 늘어 한 달 전(1.4%)에 비해 오름폭을 키웠다.</x:v>
      </x:c>
      <x:c r="H82" s="32" t="str">
        <x:v>1.4%</x:v>
      </x:c>
      <x:c r="I82" s="32" t="str">
        <x:v>KOSIS_VALUE</x:v>
      </x:c>
      <x:c r="J82" s="32" t="str">
        <x:v>국내공식통계</x:v>
      </x:c>
      <x:c r="K82" s="32" t="str">
        <x:v>codex_common_codebook</x:v>
      </x:c>
      <x:c r="L82" s="32" t="str">
        <x:v>증감률</x:v>
      </x:c>
      <x:c r="M82" s="32" t="str">
        <x:v>수출 증가율</x:v>
      </x:c>
      <x:c r="N82" s="32" t="str">
        <x:v>수출 증가율</x:v>
      </x:c>
      <x:c r="O82" s="32" t="str">
        <x:v>1.4</x:v>
      </x:c>
      <x:c r="P82" s="32" t="str">
        <x:v>%</x:v>
      </x:c>
      <x:c r="Q82" s="32" t="str">
        <x:v>202411</x:v>
      </x:c>
      <x:c r="R82" s="32" t="str">
        <x:v>M</x:v>
      </x:c>
      <x:c r="S82" s="32" t="str">
        <x:v>Y</x:v>
      </x:c>
      <x:c r="T82" s="32" t="str">
        <x:v>Y</x:v>
      </x:c>
      <x:c r="U82" s="32" t="str">
        <x:v>Y</x:v>
      </x:c>
      <x:c r="V82" s="32" t="str">
        <x:v>CODEBOOK_KOSIS</x:v>
      </x:c>
      <x:c r="W82" s="32" t="str">
        <x:v>360</x:v>
      </x:c>
      <x:c r="X82" s="32" t="str">
        <x:v>DT_1R11001_FRM101</x:v>
      </x:c>
      <x:c r="Y82" s="32" t="str">
        <x:v>품목별 수출액, 수입액</x:v>
      </x:c>
      <x:c r="Z82" s="32" t="str">
        <x:v>N/A</x:v>
      </x:c>
      <x:c r="AA82" s="32" t="str">
        <x:v>N/A</x:v>
      </x:c>
      <x:c r="AB82" s="32" t="str">
        <x:v>N/A</x:v>
      </x:c>
      <x:c r="AC82" s="32" t="str">
        <x:v>N/A</x:v>
      </x:c>
      <x:c r="AD82" s="32" t="str">
        <x:v>M</x:v>
      </x:c>
      <x:c r="AE82" s="32" t="str">
        <x:v>202411</x:v>
      </x:c>
      <x:c r="AF82" s="32" t="str">
        <x:v>N/A</x:v>
      </x:c>
      <x:c r="AG82" s="32" t="str">
        <x:v>증감률</x:v>
      </x:c>
      <x:c r="AH82" s="32" t="str">
        <x:v>TABLE_SERIES_LABEL</x:v>
      </x:c>
      <x:c r="AI82" s="32" t="str">
        <x:v>N/A</x:v>
      </x:c>
      <x:c r="AJ82" s="32" t="str">
        <x:v>N/A</x:v>
      </x:c>
      <x:c r="AK82" s="32" t="str">
        <x:v>N/A</x:v>
      </x:c>
      <x:c r="AL82" s="32" t="str">
        <x:v>N/A</x:v>
      </x:c>
      <x:c r="AM82" s="32" t="str">
        <x:v>1.4</x:v>
      </x:c>
      <x:c r="AN82" s="32" t="str">
        <x:v>N/A</x:v>
      </x:c>
      <x:c r="AO82" s="32" t="str">
        <x:v>N/A</x:v>
      </x:c>
      <x:c r="AP82" s="32" t="str">
        <x:v>N/A</x:v>
      </x:c>
      <x:c r="AQ82" s="32" t="str">
        <x:v>값검증대기</x:v>
      </x:c>
      <x:c r="AR82" s="32" t="str">
        <x:v>TABLE_ONLY</x:v>
      </x:c>
      <x:c r="AS82" s="32" t="str">
        <x:v>HIGH</x:v>
      </x:c>
      <x:c r="AT82" s="33" t="str">
        <x:v>READY:TRADE_OFFICIAL_SERIES; 잠긴 Codex 공통 골드에서 측정·검증 가능 판정, KOSIS MCP로 통계표명 재확인, 세부 항목·분류·실제값은 미확정.</x:v>
      </x:c>
      <x:c r="AU82" s="32" t="str">
        <x:v>https://kosis.kr/statHtml/statHtml.do?orgId=360&amp;tblId=DT_1R11001_FRM101&amp;vw_cd=MT_ZTITLE</x:v>
      </x:c>
      <x:c r="AV82" s="32" t="n">
        <x:v>46239.31775462963</x:v>
      </x:c>
      <x:c r="AW82" s="32" t="str">
        <x:v>CODEX_COMMON_GOLD_V1+KOSIS_MCP_TABLE_INFO_200</x:v>
      </x:c>
      <x:c r="AX82" s="32" t="str">
        <x:v>N</x:v>
      </x:c>
    </x:row>
    <x:row r="83">
      <x:c r="A83" s="32" t="str">
        <x:v>A0018-CG0325</x:v>
      </x:c>
      <x:c r="B83" s="32" t="str">
        <x:v>A0018-CG0325-m1</x:v>
      </x:c>
      <x:c r="C83" s="32" t="str">
        <x:v>A0018</x:v>
      </x:c>
      <x:c r="D83" s="32" t="str">
        <x:v>반도체 덕에… 지난해 수출 6838억달러 역대 최대</x:v>
      </x:c>
      <x:c r="E83" s="32" t="str">
        <x:v>2025-01-02</x:v>
      </x:c>
      <x:c r="F83" s="32" t="str">
        <x:v>https://www.chosun.com/economy/economy_general/2025/01/02/6MYGM52QIVHUJBIZYYFBUW5IQM</x:v>
      </x:c>
      <x:c r="G83" s="33" t="str">
        <x:v>작년 한 해 전체 수출액이 6838억달러(약 1006조원)로 2023년에 비해 8.2% 증가했다고 산업통상자원부와 관세청이 1일 밝혔다.</x:v>
      </x:c>
      <x:c r="H83" s="32" t="str">
        <x:v>1006조원</x:v>
      </x:c>
      <x:c r="I83" s="32" t="str">
        <x:v>KOSIS_VALUE</x:v>
      </x:c>
      <x:c r="J83" s="32" t="str">
        <x:v>국내공식통계</x:v>
      </x:c>
      <x:c r="K83" s="32" t="str">
        <x:v>codex_common_codebook</x:v>
      </x:c>
      <x:c r="L83" s="32" t="str">
        <x:v>현재값</x:v>
      </x:c>
      <x:c r="M83" s="32" t="str">
        <x:v>수출액</x:v>
      </x:c>
      <x:c r="N83" s="32" t="str">
        <x:v>수출액</x:v>
      </x:c>
      <x:c r="O83" s="32" t="str">
        <x:v>1006000000000000</x:v>
      </x:c>
      <x:c r="P83" s="32" t="str">
        <x:v>원</x:v>
      </x:c>
      <x:c r="Q83" s="32" t="str">
        <x:v>2024</x:v>
      </x:c>
      <x:c r="R83" s="32" t="str">
        <x:v>Y</x:v>
      </x:c>
      <x:c r="S83" s="32" t="str">
        <x:v>Y</x:v>
      </x:c>
      <x:c r="T83" s="32" t="str">
        <x:v>Y</x:v>
      </x:c>
      <x:c r="U83" s="32" t="str">
        <x:v>Y</x:v>
      </x:c>
      <x:c r="V83" s="32" t="str">
        <x:v>CODEBOOK_KOSIS</x:v>
      </x:c>
      <x:c r="W83" s="32" t="str">
        <x:v>360</x:v>
      </x:c>
      <x:c r="X83" s="32" t="str">
        <x:v>DT_1R11001_FRM101</x:v>
      </x:c>
      <x:c r="Y83" s="32" t="str">
        <x:v>품목별 수출액, 수입액</x:v>
      </x:c>
      <x:c r="Z83" s="32" t="str">
        <x:v>N/A</x:v>
      </x:c>
      <x:c r="AA83" s="32" t="str">
        <x:v>N/A</x:v>
      </x:c>
      <x:c r="AB83" s="32" t="str">
        <x:v>N/A</x:v>
      </x:c>
      <x:c r="AC83" s="32" t="str">
        <x:v>N/A</x:v>
      </x:c>
      <x:c r="AD83" s="32" t="str">
        <x:v>Y</x:v>
      </x:c>
      <x:c r="AE83" s="32" t="str">
        <x:v>2024</x:v>
      </x:c>
      <x:c r="AF83" s="32" t="str">
        <x:v>N/A</x:v>
      </x:c>
      <x:c r="AG83" s="32" t="str">
        <x:v>현재값</x:v>
      </x:c>
      <x:c r="AH83" s="32" t="str">
        <x:v>TABLE_SERIES_LABEL</x:v>
      </x:c>
      <x:c r="AI83" s="32" t="str">
        <x:v>N/A</x:v>
      </x:c>
      <x:c r="AJ83" s="32" t="str">
        <x:v>N/A</x:v>
      </x:c>
      <x:c r="AK83" s="32" t="str">
        <x:v>N/A</x:v>
      </x:c>
      <x:c r="AL83" s="32" t="str">
        <x:v>N/A</x:v>
      </x:c>
      <x:c r="AM83" s="32" t="str">
        <x:v>1006000000000000</x:v>
      </x:c>
      <x:c r="AN83" s="32" t="str">
        <x:v>N/A</x:v>
      </x:c>
      <x:c r="AO83" s="32" t="str">
        <x:v>N/A</x:v>
      </x:c>
      <x:c r="AP83" s="32" t="str">
        <x:v>N/A</x:v>
      </x:c>
      <x:c r="AQ83" s="32" t="str">
        <x:v>값검증대기</x:v>
      </x:c>
      <x:c r="AR83" s="32" t="str">
        <x:v>TABLE_ONLY</x:v>
      </x:c>
      <x:c r="AS83" s="32" t="str">
        <x:v>HIGH</x:v>
      </x:c>
      <x:c r="AT83" s="33" t="str">
        <x:v>READY:TRADE_OFFICIAL_SERIES; 잠긴 Codex 공통 골드에서 측정·검증 가능 판정, KOSIS MCP로 통계표명 재확인, 세부 항목·분류·실제값은 미확정.</x:v>
      </x:c>
      <x:c r="AU83" s="32" t="str">
        <x:v>https://kosis.kr/statHtml/statHtml.do?orgId=360&amp;tblId=DT_1R11001_FRM101&amp;vw_cd=MT_ZTITLE</x:v>
      </x:c>
      <x:c r="AV83" s="32" t="n">
        <x:v>46239.31775462963</x:v>
      </x:c>
      <x:c r="AW83" s="32" t="str">
        <x:v>CODEX_COMMON_GOLD_V1+KOSIS_MCP_TABLE_INFO_200</x:v>
      </x:c>
      <x:c r="AX83" s="32" t="str">
        <x:v>N</x:v>
      </x:c>
    </x:row>
    <x:row r="84">
      <x:c r="A84" s="32" t="str">
        <x:v>A0018-CG0327</x:v>
      </x:c>
      <x:c r="B84" s="32" t="str">
        <x:v>A0018-CG0327-m1</x:v>
      </x:c>
      <x:c r="C84" s="32" t="str">
        <x:v>A0018</x:v>
      </x:c>
      <x:c r="D84" s="32" t="str">
        <x:v>반도체 덕에… 지난해 수출 6838억달러 역대 최대</x:v>
      </x:c>
      <x:c r="E84" s="32" t="str">
        <x:v>2025-01-02</x:v>
      </x:c>
      <x:c r="F84" s="32" t="str">
        <x:v>https://www.chosun.com/economy/economy_general/2025/01/02/6MYGM52QIVHUJBIZYYFBUW5IQM</x:v>
      </x:c>
      <x:c r="G84" s="33" t="str">
        <x:v>기존 역대 최대 규모였던 2022년 기록(6836억달러)을 2억달러 웃돌아 역대 최대 수출 실적을 달성했다.</x:v>
      </x:c>
      <x:c r="H84" s="32" t="str">
        <x:v>2억달러</x:v>
      </x:c>
      <x:c r="I84" s="32" t="str">
        <x:v>KOSIS_VALUE</x:v>
      </x:c>
      <x:c r="J84" s="32" t="str">
        <x:v>국내공식통계</x:v>
      </x:c>
      <x:c r="K84" s="32" t="str">
        <x:v>codex_common_codebook</x:v>
      </x:c>
      <x:c r="L84" s="32" t="str">
        <x:v>현재값</x:v>
      </x:c>
      <x:c r="M84" s="32" t="str">
        <x:v>수출액</x:v>
      </x:c>
      <x:c r="N84" s="32" t="str">
        <x:v>수출액</x:v>
      </x:c>
      <x:c r="O84" s="32" t="str">
        <x:v>200000000</x:v>
      </x:c>
      <x:c r="P84" s="32" t="str">
        <x:v>달러</x:v>
      </x:c>
      <x:c r="Q84" s="32" t="str">
        <x:v>2022</x:v>
      </x:c>
      <x:c r="R84" s="32" t="str">
        <x:v>Y</x:v>
      </x:c>
      <x:c r="S84" s="32" t="str">
        <x:v>Y</x:v>
      </x:c>
      <x:c r="T84" s="32" t="str">
        <x:v>Y</x:v>
      </x:c>
      <x:c r="U84" s="32" t="str">
        <x:v>Y</x:v>
      </x:c>
      <x:c r="V84" s="32" t="str">
        <x:v>CODEBOOK_KOSIS</x:v>
      </x:c>
      <x:c r="W84" s="32" t="str">
        <x:v>360</x:v>
      </x:c>
      <x:c r="X84" s="32" t="str">
        <x:v>DT_1R11001_FRM101</x:v>
      </x:c>
      <x:c r="Y84" s="32" t="str">
        <x:v>품목별 수출액, 수입액</x:v>
      </x:c>
      <x:c r="Z84" s="32" t="str">
        <x:v>N/A</x:v>
      </x:c>
      <x:c r="AA84" s="32" t="str">
        <x:v>N/A</x:v>
      </x:c>
      <x:c r="AB84" s="32" t="str">
        <x:v>N/A</x:v>
      </x:c>
      <x:c r="AC84" s="32" t="str">
        <x:v>N/A</x:v>
      </x:c>
      <x:c r="AD84" s="32" t="str">
        <x:v>Y</x:v>
      </x:c>
      <x:c r="AE84" s="32" t="str">
        <x:v>2022</x:v>
      </x:c>
      <x:c r="AF84" s="32" t="str">
        <x:v>N/A</x:v>
      </x:c>
      <x:c r="AG84" s="32" t="str">
        <x:v>현재값</x:v>
      </x:c>
      <x:c r="AH84" s="32" t="str">
        <x:v>TABLE_SERIES_LABEL</x:v>
      </x:c>
      <x:c r="AI84" s="32" t="str">
        <x:v>N/A</x:v>
      </x:c>
      <x:c r="AJ84" s="32" t="str">
        <x:v>N/A</x:v>
      </x:c>
      <x:c r="AK84" s="32" t="str">
        <x:v>N/A</x:v>
      </x:c>
      <x:c r="AL84" s="32" t="str">
        <x:v>N/A</x:v>
      </x:c>
      <x:c r="AM84" s="32" t="str">
        <x:v>200000000</x:v>
      </x:c>
      <x:c r="AN84" s="32" t="str">
        <x:v>N/A</x:v>
      </x:c>
      <x:c r="AO84" s="32" t="str">
        <x:v>N/A</x:v>
      </x:c>
      <x:c r="AP84" s="32" t="str">
        <x:v>N/A</x:v>
      </x:c>
      <x:c r="AQ84" s="32" t="str">
        <x:v>값검증대기</x:v>
      </x:c>
      <x:c r="AR84" s="32" t="str">
        <x:v>TABLE_ONLY</x:v>
      </x:c>
      <x:c r="AS84" s="32" t="str">
        <x:v>HIGH</x:v>
      </x:c>
      <x:c r="AT84" s="33" t="str">
        <x:v>READY:TRADE_OFFICIAL_SERIES; 잠긴 Codex 공통 골드에서 측정·검증 가능 판정, KOSIS MCP로 통계표명 재확인, 세부 항목·분류·실제값은 미확정.</x:v>
      </x:c>
      <x:c r="AU84" s="32" t="str">
        <x:v>https://kosis.kr/statHtml/statHtml.do?orgId=360&amp;tblId=DT_1R11001_FRM101&amp;vw_cd=MT_ZTITLE</x:v>
      </x:c>
      <x:c r="AV84" s="32" t="n">
        <x:v>46239.31775462963</x:v>
      </x:c>
      <x:c r="AW84" s="32" t="str">
        <x:v>CODEX_COMMON_GOLD_V1+KOSIS_MCP_TABLE_INFO_200</x:v>
      </x:c>
      <x:c r="AX84" s="32" t="str">
        <x:v>N</x:v>
      </x:c>
    </x:row>
    <x:row r="85">
      <x:c r="A85" s="32" t="str">
        <x:v>A0018-CG0328</x:v>
      </x:c>
      <x:c r="B85" s="32" t="str">
        <x:v>A0018-CG0328-m1</x:v>
      </x:c>
      <x:c r="C85" s="32" t="str">
        <x:v>A0018</x:v>
      </x:c>
      <x:c r="D85" s="32" t="str">
        <x:v>반도체 덕에… 지난해 수출 6838억달러 역대 최대</x:v>
      </x:c>
      <x:c r="E85" s="32" t="str">
        <x:v>2025-01-02</x:v>
      </x:c>
      <x:c r="F85" s="32" t="str">
        <x:v>https://www.chosun.com/economy/economy_general/2025/01/02/6MYGM52QIVHUJBIZYYFBUW5IQM</x:v>
      </x:c>
      <x:c r="G85" s="33" t="str">
        <x:v>작년 12월 수출은 613억8000만달러로 1년 전 대비 6.6% 늘어 한 달 전(1.4%)에 비해 오름폭을 키웠다.</x:v>
      </x:c>
      <x:c r="H85" s="32" t="str">
        <x:v>6.6%</x:v>
      </x:c>
      <x:c r="I85" s="32" t="str">
        <x:v>KOSIS_VALUE</x:v>
      </x:c>
      <x:c r="J85" s="32" t="str">
        <x:v>국내공식통계</x:v>
      </x:c>
      <x:c r="K85" s="32" t="str">
        <x:v>codex_common_codebook</x:v>
      </x:c>
      <x:c r="L85" s="32" t="str">
        <x:v>증감률</x:v>
      </x:c>
      <x:c r="M85" s="32" t="str">
        <x:v>수출액 증감률</x:v>
      </x:c>
      <x:c r="N85" s="32" t="str">
        <x:v>수출액 증감률</x:v>
      </x:c>
      <x:c r="O85" s="32" t="str">
        <x:v>6.6</x:v>
      </x:c>
      <x:c r="P85" s="32" t="str">
        <x:v>%</x:v>
      </x:c>
      <x:c r="Q85" s="32" t="str">
        <x:v>202401</x:v>
      </x:c>
      <x:c r="R85" s="32" t="str">
        <x:v>M</x:v>
      </x:c>
      <x:c r="S85" s="32" t="str">
        <x:v>Y</x:v>
      </x:c>
      <x:c r="T85" s="32" t="str">
        <x:v>Y</x:v>
      </x:c>
      <x:c r="U85" s="32" t="str">
        <x:v>Y</x:v>
      </x:c>
      <x:c r="V85" s="32" t="str">
        <x:v>CODEBOOK_KOSIS</x:v>
      </x:c>
      <x:c r="W85" s="32" t="str">
        <x:v>360</x:v>
      </x:c>
      <x:c r="X85" s="32" t="str">
        <x:v>DT_1R11001_FRM101</x:v>
      </x:c>
      <x:c r="Y85" s="32" t="str">
        <x:v>품목별 수출액, 수입액</x:v>
      </x:c>
      <x:c r="Z85" s="32" t="str">
        <x:v>N/A</x:v>
      </x:c>
      <x:c r="AA85" s="32" t="str">
        <x:v>N/A</x:v>
      </x:c>
      <x:c r="AB85" s="32" t="str">
        <x:v>N/A</x:v>
      </x:c>
      <x:c r="AC85" s="32" t="str">
        <x:v>N/A</x:v>
      </x:c>
      <x:c r="AD85" s="32" t="str">
        <x:v>M</x:v>
      </x:c>
      <x:c r="AE85" s="32" t="str">
        <x:v>202401</x:v>
      </x:c>
      <x:c r="AF85" s="32" t="str">
        <x:v>N/A</x:v>
      </x:c>
      <x:c r="AG85" s="32" t="str">
        <x:v>증감률</x:v>
      </x:c>
      <x:c r="AH85" s="32" t="str">
        <x:v>TABLE_SERIES_LABEL</x:v>
      </x:c>
      <x:c r="AI85" s="32" t="str">
        <x:v>N/A</x:v>
      </x:c>
      <x:c r="AJ85" s="32" t="str">
        <x:v>N/A</x:v>
      </x:c>
      <x:c r="AK85" s="32" t="str">
        <x:v>N/A</x:v>
      </x:c>
      <x:c r="AL85" s="32" t="str">
        <x:v>N/A</x:v>
      </x:c>
      <x:c r="AM85" s="32" t="str">
        <x:v>6.6</x:v>
      </x:c>
      <x:c r="AN85" s="32" t="str">
        <x:v>N/A</x:v>
      </x:c>
      <x:c r="AO85" s="32" t="str">
        <x:v>N/A</x:v>
      </x:c>
      <x:c r="AP85" s="32" t="str">
        <x:v>N/A</x:v>
      </x:c>
      <x:c r="AQ85" s="32" t="str">
        <x:v>값검증대기</x:v>
      </x:c>
      <x:c r="AR85" s="32" t="str">
        <x:v>TABLE_ONLY</x:v>
      </x:c>
      <x:c r="AS85" s="32" t="str">
        <x:v>HIGH</x:v>
      </x:c>
      <x:c r="AT85" s="33" t="str">
        <x:v>READY:TRADE_OFFICIAL_SERIES; 잠긴 Codex 공통 골드에서 측정·검증 가능 판정, KOSIS MCP로 통계표명 재확인, 세부 항목·분류·실제값은 미확정.</x:v>
      </x:c>
      <x:c r="AU85" s="32" t="str">
        <x:v>https://kosis.kr/statHtml/statHtml.do?orgId=360&amp;tblId=DT_1R11001_FRM101&amp;vw_cd=MT_ZTITLE</x:v>
      </x:c>
      <x:c r="AV85" s="32" t="n">
        <x:v>46239.31775462963</x:v>
      </x:c>
      <x:c r="AW85" s="32" t="str">
        <x:v>CODEX_COMMON_GOLD_V1+KOSIS_MCP_TABLE_INFO_200</x:v>
      </x:c>
      <x:c r="AX85" s="32" t="str">
        <x:v>N</x:v>
      </x:c>
    </x:row>
    <x:row r="86">
      <x:c r="A86" s="32" t="str">
        <x:v>A0018-CG0329</x:v>
      </x:c>
      <x:c r="B86" s="32" t="str">
        <x:v>A0018-CG0329-m1</x:v>
      </x:c>
      <x:c r="C86" s="32" t="str">
        <x:v>A0018</x:v>
      </x:c>
      <x:c r="D86" s="32" t="str">
        <x:v>반도체 덕에… 지난해 수출 6838억달러 역대 최대</x:v>
      </x:c>
      <x:c r="E86" s="32" t="str">
        <x:v>2025-01-02</x:v>
      </x:c>
      <x:c r="F86" s="32" t="str">
        <x:v>https://www.chosun.com/economy/economy_general/2025/01/02/6MYGM52QIVHUJBIZYYFBUW5IQM</x:v>
      </x:c>
      <x:c r="G86" s="33" t="str">
        <x:v>작년 12월 수출은 613억8000만달러로 1년 전 대비 6.6% 늘어 한 달 전(1.4%)에 비해 오름폭을 키웠다.</x:v>
      </x:c>
      <x:c r="H86" s="32" t="str">
        <x:v>6.6%</x:v>
      </x:c>
      <x:c r="I86" s="32" t="str">
        <x:v>KOSIS_VALUE</x:v>
      </x:c>
      <x:c r="J86" s="32" t="str">
        <x:v>국내공식통계</x:v>
      </x:c>
      <x:c r="K86" s="32" t="str">
        <x:v>codex_common_codebook</x:v>
      </x:c>
      <x:c r="L86" s="32" t="str">
        <x:v>증감률</x:v>
      </x:c>
      <x:c r="M86" s="32" t="str">
        <x:v>수출 증가율</x:v>
      </x:c>
      <x:c r="N86" s="32" t="str">
        <x:v>수출 증가율</x:v>
      </x:c>
      <x:c r="O86" s="32" t="str">
        <x:v>6.6</x:v>
      </x:c>
      <x:c r="P86" s="32" t="str">
        <x:v>%</x:v>
      </x:c>
      <x:c r="Q86" s="32" t="str">
        <x:v>202412</x:v>
      </x:c>
      <x:c r="R86" s="32" t="str">
        <x:v>M</x:v>
      </x:c>
      <x:c r="S86" s="32" t="str">
        <x:v>Y</x:v>
      </x:c>
      <x:c r="T86" s="32" t="str">
        <x:v>Y</x:v>
      </x:c>
      <x:c r="U86" s="32" t="str">
        <x:v>Y</x:v>
      </x:c>
      <x:c r="V86" s="32" t="str">
        <x:v>CODEBOOK_KOSIS</x:v>
      </x:c>
      <x:c r="W86" s="32" t="str">
        <x:v>360</x:v>
      </x:c>
      <x:c r="X86" s="32" t="str">
        <x:v>DT_1R11001_FRM101</x:v>
      </x:c>
      <x:c r="Y86" s="32" t="str">
        <x:v>품목별 수출액, 수입액</x:v>
      </x:c>
      <x:c r="Z86" s="32" t="str">
        <x:v>N/A</x:v>
      </x:c>
      <x:c r="AA86" s="32" t="str">
        <x:v>N/A</x:v>
      </x:c>
      <x:c r="AB86" s="32" t="str">
        <x:v>N/A</x:v>
      </x:c>
      <x:c r="AC86" s="32" t="str">
        <x:v>N/A</x:v>
      </x:c>
      <x:c r="AD86" s="32" t="str">
        <x:v>M</x:v>
      </x:c>
      <x:c r="AE86" s="32" t="str">
        <x:v>202412</x:v>
      </x:c>
      <x:c r="AF86" s="32" t="str">
        <x:v>N/A</x:v>
      </x:c>
      <x:c r="AG86" s="32" t="str">
        <x:v>증감률</x:v>
      </x:c>
      <x:c r="AH86" s="32" t="str">
        <x:v>TABLE_SERIES_LABEL</x:v>
      </x:c>
      <x:c r="AI86" s="32" t="str">
        <x:v>N/A</x:v>
      </x:c>
      <x:c r="AJ86" s="32" t="str">
        <x:v>N/A</x:v>
      </x:c>
      <x:c r="AK86" s="32" t="str">
        <x:v>N/A</x:v>
      </x:c>
      <x:c r="AL86" s="32" t="str">
        <x:v>N/A</x:v>
      </x:c>
      <x:c r="AM86" s="32" t="str">
        <x:v>6.6</x:v>
      </x:c>
      <x:c r="AN86" s="32" t="str">
        <x:v>N/A</x:v>
      </x:c>
      <x:c r="AO86" s="32" t="str">
        <x:v>N/A</x:v>
      </x:c>
      <x:c r="AP86" s="32" t="str">
        <x:v>N/A</x:v>
      </x:c>
      <x:c r="AQ86" s="32" t="str">
        <x:v>값검증대기</x:v>
      </x:c>
      <x:c r="AR86" s="32" t="str">
        <x:v>TABLE_ONLY</x:v>
      </x:c>
      <x:c r="AS86" s="32" t="str">
        <x:v>HIGH</x:v>
      </x:c>
      <x:c r="AT86" s="33" t="str">
        <x:v>READY:TRADE_OFFICIAL_SERIES; 잠긴 Codex 공통 골드에서 측정·검증 가능 판정, KOSIS MCP로 통계표명 재확인, 세부 항목·분류·실제값은 미확정.</x:v>
      </x:c>
      <x:c r="AU86" s="32" t="str">
        <x:v>https://kosis.kr/statHtml/statHtml.do?orgId=360&amp;tblId=DT_1R11001_FRM101&amp;vw_cd=MT_ZTITLE</x:v>
      </x:c>
      <x:c r="AV86" s="32" t="n">
        <x:v>46239.31775462963</x:v>
      </x:c>
      <x:c r="AW86" s="32" t="str">
        <x:v>CODEX_COMMON_GOLD_V1+KOSIS_MCP_TABLE_INFO_200</x:v>
      </x:c>
      <x:c r="AX86" s="32" t="str">
        <x:v>N</x:v>
      </x:c>
    </x:row>
    <x:row r="87">
      <x:c r="A87" s="32" t="str">
        <x:v>A0018-CG0330</x:v>
      </x:c>
      <x:c r="B87" s="32" t="str">
        <x:v>A0018-CG0330-m1</x:v>
      </x:c>
      <x:c r="C87" s="32" t="str">
        <x:v>A0018</x:v>
      </x:c>
      <x:c r="D87" s="32" t="str">
        <x:v>반도체 덕에… 지난해 수출 6838억달러 역대 최대</x:v>
      </x:c>
      <x:c r="E87" s="32" t="str">
        <x:v>2025-01-02</x:v>
      </x:c>
      <x:c r="F87" s="32" t="str">
        <x:v>https://www.chosun.com/economy/economy_general/2025/01/02/6MYGM52QIVHUJBIZYYFBUW5IQM</x:v>
      </x:c>
      <x:c r="G87" s="33" t="str">
        <x:v>작년 12월 수출은 613억8000만달러로 1년 전 대비 6.6% 늘어 한 달 전(1.4%)에 비해 오름폭을 키웠다.</x:v>
      </x:c>
      <x:c r="H87" s="32" t="str">
        <x:v>613억8000만달러</x:v>
      </x:c>
      <x:c r="I87" s="32" t="str">
        <x:v>KOSIS_VALUE</x:v>
      </x:c>
      <x:c r="J87" s="32" t="str">
        <x:v>국내공식통계</x:v>
      </x:c>
      <x:c r="K87" s="32" t="str">
        <x:v>codex_common_codebook</x:v>
      </x:c>
      <x:c r="L87" s="32" t="str">
        <x:v>현재값</x:v>
      </x:c>
      <x:c r="M87" s="32" t="str">
        <x:v>수출액</x:v>
      </x:c>
      <x:c r="N87" s="32" t="str">
        <x:v>수출액</x:v>
      </x:c>
      <x:c r="O87" s="32" t="str">
        <x:v>61380000000</x:v>
      </x:c>
      <x:c r="P87" s="32" t="str">
        <x:v>달러</x:v>
      </x:c>
      <x:c r="Q87" s="32" t="str">
        <x:v>202401</x:v>
      </x:c>
      <x:c r="R87" s="32" t="str">
        <x:v>M</x:v>
      </x:c>
      <x:c r="S87" s="32" t="str">
        <x:v>Y</x:v>
      </x:c>
      <x:c r="T87" s="32" t="str">
        <x:v>Y</x:v>
      </x:c>
      <x:c r="U87" s="32" t="str">
        <x:v>Y</x:v>
      </x:c>
      <x:c r="V87" s="32" t="str">
        <x:v>CODEBOOK_KOSIS</x:v>
      </x:c>
      <x:c r="W87" s="32" t="str">
        <x:v>360</x:v>
      </x:c>
      <x:c r="X87" s="32" t="str">
        <x:v>DT_1R11001_FRM101</x:v>
      </x:c>
      <x:c r="Y87" s="32" t="str">
        <x:v>품목별 수출액, 수입액</x:v>
      </x:c>
      <x:c r="Z87" s="32" t="str">
        <x:v>N/A</x:v>
      </x:c>
      <x:c r="AA87" s="32" t="str">
        <x:v>N/A</x:v>
      </x:c>
      <x:c r="AB87" s="32" t="str">
        <x:v>N/A</x:v>
      </x:c>
      <x:c r="AC87" s="32" t="str">
        <x:v>N/A</x:v>
      </x:c>
      <x:c r="AD87" s="32" t="str">
        <x:v>M</x:v>
      </x:c>
      <x:c r="AE87" s="32" t="str">
        <x:v>202401</x:v>
      </x:c>
      <x:c r="AF87" s="32" t="str">
        <x:v>N/A</x:v>
      </x:c>
      <x:c r="AG87" s="32" t="str">
        <x:v>현재값</x:v>
      </x:c>
      <x:c r="AH87" s="32" t="str">
        <x:v>TABLE_SERIES_LABEL</x:v>
      </x:c>
      <x:c r="AI87" s="32" t="str">
        <x:v>N/A</x:v>
      </x:c>
      <x:c r="AJ87" s="32" t="str">
        <x:v>N/A</x:v>
      </x:c>
      <x:c r="AK87" s="32" t="str">
        <x:v>N/A</x:v>
      </x:c>
      <x:c r="AL87" s="32" t="str">
        <x:v>N/A</x:v>
      </x:c>
      <x:c r="AM87" s="32" t="str">
        <x:v>61380000000</x:v>
      </x:c>
      <x:c r="AN87" s="32" t="str">
        <x:v>N/A</x:v>
      </x:c>
      <x:c r="AO87" s="32" t="str">
        <x:v>N/A</x:v>
      </x:c>
      <x:c r="AP87" s="32" t="str">
        <x:v>N/A</x:v>
      </x:c>
      <x:c r="AQ87" s="32" t="str">
        <x:v>값검증대기</x:v>
      </x:c>
      <x:c r="AR87" s="32" t="str">
        <x:v>TABLE_ONLY</x:v>
      </x:c>
      <x:c r="AS87" s="32" t="str">
        <x:v>HIGH</x:v>
      </x:c>
      <x:c r="AT87" s="33" t="str">
        <x:v>READY:TRADE_OFFICIAL_SERIES; 잠긴 Codex 공통 골드에서 측정·검증 가능 판정, KOSIS MCP로 통계표명 재확인, 세부 항목·분류·실제값은 미확정.</x:v>
      </x:c>
      <x:c r="AU87" s="32" t="str">
        <x:v>https://kosis.kr/statHtml/statHtml.do?orgId=360&amp;tblId=DT_1R11001_FRM101&amp;vw_cd=MT_ZTITLE</x:v>
      </x:c>
      <x:c r="AV87" s="32" t="n">
        <x:v>46239.31775462963</x:v>
      </x:c>
      <x:c r="AW87" s="32" t="str">
        <x:v>CODEX_COMMON_GOLD_V1+KOSIS_MCP_TABLE_INFO_200</x:v>
      </x:c>
      <x:c r="AX87" s="32" t="str">
        <x:v>N</x:v>
      </x:c>
    </x:row>
    <x:row r="88">
      <x:c r="A88" s="32" t="str">
        <x:v>A0018-CG0331</x:v>
      </x:c>
      <x:c r="B88" s="32" t="str">
        <x:v>A0018-CG0331-m1</x:v>
      </x:c>
      <x:c r="C88" s="32" t="str">
        <x:v>A0018</x:v>
      </x:c>
      <x:c r="D88" s="32" t="str">
        <x:v>반도체 덕에… 지난해 수출 6838억달러 역대 최대</x:v>
      </x:c>
      <x:c r="E88" s="32" t="str">
        <x:v>2025-01-02</x:v>
      </x:c>
      <x:c r="F88" s="32" t="str">
        <x:v>https://www.chosun.com/economy/economy_general/2025/01/02/6MYGM52QIVHUJBIZYYFBUW5IQM</x:v>
      </x:c>
      <x:c r="G88" s="33" t="str">
        <x:v>작년 12월 수출은 613억8000만달러로 1년 전 대비 6.6% 늘어 한 달 전(1.4%)에 비해 오름폭을 키웠다.</x:v>
      </x:c>
      <x:c r="H88" s="32" t="str">
        <x:v>613억8000만달러</x:v>
      </x:c>
      <x:c r="I88" s="32" t="str">
        <x:v>KOSIS_VALUE</x:v>
      </x:c>
      <x:c r="J88" s="32" t="str">
        <x:v>국내공식통계</x:v>
      </x:c>
      <x:c r="K88" s="32" t="str">
        <x:v>codex_common_codebook</x:v>
      </x:c>
      <x:c r="L88" s="32" t="str">
        <x:v>현재값</x:v>
      </x:c>
      <x:c r="M88" s="32" t="str">
        <x:v>총수출액</x:v>
      </x:c>
      <x:c r="N88" s="32" t="str">
        <x:v>총수출액</x:v>
      </x:c>
      <x:c r="O88" s="32" t="str">
        <x:v>61380000000</x:v>
      </x:c>
      <x:c r="P88" s="32" t="str">
        <x:v>달러</x:v>
      </x:c>
      <x:c r="Q88" s="32" t="str">
        <x:v>202412</x:v>
      </x:c>
      <x:c r="R88" s="32" t="str">
        <x:v>M</x:v>
      </x:c>
      <x:c r="S88" s="32" t="str">
        <x:v>Y</x:v>
      </x:c>
      <x:c r="T88" s="32" t="str">
        <x:v>Y</x:v>
      </x:c>
      <x:c r="U88" s="32" t="str">
        <x:v>Y</x:v>
      </x:c>
      <x:c r="V88" s="32" t="str">
        <x:v>CODEBOOK_KOSIS</x:v>
      </x:c>
      <x:c r="W88" s="32" t="str">
        <x:v>360</x:v>
      </x:c>
      <x:c r="X88" s="32" t="str">
        <x:v>DT_1R11001_FRM101</x:v>
      </x:c>
      <x:c r="Y88" s="32" t="str">
        <x:v>품목별 수출액, 수입액</x:v>
      </x:c>
      <x:c r="Z88" s="32" t="str">
        <x:v>N/A</x:v>
      </x:c>
      <x:c r="AA88" s="32" t="str">
        <x:v>N/A</x:v>
      </x:c>
      <x:c r="AB88" s="32" t="str">
        <x:v>N/A</x:v>
      </x:c>
      <x:c r="AC88" s="32" t="str">
        <x:v>N/A</x:v>
      </x:c>
      <x:c r="AD88" s="32" t="str">
        <x:v>M</x:v>
      </x:c>
      <x:c r="AE88" s="32" t="str">
        <x:v>202412</x:v>
      </x:c>
      <x:c r="AF88" s="32" t="str">
        <x:v>N/A</x:v>
      </x:c>
      <x:c r="AG88" s="32" t="str">
        <x:v>현재값</x:v>
      </x:c>
      <x:c r="AH88" s="32" t="str">
        <x:v>TABLE_SERIES_LABEL</x:v>
      </x:c>
      <x:c r="AI88" s="32" t="str">
        <x:v>N/A</x:v>
      </x:c>
      <x:c r="AJ88" s="32" t="str">
        <x:v>N/A</x:v>
      </x:c>
      <x:c r="AK88" s="32" t="str">
        <x:v>N/A</x:v>
      </x:c>
      <x:c r="AL88" s="32" t="str">
        <x:v>N/A</x:v>
      </x:c>
      <x:c r="AM88" s="32" t="str">
        <x:v>61380000000</x:v>
      </x:c>
      <x:c r="AN88" s="32" t="str">
        <x:v>N/A</x:v>
      </x:c>
      <x:c r="AO88" s="32" t="str">
        <x:v>N/A</x:v>
      </x:c>
      <x:c r="AP88" s="32" t="str">
        <x:v>N/A</x:v>
      </x:c>
      <x:c r="AQ88" s="32" t="str">
        <x:v>값검증대기</x:v>
      </x:c>
      <x:c r="AR88" s="32" t="str">
        <x:v>TABLE_ONLY</x:v>
      </x:c>
      <x:c r="AS88" s="32" t="str">
        <x:v>HIGH</x:v>
      </x:c>
      <x:c r="AT88" s="33" t="str">
        <x:v>READY:TRADE_OFFICIAL_SERIES; 잠긴 Codex 공통 골드에서 측정·검증 가능 판정, KOSIS MCP로 통계표명 재확인, 세부 항목·분류·실제값은 미확정.</x:v>
      </x:c>
      <x:c r="AU88" s="32" t="str">
        <x:v>https://kosis.kr/statHtml/statHtml.do?orgId=360&amp;tblId=DT_1R11001_FRM101&amp;vw_cd=MT_ZTITLE</x:v>
      </x:c>
      <x:c r="AV88" s="32" t="n">
        <x:v>46239.31775462963</x:v>
      </x:c>
      <x:c r="AW88" s="32" t="str">
        <x:v>CODEX_COMMON_GOLD_V1+KOSIS_MCP_TABLE_INFO_200</x:v>
      </x:c>
      <x:c r="AX88" s="32" t="str">
        <x:v>N</x:v>
      </x:c>
    </x:row>
    <x:row r="89">
      <x:c r="A89" s="32" t="str">
        <x:v>A0018-CG0334</x:v>
      </x:c>
      <x:c r="B89" s="32" t="str">
        <x:v>A0018-CG0334-m1</x:v>
      </x:c>
      <x:c r="C89" s="32" t="str">
        <x:v>A0018</x:v>
      </x:c>
      <x:c r="D89" s="32" t="str">
        <x:v>반도체 덕에… 지난해 수출 6838억달러 역대 최대</x:v>
      </x:c>
      <x:c r="E89" s="32" t="str">
        <x:v>2025-01-02</x:v>
      </x:c>
      <x:c r="F89" s="32" t="str">
        <x:v>https://www.chosun.com/economy/economy_general/2025/01/02/6MYGM52QIVHUJBIZYYFBUW5IQM</x:v>
      </x:c>
      <x:c r="G89" s="33" t="str">
        <x:v>작년 한 해 전체 수출액이 6838억달러(약 1006조원)로 2023년에 비해 8.2% 증가했다고 산업통상자원부와 관세청이 1일 밝혔다.</x:v>
      </x:c>
      <x:c r="H89" s="32" t="str">
        <x:v>8.2%</x:v>
      </x:c>
      <x:c r="I89" s="32" t="str">
        <x:v>KOSIS_VALUE</x:v>
      </x:c>
      <x:c r="J89" s="32" t="str">
        <x:v>국내공식통계</x:v>
      </x:c>
      <x:c r="K89" s="32" t="str">
        <x:v>codex_common_codebook</x:v>
      </x:c>
      <x:c r="L89" s="32" t="str">
        <x:v>증감률</x:v>
      </x:c>
      <x:c r="M89" s="32" t="str">
        <x:v>수출액 증감률</x:v>
      </x:c>
      <x:c r="N89" s="32" t="str">
        <x:v>수출액 증감률</x:v>
      </x:c>
      <x:c r="O89" s="32" t="str">
        <x:v>8.2</x:v>
      </x:c>
      <x:c r="P89" s="32" t="str">
        <x:v>%</x:v>
      </x:c>
      <x:c r="Q89" s="32" t="str">
        <x:v>2023</x:v>
      </x:c>
      <x:c r="R89" s="32" t="str">
        <x:v>Y</x:v>
      </x:c>
      <x:c r="S89" s="32" t="str">
        <x:v>Y</x:v>
      </x:c>
      <x:c r="T89" s="32" t="str">
        <x:v>Y</x:v>
      </x:c>
      <x:c r="U89" s="32" t="str">
        <x:v>Y</x:v>
      </x:c>
      <x:c r="V89" s="32" t="str">
        <x:v>CODEBOOK_KOSIS</x:v>
      </x:c>
      <x:c r="W89" s="32" t="str">
        <x:v>360</x:v>
      </x:c>
      <x:c r="X89" s="32" t="str">
        <x:v>DT_1R11001_FRM101</x:v>
      </x:c>
      <x:c r="Y89" s="32" t="str">
        <x:v>품목별 수출액, 수입액</x:v>
      </x:c>
      <x:c r="Z89" s="32" t="str">
        <x:v>N/A</x:v>
      </x:c>
      <x:c r="AA89" s="32" t="str">
        <x:v>N/A</x:v>
      </x:c>
      <x:c r="AB89" s="32" t="str">
        <x:v>N/A</x:v>
      </x:c>
      <x:c r="AC89" s="32" t="str">
        <x:v>N/A</x:v>
      </x:c>
      <x:c r="AD89" s="32" t="str">
        <x:v>Y</x:v>
      </x:c>
      <x:c r="AE89" s="32" t="str">
        <x:v>2023</x:v>
      </x:c>
      <x:c r="AF89" s="32" t="str">
        <x:v>N/A</x:v>
      </x:c>
      <x:c r="AG89" s="32" t="str">
        <x:v>증감률</x:v>
      </x:c>
      <x:c r="AH89" s="32" t="str">
        <x:v>TABLE_SERIES_LABEL</x:v>
      </x:c>
      <x:c r="AI89" s="32" t="str">
        <x:v>N/A</x:v>
      </x:c>
      <x:c r="AJ89" s="32" t="str">
        <x:v>N/A</x:v>
      </x:c>
      <x:c r="AK89" s="32" t="str">
        <x:v>N/A</x:v>
      </x:c>
      <x:c r="AL89" s="32" t="str">
        <x:v>N/A</x:v>
      </x:c>
      <x:c r="AM89" s="32" t="str">
        <x:v>8.2</x:v>
      </x:c>
      <x:c r="AN89" s="32" t="str">
        <x:v>N/A</x:v>
      </x:c>
      <x:c r="AO89" s="32" t="str">
        <x:v>N/A</x:v>
      </x:c>
      <x:c r="AP89" s="32" t="str">
        <x:v>N/A</x:v>
      </x:c>
      <x:c r="AQ89" s="32" t="str">
        <x:v>값검증대기</x:v>
      </x:c>
      <x:c r="AR89" s="32" t="str">
        <x:v>TABLE_ONLY</x:v>
      </x:c>
      <x:c r="AS89" s="32" t="str">
        <x:v>HIGH</x:v>
      </x:c>
      <x:c r="AT89" s="33" t="str">
        <x:v>READY:TRADE_OFFICIAL_SERIES; 잠긴 Codex 공통 골드에서 측정·검증 가능 판정, KOSIS MCP로 통계표명 재확인, 세부 항목·분류·실제값은 미확정.</x:v>
      </x:c>
      <x:c r="AU89" s="32" t="str">
        <x:v>https://kosis.kr/statHtml/statHtml.do?orgId=360&amp;tblId=DT_1R11001_FRM101&amp;vw_cd=MT_ZTITLE</x:v>
      </x:c>
      <x:c r="AV89" s="32" t="n">
        <x:v>46239.31775462963</x:v>
      </x:c>
      <x:c r="AW89" s="32" t="str">
        <x:v>CODEX_COMMON_GOLD_V1+KOSIS_MCP_TABLE_INFO_200</x:v>
      </x:c>
      <x:c r="AX89" s="32" t="str">
        <x:v>N</x:v>
      </x:c>
    </x:row>
    <x:row r="90">
      <x:c r="A90" s="32" t="str">
        <x:v>A0018-SP2F67F9842A</x:v>
      </x:c>
      <x:c r="B90" s="32" t="str">
        <x:v>A0018-SP2F67F9842A-m1</x:v>
      </x:c>
      <x:c r="C90" s="32" t="str">
        <x:v>A0018</x:v>
      </x:c>
      <x:c r="D90" s="32" t="str">
        <x:v>반도체 덕에… 지난해 수출 6838억달러 역대 최대</x:v>
      </x:c>
      <x:c r="E90" s="32" t="str">
        <x:v>2025-01-02</x:v>
      </x:c>
      <x:c r="F90" s="32" t="str">
        <x:v>https://www.chosun.com/economy/economy_general/2025/01/02/6MYGM52QIVHUJBIZYYFBUW5IQM</x:v>
      </x:c>
      <x:c r="G90" s="33" t="str">
        <x:v>주력 수출 품목인 반도체 수출액이 1419억달러로 역대 최대치를 고쳐 쓰면서 수출 증가세를 주도했다.</x:v>
      </x:c>
      <x:c r="H90" s="32" t="str">
        <x:v>1419억달러</x:v>
      </x:c>
      <x:c r="I90" s="32" t="str">
        <x:v>KOSIS_VALUE</x:v>
      </x:c>
      <x:c r="J90" s="32" t="str">
        <x:v>국내공식통계</x:v>
      </x:c>
      <x:c r="K90" s="32" t="str">
        <x:v>hcx</x:v>
      </x:c>
      <x:c r="L90" s="32" t="str">
        <x:v>현재값</x:v>
      </x:c>
      <x:c r="M90" s="32" t="str">
        <x:v>수출액</x:v>
      </x:c>
      <x:c r="N90" s="32" t="str">
        <x:v>반도체</x:v>
      </x:c>
      <x:c r="O90" s="32" t="str">
        <x:v>141900000000.0</x:v>
      </x:c>
      <x:c r="P90" s="32" t="str">
        <x:v>달러</x:v>
      </x:c>
      <x:c r="Q90" s="32" t="str">
        <x:v>2024</x:v>
      </x:c>
      <x:c r="R90" s="32" t="str">
        <x:v>Y</x:v>
      </x:c>
      <x:c r="S90" s="32" t="str">
        <x:v>Y</x:v>
      </x:c>
      <x:c r="T90" s="32" t="str">
        <x:v>Y</x:v>
      </x:c>
      <x:c r="U90" s="32" t="str">
        <x:v>Y</x:v>
      </x:c>
      <x:c r="V90" s="32" t="str">
        <x:v>FULL_KOSIS</x:v>
      </x:c>
      <x:c r="W90" s="32" t="str">
        <x:v>127</x:v>
      </x:c>
      <x:c r="X90" s="32" t="str">
        <x:v>DT_127005_005</x:v>
      </x:c>
      <x:c r="Y90" s="32" t="str">
        <x:v>수출 및 수입액</x:v>
      </x:c>
      <x:c r="Z90" s="32" t="str">
        <x:v>T001</x:v>
      </x:c>
      <x:c r="AA90" s="32" t="str">
        <x:v>수출액</x:v>
      </x:c>
      <x:c r="AB90" s="32" t="str">
        <x:v>A020101</x:v>
      </x:c>
      <x:c r="AC90" s="32" t="str">
        <x:v>반도체</x:v>
      </x:c>
      <x:c r="AD90" s="32" t="str">
        <x:v>Y</x:v>
      </x:c>
      <x:c r="AE90" s="32" t="str">
        <x:v>2024</x:v>
      </x:c>
      <x:c r="AF90" s="32" t="str">
        <x:v>N/A</x:v>
      </x:c>
      <x:c r="AG90" s="32" t="str">
        <x:v>수준값</x:v>
      </x:c>
      <x:c r="AH90" s="32" t="str">
        <x:v>DIRECT</x:v>
      </x:c>
      <x:c r="AI90" s="32" t="str">
        <x:v>백만US$</x:v>
      </x:c>
      <x:c r="AJ90" s="32" t="str">
        <x:v>142086.0</x:v>
      </x:c>
      <x:c r="AK90" s="32" t="str">
        <x:v>N/A</x:v>
      </x:c>
      <x:c r="AL90" s="32" t="str">
        <x:v>142086000000.0</x:v>
      </x:c>
      <x:c r="AM90" s="32" t="str">
        <x:v>141900000000.0</x:v>
      </x:c>
      <x:c r="AN90" s="32" t="str">
        <x:v>186000000.0</x:v>
      </x:c>
      <x:c r="AO90" s="32" t="str">
        <x:v>0.13107822410147993</x:v>
      </x:c>
      <x:c r="AP90" s="32" t="str">
        <x:v>relative_error&lt;=0.5%</x:v>
      </x:c>
      <x:c r="AQ90" s="32" t="str">
        <x:v>일치</x:v>
      </x:c>
      <x:c r="AR90" s="32" t="str">
        <x:v>UNIQUE</x:v>
      </x:c>
      <x:c r="AS90" s="32" t="str">
        <x:v>HIGH</x:v>
      </x:c>
      <x:c r="AT90" s="33" t="str">
        <x:v>MCP 메타에 반도체와 수출액 코드가 직접 존재</x:v>
      </x:c>
      <x:c r="AU90" s="32" t="str">
        <x:v>https://kosis.kr/statHtml/statHtml.do?orgId=127&amp;tblId=DT_127005_005&amp;vw_cd=MT_ZTITLE</x:v>
      </x:c>
      <x:c r="AV90" s="32" t="n">
        <x:v>46239</x:v>
      </x:c>
      <x:c r="AW90" s="32" t="str">
        <x:v>KOSIS_MCP_AUTO_V1</x:v>
      </x:c>
      <x:c r="AX90" s="32" t="str">
        <x:v>N</x:v>
      </x:c>
    </x:row>
    <x:row r="91">
      <x:c r="A91" s="32" t="str">
        <x:v>A0018-SP32C9008706</x:v>
      </x:c>
      <x:c r="B91" s="32" t="str">
        <x:v>A0018-SP32C9008706-m1</x:v>
      </x:c>
      <x:c r="C91" s="32" t="str">
        <x:v>A0018</x:v>
      </x:c>
      <x:c r="D91" s="32" t="str">
        <x:v>반도체 덕에… 지난해 수출 6838억달러 역대 최대</x:v>
      </x:c>
      <x:c r="E91" s="32" t="str">
        <x:v>2025-01-02</x:v>
      </x:c>
      <x:c r="F91" s="32" t="str">
        <x:v>https://www.chosun.com/economy/economy_general/2025/01/02/6MYGM52QIVHUJBIZYYFBUW5IQM</x:v>
      </x:c>
      <x:c r="G91" s="33" t="str">
        <x:v>작년 한 해 전체 수출액이 6838억달러(약 1006조원)로 2023년에 비해 8.2% 증가했다고 산업통상자원부와 관세청이 1일 밝혔다.</x:v>
      </x:c>
      <x:c r="H91" s="32" t="str">
        <x:v>6838억달러</x:v>
      </x:c>
      <x:c r="I91" s="32" t="str">
        <x:v>KOSIS_VALUE</x:v>
      </x:c>
      <x:c r="J91" s="32" t="str">
        <x:v>국내공식통계</x:v>
      </x:c>
      <x:c r="K91" s="32" t="str">
        <x:v>hcx</x:v>
      </x:c>
      <x:c r="L91" s="32" t="str">
        <x:v>현재값</x:v>
      </x:c>
      <x:c r="M91" s="32" t="str">
        <x:v>총수출액</x:v>
      </x:c>
      <x:c r="N91" s="32" t="str">
        <x:v>반도체</x:v>
      </x:c>
      <x:c r="O91" s="32" t="str">
        <x:v>683800000000.0</x:v>
      </x:c>
      <x:c r="P91" s="32" t="str">
        <x:v>달러</x:v>
      </x:c>
      <x:c r="Q91" s="32" t="str">
        <x:v>2024</x:v>
      </x:c>
      <x:c r="R91" s="32" t="str">
        <x:v>Y</x:v>
      </x:c>
      <x:c r="S91" s="32" t="str">
        <x:v>Y</x:v>
      </x:c>
      <x:c r="T91" s="32" t="str">
        <x:v>Y</x:v>
      </x:c>
      <x:c r="U91" s="32" t="str">
        <x:v>Y</x:v>
      </x:c>
      <x:c r="V91" s="32" t="str">
        <x:v>FULL_KOSIS</x:v>
      </x:c>
      <x:c r="W91" s="32" t="str">
        <x:v>360</x:v>
      </x:c>
      <x:c r="X91" s="32" t="str">
        <x:v>DT_1R11001_FRM101</x:v>
      </x:c>
      <x:c r="Y91" s="32" t="str">
        <x:v>품목별 수출액 수입액</x:v>
      </x:c>
      <x:c r="Z91" s="32" t="str">
        <x:v>13103112831T1</x:v>
      </x:c>
      <x:c r="AA91" s="32" t="str">
        <x:v>수출액</x:v>
      </x:c>
      <x:c r="AB91" s="32" t="str">
        <x:v>13102112831A.A</x:v>
      </x:c>
      <x:c r="AC91" s="32" t="str">
        <x:v>총액</x:v>
      </x:c>
      <x:c r="AD91" s="32" t="str">
        <x:v>Y</x:v>
      </x:c>
      <x:c r="AE91" s="32" t="str">
        <x:v>2024</x:v>
      </x:c>
      <x:c r="AF91" s="32" t="str">
        <x:v>N/A</x:v>
      </x:c>
      <x:c r="AG91" s="32" t="str">
        <x:v>수준값</x:v>
      </x:c>
      <x:c r="AH91" s="32" t="str">
        <x:v>DIRECT</x:v>
      </x:c>
      <x:c r="AI91" s="32" t="str">
        <x:v>천달러</x:v>
      </x:c>
      <x:c r="AJ91" s="32" t="str">
        <x:v>683609488.0</x:v>
      </x:c>
      <x:c r="AK91" s="32" t="str">
        <x:v>N/A</x:v>
      </x:c>
      <x:c r="AL91" s="32" t="str">
        <x:v>683609488000.0</x:v>
      </x:c>
      <x:c r="AM91" s="32" t="str">
        <x:v>683800000000.0</x:v>
      </x:c>
      <x:c r="AN91" s="32" t="str">
        <x:v>190512000.0</x:v>
      </x:c>
      <x:c r="AO91" s="32" t="str">
        <x:v>0.027860778005264698</x:v>
      </x:c>
      <x:c r="AP91" s="32" t="str">
        <x:v>relative_error&lt;=0.5%</x:v>
      </x:c>
      <x:c r="AQ91" s="32" t="str">
        <x:v>일치</x:v>
      </x:c>
      <x:c r="AR91" s="32" t="str">
        <x:v>UNIQUE</x:v>
      </x:c>
      <x:c r="AS91" s="32" t="str">
        <x:v>HIGH</x:v>
      </x:c>
      <x:c r="AT91" s="33" t="str">
        <x:v>MCP 총수출액 검색 1위</x:v>
      </x:c>
      <x:c r="AU91" s="32" t="str">
        <x:v>https://kosis.kr/statHtml/statHtml.do?orgId=360&amp;tblId=DT_1R11001_FRM101&amp;vw_cd=MT_ZTITLE</x:v>
      </x:c>
      <x:c r="AV91" s="32" t="n">
        <x:v>46239</x:v>
      </x:c>
      <x:c r="AW91" s="32" t="str">
        <x:v>KOSIS_MCP_AUTO_V1</x:v>
      </x:c>
      <x:c r="AX91" s="32" t="str">
        <x:v>N</x:v>
      </x:c>
    </x:row>
    <x:row r="92">
      <x:c r="A92" s="32" t="str">
        <x:v>A0018-SP33EC69A061</x:v>
      </x:c>
      <x:c r="B92" s="32" t="str">
        <x:v>A0018-SP33EC69A061-m2</x:v>
      </x:c>
      <x:c r="C92" s="32" t="str">
        <x:v>A0018</x:v>
      </x:c>
      <x:c r="D92" s="32" t="str">
        <x:v>반도체 덕에… 지난해 수출 6838억달러 역대 최대</x:v>
      </x:c>
      <x:c r="E92" s="32" t="str">
        <x:v>2025-01-02</x:v>
      </x:c>
      <x:c r="F92" s="32" t="str">
        <x:v>https://www.chosun.com/economy/economy_general/2025/01/02/6MYGM52QIVHUJBIZYYFBUW5IQM</x:v>
      </x:c>
      <x:c r="G92" s="33" t="str">
        <x:v>작년 한국의 수입액은 전년보다 1.6% 감소한 6320억달러로, 518억달러의 무역 흑자를 기록했다.</x:v>
      </x:c>
      <x:c r="H92" s="32" t="str">
        <x:v>6320억달러</x:v>
      </x:c>
      <x:c r="I92" s="32" t="str">
        <x:v>KOSIS_VALUE</x:v>
      </x:c>
      <x:c r="J92" s="32" t="str">
        <x:v>국내공식통계</x:v>
      </x:c>
      <x:c r="K92" s="32" t="str">
        <x:v>hcx</x:v>
      </x:c>
      <x:c r="L92" s="32" t="str">
        <x:v>현재값</x:v>
      </x:c>
      <x:c r="M92" s="32" t="str">
        <x:v>수입액</x:v>
      </x:c>
      <x:c r="N92" s="32" t="str">
        <x:v>-</x:v>
      </x:c>
      <x:c r="O92" s="32" t="str">
        <x:v>632000000000.0</x:v>
      </x:c>
      <x:c r="P92" s="32" t="str">
        <x:v>달러</x:v>
      </x:c>
      <x:c r="Q92" s="32" t="str">
        <x:v>2024</x:v>
      </x:c>
      <x:c r="R92" s="32" t="str">
        <x:v>Y</x:v>
      </x:c>
      <x:c r="S92" s="32" t="str">
        <x:v>Y</x:v>
      </x:c>
      <x:c r="T92" s="32" t="str">
        <x:v>Y</x:v>
      </x:c>
      <x:c r="U92" s="32" t="str">
        <x:v>Y</x:v>
      </x:c>
      <x:c r="V92" s="32" t="str">
        <x:v>FULL_KOSIS</x:v>
      </x:c>
      <x:c r="W92" s="32" t="str">
        <x:v>360</x:v>
      </x:c>
      <x:c r="X92" s="32" t="str">
        <x:v>DT_1R11001_FRM101</x:v>
      </x:c>
      <x:c r="Y92" s="32" t="str">
        <x:v>품목별 수출액 수입액</x:v>
      </x:c>
      <x:c r="Z92" s="32" t="str">
        <x:v>13103112831T2</x:v>
      </x:c>
      <x:c r="AA92" s="32" t="str">
        <x:v>수입액</x:v>
      </x:c>
      <x:c r="AB92" s="32" t="str">
        <x:v>13102112831A.A</x:v>
      </x:c>
      <x:c r="AC92" s="32" t="str">
        <x:v>총액</x:v>
      </x:c>
      <x:c r="AD92" s="32" t="str">
        <x:v>Y</x:v>
      </x:c>
      <x:c r="AE92" s="32" t="str">
        <x:v>2024</x:v>
      </x:c>
      <x:c r="AF92" s="32" t="str">
        <x:v>N/A</x:v>
      </x:c>
      <x:c r="AG92" s="32" t="str">
        <x:v>수준값</x:v>
      </x:c>
      <x:c r="AH92" s="32" t="str">
        <x:v>DIRECT</x:v>
      </x:c>
      <x:c r="AI92" s="32" t="str">
        <x:v>천달러</x:v>
      </x:c>
      <x:c r="AJ92" s="32" t="str">
        <x:v>631767209.0</x:v>
      </x:c>
      <x:c r="AK92" s="32" t="str">
        <x:v>N/A</x:v>
      </x:c>
      <x:c r="AL92" s="32" t="str">
        <x:v>631767209000.0</x:v>
      </x:c>
      <x:c r="AM92" s="32" t="str">
        <x:v>632000000000.0</x:v>
      </x:c>
      <x:c r="AN92" s="32" t="str">
        <x:v>232791000.0</x:v>
      </x:c>
      <x:c r="AO92" s="32" t="str">
        <x:v>0.03683401898734177</x:v>
      </x:c>
      <x:c r="AP92" s="32" t="str">
        <x:v>relative_error&lt;=0.5%</x:v>
      </x:c>
      <x:c r="AQ92" s="32" t="str">
        <x:v>일치</x:v>
      </x:c>
      <x:c r="AR92" s="32" t="str">
        <x:v>ALTERNATE_RESOLVED</x:v>
      </x:c>
      <x:c r="AS92" s="32" t="str">
        <x:v>HIGH</x:v>
      </x:c>
      <x:c r="AT92" s="33" t="str">
        <x:v>MCP 메타의 수입액·총액 코드와 직접 일치</x:v>
      </x:c>
      <x:c r="AU92" s="32" t="str">
        <x:v>https://kosis.kr/statHtml/statHtml.do?orgId=360&amp;tblId=DT_1R11001_FRM101&amp;vw_cd=MT_ZTITLE</x:v>
      </x:c>
      <x:c r="AV92" s="32" t="n">
        <x:v>46239</x:v>
      </x:c>
      <x:c r="AW92" s="32" t="str">
        <x:v>KOSIS_MCP_AUTO_V1</x:v>
      </x:c>
      <x:c r="AX92" s="32" t="str">
        <x:v>N</x:v>
      </x:c>
    </x:row>
    <x:row r="93">
      <x:c r="A93" s="32" t="str">
        <x:v>A0018-SP6C1F318589</x:v>
      </x:c>
      <x:c r="B93" s="32" t="str">
        <x:v>A0018-SP6C1F318589-m1</x:v>
      </x:c>
      <x:c r="C93" s="32" t="str">
        <x:v>A0018</x:v>
      </x:c>
      <x:c r="D93" s="32" t="str">
        <x:v>반도체 덕에… 지난해 수출 6838억달러 역대 최대</x:v>
      </x:c>
      <x:c r="E93" s="32" t="str">
        <x:v>2025-01-02</x:v>
      </x:c>
      <x:c r="F93" s="32" t="str">
        <x:v>https://www.chosun.com/economy/economy_general/2025/01/02/6MYGM52QIVHUJBIZYYFBUW5IQM</x:v>
      </x:c>
      <x:c r="G93" s="33" t="str">
        <x:v>작년 12월 수출은 613억8000만달러로 1년 전 대비 6.6% 늘어 한 달 전(1.4%)에 비해 오름폭을 키웠다.</x:v>
      </x:c>
      <x:c r="H93" s="32" t="str">
        <x:v>613억8000만달러</x:v>
      </x:c>
      <x:c r="I93" s="32" t="str">
        <x:v>KOSIS_VALUE</x:v>
      </x:c>
      <x:c r="J93" s="32" t="str">
        <x:v>국내공식통계</x:v>
      </x:c>
      <x:c r="K93" s="32" t="str">
        <x:v>hcx</x:v>
      </x:c>
      <x:c r="L93" s="32" t="str">
        <x:v>현재값</x:v>
      </x:c>
      <x:c r="M93" s="32" t="str">
        <x:v>총수출액</x:v>
      </x:c>
      <x:c r="N93" s="32" t="str">
        <x:v>-</x:v>
      </x:c>
      <x:c r="O93" s="32" t="str">
        <x:v>61380000000.0</x:v>
      </x:c>
      <x:c r="P93" s="32" t="str">
        <x:v>달러</x:v>
      </x:c>
      <x:c r="Q93" s="32" t="str">
        <x:v>2024-12</x:v>
      </x:c>
      <x:c r="R93" s="32" t="str">
        <x:v>M</x:v>
      </x:c>
      <x:c r="S93" s="32" t="str">
        <x:v>Y</x:v>
      </x:c>
      <x:c r="T93" s="32" t="str">
        <x:v>Y</x:v>
      </x:c>
      <x:c r="U93" s="32" t="str">
        <x:v>Y</x:v>
      </x:c>
      <x:c r="V93" s="32" t="str">
        <x:v>FULL_KOSIS</x:v>
      </x:c>
      <x:c r="W93" s="32" t="str">
        <x:v>360</x:v>
      </x:c>
      <x:c r="X93" s="32" t="str">
        <x:v>DT_1R11001_FRM101</x:v>
      </x:c>
      <x:c r="Y93" s="32" t="str">
        <x:v>품목별 수출액 수입액</x:v>
      </x:c>
      <x:c r="Z93" s="32" t="str">
        <x:v>13103112831T1</x:v>
      </x:c>
      <x:c r="AA93" s="32" t="str">
        <x:v>수출액</x:v>
      </x:c>
      <x:c r="AB93" s="32" t="str">
        <x:v>13102112831A.A</x:v>
      </x:c>
      <x:c r="AC93" s="32" t="str">
        <x:v>총액</x:v>
      </x:c>
      <x:c r="AD93" s="32" t="str">
        <x:v>M</x:v>
      </x:c>
      <x:c r="AE93" s="32" t="str">
        <x:v>202412</x:v>
      </x:c>
      <x:c r="AF93" s="32" t="str">
        <x:v>N/A</x:v>
      </x:c>
      <x:c r="AG93" s="32" t="str">
        <x:v>수준값</x:v>
      </x:c>
      <x:c r="AH93" s="32" t="str">
        <x:v>DIRECT</x:v>
      </x:c>
      <x:c r="AI93" s="32" t="str">
        <x:v>천달러</x:v>
      </x:c>
      <x:c r="AJ93" s="32" t="str">
        <x:v>61359250.0</x:v>
      </x:c>
      <x:c r="AK93" s="32" t="str">
        <x:v>N/A</x:v>
      </x:c>
      <x:c r="AL93" s="32" t="str">
        <x:v>61359250000.0</x:v>
      </x:c>
      <x:c r="AM93" s="32" t="str">
        <x:v>61380000000.0</x:v>
      </x:c>
      <x:c r="AN93" s="32" t="str">
        <x:v>20750000.0</x:v>
      </x:c>
      <x:c r="AO93" s="32" t="str">
        <x:v>0.033805799934832195</x:v>
      </x:c>
      <x:c r="AP93" s="32" t="str">
        <x:v>relative_error&lt;=0.5%</x:v>
      </x:c>
      <x:c r="AQ93" s="32" t="str">
        <x:v>일치</x:v>
      </x:c>
      <x:c r="AR93" s="32" t="str">
        <x:v>UNIQUE</x:v>
      </x:c>
      <x:c r="AS93" s="32" t="str">
        <x:v>HIGH</x:v>
      </x:c>
      <x:c r="AT93" s="33" t="str">
        <x:v>MCP 월별 총수출액 원자료와 직접 일치</x:v>
      </x:c>
      <x:c r="AU93" s="32" t="str">
        <x:v>https://kosis.kr/statHtml/statHtml.do?orgId=360&amp;tblId=DT_1R11001_FRM101&amp;vw_cd=MT_ZTITLE</x:v>
      </x:c>
      <x:c r="AV93" s="32" t="n">
        <x:v>46239</x:v>
      </x:c>
      <x:c r="AW93" s="32" t="str">
        <x:v>KOSIS_MCP_AUTO_V1</x:v>
      </x:c>
      <x:c r="AX93" s="32" t="str">
        <x:v>N</x:v>
      </x:c>
    </x:row>
    <x:row r="94">
      <x:c r="A94" s="32" t="str">
        <x:v>A0018-SP6C1F318589</x:v>
      </x:c>
      <x:c r="B94" s="32" t="str">
        <x:v>A0018-SP6C1F318589-m2</x:v>
      </x:c>
      <x:c r="C94" s="32" t="str">
        <x:v>A0018</x:v>
      </x:c>
      <x:c r="D94" s="32" t="str">
        <x:v>반도체 덕에… 지난해 수출 6838억달러 역대 최대</x:v>
      </x:c>
      <x:c r="E94" s="32" t="str">
        <x:v>2025-01-02</x:v>
      </x:c>
      <x:c r="F94" s="32" t="str">
        <x:v>https://www.chosun.com/economy/economy_general/2025/01/02/6MYGM52QIVHUJBIZYYFBUW5IQM</x:v>
      </x:c>
      <x:c r="G94" s="33" t="str">
        <x:v>작년 12월 수출은 613억8000만달러로 1년 전 대비 6.6% 늘어 한 달 전(1.4%)에 비해 오름폭을 키웠다.</x:v>
      </x:c>
      <x:c r="H94" s="32" t="str">
        <x:v>6.6%</x:v>
      </x:c>
      <x:c r="I94" s="32" t="str">
        <x:v>KOSIS_VALUE</x:v>
      </x:c>
      <x:c r="J94" s="32" t="str">
        <x:v>국내공식통계</x:v>
      </x:c>
      <x:c r="K94" s="32" t="str">
        <x:v>hcx</x:v>
      </x:c>
      <x:c r="L94" s="32" t="str">
        <x:v>증감률</x:v>
      </x:c>
      <x:c r="M94" s="32" t="str">
        <x:v>수출 증가율</x:v>
      </x:c>
      <x:c r="N94" s="32" t="str">
        <x:v>-</x:v>
      </x:c>
      <x:c r="O94" s="32" t="str">
        <x:v>6.6</x:v>
      </x:c>
      <x:c r="P94" s="32" t="str">
        <x:v>%</x:v>
      </x:c>
      <x:c r="Q94" s="32" t="str">
        <x:v>2024-12</x:v>
      </x:c>
      <x:c r="R94" s="32" t="str">
        <x:v>M</x:v>
      </x:c>
      <x:c r="S94" s="32" t="str">
        <x:v>Y</x:v>
      </x:c>
      <x:c r="T94" s="32" t="str">
        <x:v>Y</x:v>
      </x:c>
      <x:c r="U94" s="32" t="str">
        <x:v>Y</x:v>
      </x:c>
      <x:c r="V94" s="32" t="str">
        <x:v>FULL_KOSIS</x:v>
      </x:c>
      <x:c r="W94" s="32" t="str">
        <x:v>360</x:v>
      </x:c>
      <x:c r="X94" s="32" t="str">
        <x:v>DT_1R11001_FRM101</x:v>
      </x:c>
      <x:c r="Y94" s="32" t="str">
        <x:v>품목별 수출액 수입액</x:v>
      </x:c>
      <x:c r="Z94" s="32" t="str">
        <x:v>13103112831T1</x:v>
      </x:c>
      <x:c r="AA94" s="32" t="str">
        <x:v>수출액</x:v>
      </x:c>
      <x:c r="AB94" s="32" t="str">
        <x:v>13102112831A.A</x:v>
      </x:c>
      <x:c r="AC94" s="32" t="str">
        <x:v>총액</x:v>
      </x:c>
      <x:c r="AD94" s="32" t="str">
        <x:v>M</x:v>
      </x:c>
      <x:c r="AE94" s="32" t="str">
        <x:v>202412</x:v>
      </x:c>
      <x:c r="AF94" s="32" t="str">
        <x:v>202312</x:v>
      </x:c>
      <x:c r="AG94" s="32" t="str">
        <x:v>증감률</x:v>
      </x:c>
      <x:c r="AH94" s="32" t="str">
        <x:v>YOY_FROM_LEVEL</x:v>
      </x:c>
      <x:c r="AI94" s="32" t="str">
        <x:v>천달러</x:v>
      </x:c>
      <x:c r="AJ94" s="32" t="str">
        <x:v>61359250.0</x:v>
      </x:c>
      <x:c r="AK94" s="32" t="str">
        <x:v>57573193.0</x:v>
      </x:c>
      <x:c r="AL94" s="32" t="str">
        <x:v>6.576076126262453</x:v>
      </x:c>
      <x:c r="AM94" s="32" t="str">
        <x:v>6.6</x:v>
      </x:c>
      <x:c r="AN94" s="32" t="str">
        <x:v>0.02392387373754623</x:v>
      </x:c>
      <x:c r="AO94" s="32" t="str">
        <x:v>0.36248293541736715</x:v>
      </x:c>
      <x:c r="AP94" s="32" t="str">
        <x:v>absolute_error&lt;=0.5%p</x:v>
      </x:c>
      <x:c r="AQ94" s="32" t="str">
        <x:v>일치</x:v>
      </x:c>
      <x:c r="AR94" s="32" t="str">
        <x:v>ALTERNATE_RESOLVED</x:v>
      </x:c>
      <x:c r="AS94" s="32" t="str">
        <x:v>HIGH</x:v>
      </x:c>
      <x:c r="AT94" s="33" t="str">
        <x:v>MCP 월별 총수출액의 전년동월비로 재계산</x:v>
      </x:c>
      <x:c r="AU94" s="32" t="str">
        <x:v>https://kosis.kr/statHtml/statHtml.do?orgId=360&amp;tblId=DT_1R11001_FRM101&amp;vw_cd=MT_ZTITLE</x:v>
      </x:c>
      <x:c r="AV94" s="32" t="n">
        <x:v>46239</x:v>
      </x:c>
      <x:c r="AW94" s="32" t="str">
        <x:v>KOSIS_MCP_AUTO_V1</x:v>
      </x:c>
      <x:c r="AX94" s="32" t="str">
        <x:v>N</x:v>
      </x:c>
    </x:row>
    <x:row r="95">
      <x:c r="A95" s="32" t="str">
        <x:v>A0023-C026</x:v>
      </x:c>
      <x:c r="B95" s="32" t="str">
        <x:v>A0023-C026-m1</x:v>
      </x:c>
      <x:c r="C95" s="32" t="str">
        <x:v>A0023</x:v>
      </x:c>
      <x:c r="D95" s="32" t="str">
        <x:v>정부 “올해 경제성장률 1.8%”… 한은 전망보다 더 낮췄다</x:v>
      </x:c>
      <x:c r="E95" s="32" t="str">
        <x:v>2025-01-02</x:v>
      </x:c>
      <x:c r="F95" s="32" t="str">
        <x:v>https://www.chosun.com/economy/economy_general/2025/01/02/FWT5PD42TZED7JTIXYCIECCFRE</x:v>
      </x:c>
      <x:c r="G95" s="33" t="str">
        <x:v>다만 11월 소매판매는 전년 동월과 비교하면 1.9% 줄어 부진한 흐름을 이어갔다.</x:v>
      </x:c>
      <x:c r="H95" s="32" t="str">
        <x:v>1.90%</x:v>
      </x:c>
      <x:c r="I95" s="32" t="str">
        <x:v>KOSIS_VALUE</x:v>
      </x:c>
      <x:c r="J95" s="32" t="str">
        <x:v>국내공식통계</x:v>
      </x:c>
      <x:c r="K95" s="32" t="str">
        <x:v>hcx</x:v>
      </x:c>
      <x:c r="L95" s="32" t="str">
        <x:v>현재값</x:v>
      </x:c>
      <x:c r="M95" s="32" t="str">
        <x:v>소매판매</x:v>
      </x:c>
      <x:c r="N95" s="32" t="str">
        <x:v>-</x:v>
      </x:c>
      <x:c r="O95" s="32" t="str">
        <x:v>1.9</x:v>
      </x:c>
      <x:c r="P95" s="32" t="str">
        <x:v>%</x:v>
      </x:c>
      <x:c r="Q95" s="32" t="str">
        <x:v>202501</x:v>
      </x:c>
      <x:c r="R95" s="32" t="str">
        <x:v>M</x:v>
      </x:c>
      <x:c r="S95" s="32" t="str">
        <x:v>Y</x:v>
      </x:c>
      <x:c r="T95" s="32" t="str">
        <x:v>Y</x:v>
      </x:c>
      <x:c r="U95" s="32" t="str">
        <x:v>Y</x:v>
      </x:c>
      <x:c r="V95" s="32" t="str">
        <x:v>FULL_KOSIS</x:v>
      </x:c>
      <x:c r="W95" s="32" t="str">
        <x:v>101</x:v>
      </x:c>
      <x:c r="X95" s="32" t="str">
        <x:v>DT_1K41012</x:v>
      </x:c>
      <x:c r="Y95" s="32" t="str">
        <x:v>재별 및 상품군별 소매판매액지수(2020=100.0)</x:v>
      </x:c>
      <x:c r="Z95" s="32" t="str">
        <x:v>T2</x:v>
      </x:c>
      <x:c r="AA95" s="32" t="str">
        <x:v>불변지수</x:v>
      </x:c>
      <x:c r="AB95" s="32" t="str">
        <x:v>G0</x:v>
      </x:c>
      <x:c r="AC95" s="32" t="str">
        <x:v>총지수</x:v>
      </x:c>
      <x:c r="AD95" s="32" t="str">
        <x:v>M</x:v>
      </x:c>
      <x:c r="AE95" s="32" t="str">
        <x:v>202411</x:v>
      </x:c>
      <x:c r="AF95" s="32" t="str">
        <x:v>202311</x:v>
      </x:c>
      <x:c r="AG95" s="32" t="str">
        <x:v>증감률</x:v>
      </x:c>
      <x:c r="AH95" s="32" t="str">
        <x:v>YOY_FROM_INDEX</x:v>
      </x:c>
      <x:c r="AI95" s="32" t="str">
        <x:v>지수</x:v>
      </x:c>
      <x:c r="AJ95" s="32" t="str">
        <x:v>105.1</x:v>
      </x:c>
      <x:c r="AK95" s="32" t="str">
        <x:v>107.5</x:v>
      </x:c>
      <x:c r="AL95" s="32" t="str">
        <x:v>-2.2325581395348904</x:v>
      </x:c>
      <x:c r="AM95" s="32" t="str">
        <x:v>-1.9</x:v>
      </x:c>
      <x:c r="AN95" s="32" t="str">
        <x:v>0.33255813953489044</x:v>
      </x:c>
      <x:c r="AO95" s="32" t="str">
        <x:v>17.50305997552055</x:v>
      </x:c>
      <x:c r="AP95" s="32" t="str">
        <x:v>absolute_error&lt;=0.5%p</x:v>
      </x:c>
      <x:c r="AQ95" s="32" t="str">
        <x:v>일치</x:v>
      </x:c>
      <x:c r="AR95" s="32" t="str">
        <x:v>UNIQUE</x:v>
      </x:c>
      <x:c r="AS95" s="32" t="str">
        <x:v>HIGH</x:v>
      </x:c>
      <x:c r="AT95" s="33" t="str">
        <x:v>기사의 '11월'을 2024년 11월로 보정하고 소매판매 불변지수의 전년 동월비를 계산함.</x:v>
      </x:c>
      <x:c r="AU95" s="32" t="str">
        <x:v>https://kosis.kr/statHtml/statHtml.do?orgId=101&amp;tblId=DT_1K41012&amp;vw_cd=MT_ZTITLE</x:v>
      </x:c>
      <x:c r="AV95" s="32" t="n">
        <x:v>46239.28157407408</x:v>
      </x:c>
      <x:c r="AW95" s="32" t="str">
        <x:v>KOSIS_MCP_AUTO_V3</x:v>
      </x:c>
      <x:c r="AX95" s="32" t="str">
        <x:v>N</x:v>
      </x:c>
    </x:row>
    <x:row r="96">
      <x:c r="A96" s="32" t="str">
        <x:v>A0023-CG0421</x:v>
      </x:c>
      <x:c r="B96" s="32" t="str">
        <x:v>A0023-CG0421-m1</x:v>
      </x:c>
      <x:c r="C96" s="32" t="str">
        <x:v>A0023</x:v>
      </x:c>
      <x:c r="D96" s="32" t="str">
        <x:v>정부 “올해 경제성장률 1.8%”… 한은 전망보다 더 낮췄다</x:v>
      </x:c>
      <x:c r="E96" s="32" t="str">
        <x:v>2025-01-02</x:v>
      </x:c>
      <x:c r="F96" s="32" t="str">
        <x:v>https://www.chosun.com/economy/economy_general/2025/01/02/FWT5PD42TZED7JTIXYCIECCFRE</x:v>
      </x:c>
      <x:c r="G96" s="33" t="str">
        <x:v>소비 지표인 소매판매는 9월(-0.3%)과 10월(-0.8%) 2달 연속 감소하다가 11월 0.4% 증가세로 돌아섰다.</x:v>
      </x:c>
      <x:c r="H96" s="32" t="str">
        <x:v>0.3%</x:v>
      </x:c>
      <x:c r="I96" s="32" t="str">
        <x:v>KOSIS_VALUE</x:v>
      </x:c>
      <x:c r="J96" s="32" t="str">
        <x:v>국내공식통계</x:v>
      </x:c>
      <x:c r="K96" s="32" t="str">
        <x:v>codex_common_codebook</x:v>
      </x:c>
      <x:c r="L96" s="32" t="str">
        <x:v>증감률</x:v>
      </x:c>
      <x:c r="M96" s="32" t="str">
        <x:v>소매판매</x:v>
      </x:c>
      <x:c r="N96" s="32" t="str">
        <x:v>소매판매</x:v>
      </x:c>
      <x:c r="O96" s="32" t="str">
        <x:v>0.3</x:v>
      </x:c>
      <x:c r="P96" s="32" t="str">
        <x:v>%</x:v>
      </x:c>
      <x:c r="Q96" s="32" t="str">
        <x:v>20243</x:v>
      </x:c>
      <x:c r="R96" s="32" t="str">
        <x:v>Q</x:v>
      </x:c>
      <x:c r="S96" s="32" t="str">
        <x:v>Y</x:v>
      </x:c>
      <x:c r="T96" s="32" t="str">
        <x:v>Y</x:v>
      </x:c>
      <x:c r="U96" s="32" t="str">
        <x:v>Y</x:v>
      </x:c>
      <x:c r="V96" s="32" t="str">
        <x:v>CODEBOOK_KOSIS</x:v>
      </x:c>
      <x:c r="W96" s="32" t="str">
        <x:v>101</x:v>
      </x:c>
      <x:c r="X96" s="32" t="str">
        <x:v>DT_1K41012</x:v>
      </x:c>
      <x:c r="Y96" s="32" t="str">
        <x:v>재별 및 상품군별 소매판매액지수(2020=100.0)</x:v>
      </x:c>
      <x:c r="Z96" s="32" t="str">
        <x:v>N/A</x:v>
      </x:c>
      <x:c r="AA96" s="32" t="str">
        <x:v>N/A</x:v>
      </x:c>
      <x:c r="AB96" s="32" t="str">
        <x:v>N/A</x:v>
      </x:c>
      <x:c r="AC96" s="32" t="str">
        <x:v>N/A</x:v>
      </x:c>
      <x:c r="AD96" s="32" t="str">
        <x:v>Q</x:v>
      </x:c>
      <x:c r="AE96" s="32" t="str">
        <x:v>20243</x:v>
      </x:c>
      <x:c r="AF96" s="32" t="str">
        <x:v>N/A</x:v>
      </x:c>
      <x:c r="AG96" s="32" t="str">
        <x:v>증감률</x:v>
      </x:c>
      <x:c r="AH96" s="32" t="str">
        <x:v>TABLE_SERIES_LABEL</x:v>
      </x:c>
      <x:c r="AI96" s="32" t="str">
        <x:v>N/A</x:v>
      </x:c>
      <x:c r="AJ96" s="32" t="str">
        <x:v>N/A</x:v>
      </x:c>
      <x:c r="AK96" s="32" t="str">
        <x:v>N/A</x:v>
      </x:c>
      <x:c r="AL96" s="32" t="str">
        <x:v>N/A</x:v>
      </x:c>
      <x:c r="AM96" s="32" t="str">
        <x:v>0.3</x:v>
      </x:c>
      <x:c r="AN96" s="32" t="str">
        <x:v>N/A</x:v>
      </x:c>
      <x:c r="AO96" s="32" t="str">
        <x:v>N/A</x:v>
      </x:c>
      <x:c r="AP96" s="32" t="str">
        <x:v>N/A</x:v>
      </x:c>
      <x:c r="AQ96" s="32" t="str">
        <x:v>값검증대기</x:v>
      </x:c>
      <x:c r="AR96" s="32" t="str">
        <x:v>TABLE_ONLY</x:v>
      </x:c>
      <x:c r="AS96" s="32" t="str">
        <x:v>HIGH</x:v>
      </x:c>
      <x:c r="AT96" s="33" t="str">
        <x:v>READY:INDUSTRIAL_ACTIVITY_OFFICIAL_SERIES; 잠긴 Codex 공통 골드에서 측정·검증 가능 판정, KOSIS MCP로 통계표명 재확인, 세부 항목·분류·실제값은 미확정.</x:v>
      </x:c>
      <x:c r="AU96" s="32" t="str">
        <x:v>https://kosis.kr/statHtml/statHtml.do?orgId=101&amp;tblId=DT_1K41012&amp;vw_cd=MT_ZTITLE</x:v>
      </x:c>
      <x:c r="AV96" s="32" t="n">
        <x:v>46239.31775462963</x:v>
      </x:c>
      <x:c r="AW96" s="32" t="str">
        <x:v>CODEX_COMMON_GOLD_V1+KOSIS_MCP_TABLE_INFO_200</x:v>
      </x:c>
      <x:c r="AX96" s="32" t="str">
        <x:v>N</x:v>
      </x:c>
    </x:row>
    <x:row r="97">
      <x:c r="A97" s="32" t="str">
        <x:v>A0023-CG0422</x:v>
      </x:c>
      <x:c r="B97" s="32" t="str">
        <x:v>A0023-CG0422-m1</x:v>
      </x:c>
      <x:c r="C97" s="32" t="str">
        <x:v>A0023</x:v>
      </x:c>
      <x:c r="D97" s="32" t="str">
        <x:v>정부 “올해 경제성장률 1.8%”… 한은 전망보다 더 낮췄다</x:v>
      </x:c>
      <x:c r="E97" s="32" t="str">
        <x:v>2025-01-02</x:v>
      </x:c>
      <x:c r="F97" s="32" t="str">
        <x:v>https://www.chosun.com/economy/economy_general/2025/01/02/FWT5PD42TZED7JTIXYCIECCFRE</x:v>
      </x:c>
      <x:c r="G97" s="33" t="str">
        <x:v>소비 지표인 소매판매는 9월(-0.3%)과 10월(-0.8%) 2달 연속 감소하다가 11월 0.4% 증가세로 돌아섰다.</x:v>
      </x:c>
      <x:c r="H97" s="32" t="str">
        <x:v>0.4%</x:v>
      </x:c>
      <x:c r="I97" s="32" t="str">
        <x:v>KOSIS_VALUE</x:v>
      </x:c>
      <x:c r="J97" s="32" t="str">
        <x:v>국내공식통계</x:v>
      </x:c>
      <x:c r="K97" s="32" t="str">
        <x:v>codex_common_codebook</x:v>
      </x:c>
      <x:c r="L97" s="32" t="str">
        <x:v>증감률</x:v>
      </x:c>
      <x:c r="M97" s="32" t="str">
        <x:v>소매판매</x:v>
      </x:c>
      <x:c r="N97" s="32" t="str">
        <x:v>소매판매</x:v>
      </x:c>
      <x:c r="O97" s="32" t="str">
        <x:v>0.4</x:v>
      </x:c>
      <x:c r="P97" s="32" t="str">
        <x:v>%</x:v>
      </x:c>
      <x:c r="Q97" s="32" t="str">
        <x:v>20244</x:v>
      </x:c>
      <x:c r="R97" s="32" t="str">
        <x:v>Q</x:v>
      </x:c>
      <x:c r="S97" s="32" t="str">
        <x:v>Y</x:v>
      </x:c>
      <x:c r="T97" s="32" t="str">
        <x:v>Y</x:v>
      </x:c>
      <x:c r="U97" s="32" t="str">
        <x:v>Y</x:v>
      </x:c>
      <x:c r="V97" s="32" t="str">
        <x:v>CODEBOOK_KOSIS</x:v>
      </x:c>
      <x:c r="W97" s="32" t="str">
        <x:v>101</x:v>
      </x:c>
      <x:c r="X97" s="32" t="str">
        <x:v>DT_1K41012</x:v>
      </x:c>
      <x:c r="Y97" s="32" t="str">
        <x:v>재별 및 상품군별 소매판매액지수(2020=100.0)</x:v>
      </x:c>
      <x:c r="Z97" s="32" t="str">
        <x:v>N/A</x:v>
      </x:c>
      <x:c r="AA97" s="32" t="str">
        <x:v>N/A</x:v>
      </x:c>
      <x:c r="AB97" s="32" t="str">
        <x:v>N/A</x:v>
      </x:c>
      <x:c r="AC97" s="32" t="str">
        <x:v>N/A</x:v>
      </x:c>
      <x:c r="AD97" s="32" t="str">
        <x:v>Q</x:v>
      </x:c>
      <x:c r="AE97" s="32" t="str">
        <x:v>20244</x:v>
      </x:c>
      <x:c r="AF97" s="32" t="str">
        <x:v>N/A</x:v>
      </x:c>
      <x:c r="AG97" s="32" t="str">
        <x:v>증감률</x:v>
      </x:c>
      <x:c r="AH97" s="32" t="str">
        <x:v>TABLE_SERIES_LABEL</x:v>
      </x:c>
      <x:c r="AI97" s="32" t="str">
        <x:v>N/A</x:v>
      </x:c>
      <x:c r="AJ97" s="32" t="str">
        <x:v>N/A</x:v>
      </x:c>
      <x:c r="AK97" s="32" t="str">
        <x:v>N/A</x:v>
      </x:c>
      <x:c r="AL97" s="32" t="str">
        <x:v>N/A</x:v>
      </x:c>
      <x:c r="AM97" s="32" t="str">
        <x:v>0.4</x:v>
      </x:c>
      <x:c r="AN97" s="32" t="str">
        <x:v>N/A</x:v>
      </x:c>
      <x:c r="AO97" s="32" t="str">
        <x:v>N/A</x:v>
      </x:c>
      <x:c r="AP97" s="32" t="str">
        <x:v>N/A</x:v>
      </x:c>
      <x:c r="AQ97" s="32" t="str">
        <x:v>값검증대기</x:v>
      </x:c>
      <x:c r="AR97" s="32" t="str">
        <x:v>TABLE_ONLY</x:v>
      </x:c>
      <x:c r="AS97" s="32" t="str">
        <x:v>HIGH</x:v>
      </x:c>
      <x:c r="AT97" s="33" t="str">
        <x:v>READY:INDUSTRIAL_ACTIVITY_OFFICIAL_SERIES; 잠긴 Codex 공통 골드에서 측정·검증 가능 판정, KOSIS MCP로 통계표명 재확인, 세부 항목·분류·실제값은 미확정.</x:v>
      </x:c>
      <x:c r="AU97" s="32" t="str">
        <x:v>https://kosis.kr/statHtml/statHtml.do?orgId=101&amp;tblId=DT_1K41012&amp;vw_cd=MT_ZTITLE</x:v>
      </x:c>
      <x:c r="AV97" s="32" t="n">
        <x:v>46239.31775462963</x:v>
      </x:c>
      <x:c r="AW97" s="32" t="str">
        <x:v>CODEX_COMMON_GOLD_V1+KOSIS_MCP_TABLE_INFO_200</x:v>
      </x:c>
      <x:c r="AX97" s="32" t="str">
        <x:v>N</x:v>
      </x:c>
    </x:row>
    <x:row r="98">
      <x:c r="A98" s="32" t="str">
        <x:v>A0023-CG0423</x:v>
      </x:c>
      <x:c r="B98" s="32" t="str">
        <x:v>A0023-CG0423-m1</x:v>
      </x:c>
      <x:c r="C98" s="32" t="str">
        <x:v>A0023</x:v>
      </x:c>
      <x:c r="D98" s="32" t="str">
        <x:v>정부 “올해 경제성장률 1.8%”… 한은 전망보다 더 낮췄다</x:v>
      </x:c>
      <x:c r="E98" s="32" t="str">
        <x:v>2025-01-02</x:v>
      </x:c>
      <x:c r="F98" s="32" t="str">
        <x:v>https://www.chosun.com/economy/economy_general/2025/01/02/FWT5PD42TZED7JTIXYCIECCFRE</x:v>
      </x:c>
      <x:c r="G98" s="33" t="str">
        <x:v>소비 지표인 소매판매는 9월(-0.3%)과 10월(-0.8%) 2달 연속 감소하다가 11월 0.4% 증가세로 돌아섰다.</x:v>
      </x:c>
      <x:c r="H98" s="32" t="str">
        <x:v>0.8%</x:v>
      </x:c>
      <x:c r="I98" s="32" t="str">
        <x:v>KOSIS_VALUE</x:v>
      </x:c>
      <x:c r="J98" s="32" t="str">
        <x:v>국내공식통계</x:v>
      </x:c>
      <x:c r="K98" s="32" t="str">
        <x:v>codex_common_codebook</x:v>
      </x:c>
      <x:c r="L98" s="32" t="str">
        <x:v>증감률</x:v>
      </x:c>
      <x:c r="M98" s="32" t="str">
        <x:v>소매판매</x:v>
      </x:c>
      <x:c r="N98" s="32" t="str">
        <x:v>소매판매</x:v>
      </x:c>
      <x:c r="O98" s="32" t="str">
        <x:v>0.8</x:v>
      </x:c>
      <x:c r="P98" s="32" t="str">
        <x:v>%</x:v>
      </x:c>
      <x:c r="Q98" s="32" t="str">
        <x:v>20244</x:v>
      </x:c>
      <x:c r="R98" s="32" t="str">
        <x:v>Q</x:v>
      </x:c>
      <x:c r="S98" s="32" t="str">
        <x:v>Y</x:v>
      </x:c>
      <x:c r="T98" s="32" t="str">
        <x:v>Y</x:v>
      </x:c>
      <x:c r="U98" s="32" t="str">
        <x:v>Y</x:v>
      </x:c>
      <x:c r="V98" s="32" t="str">
        <x:v>CODEBOOK_KOSIS</x:v>
      </x:c>
      <x:c r="W98" s="32" t="str">
        <x:v>101</x:v>
      </x:c>
      <x:c r="X98" s="32" t="str">
        <x:v>DT_1K41012</x:v>
      </x:c>
      <x:c r="Y98" s="32" t="str">
        <x:v>재별 및 상품군별 소매판매액지수(2020=100.0)</x:v>
      </x:c>
      <x:c r="Z98" s="32" t="str">
        <x:v>N/A</x:v>
      </x:c>
      <x:c r="AA98" s="32" t="str">
        <x:v>N/A</x:v>
      </x:c>
      <x:c r="AB98" s="32" t="str">
        <x:v>N/A</x:v>
      </x:c>
      <x:c r="AC98" s="32" t="str">
        <x:v>N/A</x:v>
      </x:c>
      <x:c r="AD98" s="32" t="str">
        <x:v>Q</x:v>
      </x:c>
      <x:c r="AE98" s="32" t="str">
        <x:v>20244</x:v>
      </x:c>
      <x:c r="AF98" s="32" t="str">
        <x:v>N/A</x:v>
      </x:c>
      <x:c r="AG98" s="32" t="str">
        <x:v>증감률</x:v>
      </x:c>
      <x:c r="AH98" s="32" t="str">
        <x:v>TABLE_SERIES_LABEL</x:v>
      </x:c>
      <x:c r="AI98" s="32" t="str">
        <x:v>N/A</x:v>
      </x:c>
      <x:c r="AJ98" s="32" t="str">
        <x:v>N/A</x:v>
      </x:c>
      <x:c r="AK98" s="32" t="str">
        <x:v>N/A</x:v>
      </x:c>
      <x:c r="AL98" s="32" t="str">
        <x:v>N/A</x:v>
      </x:c>
      <x:c r="AM98" s="32" t="str">
        <x:v>0.8</x:v>
      </x:c>
      <x:c r="AN98" s="32" t="str">
        <x:v>N/A</x:v>
      </x:c>
      <x:c r="AO98" s="32" t="str">
        <x:v>N/A</x:v>
      </x:c>
      <x:c r="AP98" s="32" t="str">
        <x:v>N/A</x:v>
      </x:c>
      <x:c r="AQ98" s="32" t="str">
        <x:v>값검증대기</x:v>
      </x:c>
      <x:c r="AR98" s="32" t="str">
        <x:v>TABLE_ONLY</x:v>
      </x:c>
      <x:c r="AS98" s="32" t="str">
        <x:v>HIGH</x:v>
      </x:c>
      <x:c r="AT98" s="33" t="str">
        <x:v>READY:INDUSTRIAL_ACTIVITY_OFFICIAL_SERIES; 잠긴 Codex 공통 골드에서 측정·검증 가능 판정, KOSIS MCP로 통계표명 재확인, 세부 항목·분류·실제값은 미확정.</x:v>
      </x:c>
      <x:c r="AU98" s="32" t="str">
        <x:v>https://kosis.kr/statHtml/statHtml.do?orgId=101&amp;tblId=DT_1K41012&amp;vw_cd=MT_ZTITLE</x:v>
      </x:c>
      <x:c r="AV98" s="32" t="n">
        <x:v>46239.31775462963</x:v>
      </x:c>
      <x:c r="AW98" s="32" t="str">
        <x:v>CODEX_COMMON_GOLD_V1+KOSIS_MCP_TABLE_INFO_200</x:v>
      </x:c>
      <x:c r="AX98" s="32" t="str">
        <x:v>N</x:v>
      </x:c>
    </x:row>
    <x:row r="99">
      <x:c r="A99" s="32" t="str">
        <x:v>A0023-CG0424</x:v>
      </x:c>
      <x:c r="B99" s="32" t="str">
        <x:v>A0023-CG0424-m1</x:v>
      </x:c>
      <x:c r="C99" s="32" t="str">
        <x:v>A0023</x:v>
      </x:c>
      <x:c r="D99" s="32" t="str">
        <x:v>정부 “올해 경제성장률 1.8%”… 한은 전망보다 더 낮췄다</x:v>
      </x:c>
      <x:c r="E99" s="32" t="str">
        <x:v>2025-01-02</x:v>
      </x:c>
      <x:c r="F99" s="32" t="str">
        <x:v>https://www.chosun.com/economy/economy_general/2025/01/02/FWT5PD42TZED7JTIXYCIECCFRE</x:v>
      </x:c>
      <x:c r="G99" s="33" t="str">
        <x:v>다만 11월 소매판매는 전년 동월과 비교하면 1.9% 줄어 부진한 흐름을 이어갔다.</x:v>
      </x:c>
      <x:c r="H99" s="32" t="str">
        <x:v>1.9%</x:v>
      </x:c>
      <x:c r="I99" s="32" t="str">
        <x:v>KOSIS_VALUE</x:v>
      </x:c>
      <x:c r="J99" s="32" t="str">
        <x:v>국내공식통계</x:v>
      </x:c>
      <x:c r="K99" s="32" t="str">
        <x:v>codex_common_codebook</x:v>
      </x:c>
      <x:c r="L99" s="32" t="str">
        <x:v>현재값</x:v>
      </x:c>
      <x:c r="M99" s="32" t="str">
        <x:v>소매판매 증감률</x:v>
      </x:c>
      <x:c r="N99" s="32" t="str">
        <x:v>소매판매 증감률</x:v>
      </x:c>
      <x:c r="O99" s="32" t="str">
        <x:v>1.9</x:v>
      </x:c>
      <x:c r="P99" s="32" t="str">
        <x:v>%</x:v>
      </x:c>
      <x:c r="Q99" s="32" t="str">
        <x:v>202411</x:v>
      </x:c>
      <x:c r="R99" s="32" t="str">
        <x:v>M</x:v>
      </x:c>
      <x:c r="S99" s="32" t="str">
        <x:v>Y</x:v>
      </x:c>
      <x:c r="T99" s="32" t="str">
        <x:v>Y</x:v>
      </x:c>
      <x:c r="U99" s="32" t="str">
        <x:v>Y</x:v>
      </x:c>
      <x:c r="V99" s="32" t="str">
        <x:v>CODEBOOK_KOSIS</x:v>
      </x:c>
      <x:c r="W99" s="32" t="str">
        <x:v>101</x:v>
      </x:c>
      <x:c r="X99" s="32" t="str">
        <x:v>DT_1K41012</x:v>
      </x:c>
      <x:c r="Y99" s="32" t="str">
        <x:v>재별 및 상품군별 소매판매액지수(2020=100.0)</x:v>
      </x:c>
      <x:c r="Z99" s="32" t="str">
        <x:v>N/A</x:v>
      </x:c>
      <x:c r="AA99" s="32" t="str">
        <x:v>N/A</x:v>
      </x:c>
      <x:c r="AB99" s="32" t="str">
        <x:v>N/A</x:v>
      </x:c>
      <x:c r="AC99" s="32" t="str">
        <x:v>N/A</x:v>
      </x:c>
      <x:c r="AD99" s="32" t="str">
        <x:v>M</x:v>
      </x:c>
      <x:c r="AE99" s="32" t="str">
        <x:v>202411</x:v>
      </x:c>
      <x:c r="AF99" s="32" t="str">
        <x:v>N/A</x:v>
      </x:c>
      <x:c r="AG99" s="32" t="str">
        <x:v>현재값</x:v>
      </x:c>
      <x:c r="AH99" s="32" t="str">
        <x:v>TABLE_SERIES_LABEL</x:v>
      </x:c>
      <x:c r="AI99" s="32" t="str">
        <x:v>N/A</x:v>
      </x:c>
      <x:c r="AJ99" s="32" t="str">
        <x:v>N/A</x:v>
      </x:c>
      <x:c r="AK99" s="32" t="str">
        <x:v>N/A</x:v>
      </x:c>
      <x:c r="AL99" s="32" t="str">
        <x:v>N/A</x:v>
      </x:c>
      <x:c r="AM99" s="32" t="str">
        <x:v>1.9</x:v>
      </x:c>
      <x:c r="AN99" s="32" t="str">
        <x:v>N/A</x:v>
      </x:c>
      <x:c r="AO99" s="32" t="str">
        <x:v>N/A</x:v>
      </x:c>
      <x:c r="AP99" s="32" t="str">
        <x:v>N/A</x:v>
      </x:c>
      <x:c r="AQ99" s="32" t="str">
        <x:v>값검증대기</x:v>
      </x:c>
      <x:c r="AR99" s="32" t="str">
        <x:v>TABLE_ONLY</x:v>
      </x:c>
      <x:c r="AS99" s="32" t="str">
        <x:v>HIGH</x:v>
      </x:c>
      <x:c r="AT99" s="33" t="str">
        <x:v>READY:INDUSTRIAL_ACTIVITY_OFFICIAL_SERIES; 잠긴 Codex 공통 골드에서 측정·검증 가능 판정, KOSIS MCP로 통계표명 재확인, 세부 항목·분류·실제값은 미확정.</x:v>
      </x:c>
      <x:c r="AU99" s="32" t="str">
        <x:v>https://kosis.kr/statHtml/statHtml.do?orgId=101&amp;tblId=DT_1K41012&amp;vw_cd=MT_ZTITLE</x:v>
      </x:c>
      <x:c r="AV99" s="32" t="n">
        <x:v>46239.31775462963</x:v>
      </x:c>
      <x:c r="AW99" s="32" t="str">
        <x:v>CODEX_COMMON_GOLD_V1+KOSIS_MCP_TABLE_INFO_200</x:v>
      </x:c>
      <x:c r="AX99" s="32" t="str">
        <x:v>N</x:v>
      </x:c>
    </x:row>
    <x:row r="100">
      <x:c r="A100" s="32" t="str">
        <x:v>A0023-CG0425</x:v>
      </x:c>
      <x:c r="B100" s="32" t="str">
        <x:v>A0023-CG0425-m1</x:v>
      </x:c>
      <x:c r="C100" s="32" t="str">
        <x:v>A0023</x:v>
      </x:c>
      <x:c r="D100" s="32" t="str">
        <x:v>정부 “올해 경제성장률 1.8%”… 한은 전망보다 더 낮췄다</x:v>
      </x:c>
      <x:c r="E100" s="32" t="str">
        <x:v>2025-01-02</x:v>
      </x:c>
      <x:c r="F100" s="32" t="str">
        <x:v>https://www.chosun.com/economy/economy_general/2025/01/02/FWT5PD42TZED7JTIXYCIECCFRE</x:v>
      </x:c>
      <x:c r="G100" s="33" t="str">
        <x:v>다만 11월 소매판매는 전년 동월과 비교하면 1.9% 줄어 부진한 흐름을 이어갔다.</x:v>
      </x:c>
      <x:c r="H100" s="32" t="str">
        <x:v>1.9%</x:v>
      </x:c>
      <x:c r="I100" s="32" t="str">
        <x:v>KOSIS_VALUE</x:v>
      </x:c>
      <x:c r="J100" s="32" t="str">
        <x:v>국내공식통계</x:v>
      </x:c>
      <x:c r="K100" s="32" t="str">
        <x:v>codex_common_codebook</x:v>
      </x:c>
      <x:c r="L100" s="32" t="str">
        <x:v>현재값</x:v>
      </x:c>
      <x:c r="M100" s="32" t="str">
        <x:v>소매판매</x:v>
      </x:c>
      <x:c r="N100" s="32" t="str">
        <x:v>소매판매</x:v>
      </x:c>
      <x:c r="O100" s="32" t="str">
        <x:v>1.9</x:v>
      </x:c>
      <x:c r="P100" s="32" t="str">
        <x:v>%</x:v>
      </x:c>
      <x:c r="Q100" s="32" t="str">
        <x:v>20244</x:v>
      </x:c>
      <x:c r="R100" s="32" t="str">
        <x:v>Q</x:v>
      </x:c>
      <x:c r="S100" s="32" t="str">
        <x:v>Y</x:v>
      </x:c>
      <x:c r="T100" s="32" t="str">
        <x:v>Y</x:v>
      </x:c>
      <x:c r="U100" s="32" t="str">
        <x:v>Y</x:v>
      </x:c>
      <x:c r="V100" s="32" t="str">
        <x:v>CODEBOOK_KOSIS</x:v>
      </x:c>
      <x:c r="W100" s="32" t="str">
        <x:v>101</x:v>
      </x:c>
      <x:c r="X100" s="32" t="str">
        <x:v>DT_1K41012</x:v>
      </x:c>
      <x:c r="Y100" s="32" t="str">
        <x:v>재별 및 상품군별 소매판매액지수(2020=100.0)</x:v>
      </x:c>
      <x:c r="Z100" s="32" t="str">
        <x:v>N/A</x:v>
      </x:c>
      <x:c r="AA100" s="32" t="str">
        <x:v>N/A</x:v>
      </x:c>
      <x:c r="AB100" s="32" t="str">
        <x:v>N/A</x:v>
      </x:c>
      <x:c r="AC100" s="32" t="str">
        <x:v>N/A</x:v>
      </x:c>
      <x:c r="AD100" s="32" t="str">
        <x:v>Q</x:v>
      </x:c>
      <x:c r="AE100" s="32" t="str">
        <x:v>20244</x:v>
      </x:c>
      <x:c r="AF100" s="32" t="str">
        <x:v>N/A</x:v>
      </x:c>
      <x:c r="AG100" s="32" t="str">
        <x:v>현재값</x:v>
      </x:c>
      <x:c r="AH100" s="32" t="str">
        <x:v>TABLE_SERIES_LABEL</x:v>
      </x:c>
      <x:c r="AI100" s="32" t="str">
        <x:v>N/A</x:v>
      </x:c>
      <x:c r="AJ100" s="32" t="str">
        <x:v>N/A</x:v>
      </x:c>
      <x:c r="AK100" s="32" t="str">
        <x:v>N/A</x:v>
      </x:c>
      <x:c r="AL100" s="32" t="str">
        <x:v>N/A</x:v>
      </x:c>
      <x:c r="AM100" s="32" t="str">
        <x:v>1.9</x:v>
      </x:c>
      <x:c r="AN100" s="32" t="str">
        <x:v>N/A</x:v>
      </x:c>
      <x:c r="AO100" s="32" t="str">
        <x:v>N/A</x:v>
      </x:c>
      <x:c r="AP100" s="32" t="str">
        <x:v>N/A</x:v>
      </x:c>
      <x:c r="AQ100" s="32" t="str">
        <x:v>값검증대기</x:v>
      </x:c>
      <x:c r="AR100" s="32" t="str">
        <x:v>TABLE_ONLY</x:v>
      </x:c>
      <x:c r="AS100" s="32" t="str">
        <x:v>HIGH</x:v>
      </x:c>
      <x:c r="AT100" s="33" t="str">
        <x:v>READY:INDUSTRIAL_ACTIVITY_OFFICIAL_SERIES; 잠긴 Codex 공통 골드에서 측정·검증 가능 판정, KOSIS MCP로 통계표명 재확인, 세부 항목·분류·실제값은 미확정.</x:v>
      </x:c>
      <x:c r="AU100" s="32" t="str">
        <x:v>https://kosis.kr/statHtml/statHtml.do?orgId=101&amp;tblId=DT_1K41012&amp;vw_cd=MT_ZTITLE</x:v>
      </x:c>
      <x:c r="AV100" s="32" t="n">
        <x:v>46239.31775462963</x:v>
      </x:c>
      <x:c r="AW100" s="32" t="str">
        <x:v>CODEX_COMMON_GOLD_V1+KOSIS_MCP_TABLE_INFO_200</x:v>
      </x:c>
      <x:c r="AX100" s="32" t="str">
        <x:v>N</x:v>
      </x:c>
    </x:row>
    <x:row r="101">
      <x:c r="A101" s="32" t="str">
        <x:v>A0024-C002</x:v>
      </x:c>
      <x:c r="B101" s="32" t="str">
        <x:v>A0024-C002-m1</x:v>
      </x:c>
      <x:c r="C101" s="32" t="str">
        <x:v>A0024</x:v>
      </x:c>
      <x:c r="D101" s="32" t="str">
        <x:v>정부, 작년 세수 부족으로 韓銀서 170조원 빌려 썼다</x:v>
      </x:c>
      <x:c r="E101" s="32" t="str">
        <x:v>2025-01-02</x:v>
      </x:c>
      <x:c r="F101" s="32" t="str">
        <x:v>https://www.chosun.com/economy/economy_general/2025/01/02/LYWZZSQ6I5AVJDNTRW6KAK6ORY</x:v>
      </x:c>
      <x:c r="G101" s="33" t="str">
        <x:v>1일 더불어민주당 임광현 의원이 한은에서 제출받은 자료에 따르면, 정부는 지난해 한은에서 누적으로 따져 총 173조원을 일시 차입했다.</x:v>
      </x:c>
      <x:c r="H101" s="32" t="str">
        <x:v>173조원</x:v>
      </x:c>
      <x:c r="I101" s="32" t="str">
        <x:v>KOSIS_VALUE</x:v>
      </x:c>
      <x:c r="J101" s="32" t="str">
        <x:v>국내공식통계</x:v>
      </x:c>
      <x:c r="K101" s="32" t="str">
        <x:v>hcx</x:v>
      </x:c>
      <x:c r="L101" s="32" t="str">
        <x:v>현재값</x:v>
      </x:c>
      <x:c r="M101" s="32" t="str">
        <x:v>정부 차입금</x:v>
      </x:c>
      <x:c r="N101" s="32" t="str">
        <x:v>-</x:v>
      </x:c>
      <x:c r="O101" s="32" t="str">
        <x:v>1.73E+14</x:v>
      </x:c>
      <x:c r="P101" s="32" t="str">
        <x:v>원</x:v>
      </x:c>
      <x:c r="Q101" s="32" t="str">
        <x:v>2024</x:v>
      </x:c>
      <x:c r="R101" s="32" t="str">
        <x:v>Y</x:v>
      </x:c>
      <x:c r="S101" s="32" t="str">
        <x:v>N</x:v>
      </x:c>
      <x:c r="T101" s="32" t="str">
        <x:v>Y</x:v>
      </x:c>
      <x:c r="U101" s="32" t="str">
        <x:v>N</x:v>
      </x:c>
      <x:c r="V101" s="32" t="str">
        <x:v>MCP_NOT_VERIFIABLE</x:v>
      </x:c>
      <x:c r="W101" s="32" t="str">
        <x:v>N/A</x:v>
      </x:c>
      <x:c r="X101" s="32" t="str">
        <x:v>N/A</x:v>
      </x:c>
      <x:c r="Y101" s="32" t="str">
        <x:v>N/A</x:v>
      </x:c>
      <x:c r="Z101" s="32" t="str">
        <x:v>N/A</x:v>
      </x:c>
      <x:c r="AA101" s="32" t="str">
        <x:v>N/A</x:v>
      </x:c>
      <x:c r="AB101" s="32" t="str">
        <x:v>N/A</x:v>
      </x:c>
      <x:c r="AC101" s="32" t="str">
        <x:v>N/A</x:v>
      </x:c>
      <x:c r="AD101" s="32" t="str">
        <x:v>N/A</x:v>
      </x:c>
      <x:c r="AE101" s="32" t="str">
        <x:v>N/A</x:v>
      </x:c>
      <x:c r="AF101" s="32" t="str">
        <x:v>N/A</x:v>
      </x:c>
      <x:c r="AG101" s="32" t="str">
        <x:v>N/A</x:v>
      </x:c>
      <x:c r="AH101" s="32" t="str">
        <x:v>N/A</x:v>
      </x:c>
      <x:c r="AI101" s="32" t="str">
        <x:v>N/A</x:v>
      </x:c>
      <x:c r="AJ101" s="32" t="str">
        <x:v>N/A</x:v>
      </x:c>
      <x:c r="AK101" s="32" t="str">
        <x:v>N/A</x:v>
      </x:c>
      <x:c r="AL101" s="32" t="str">
        <x:v>N/A</x:v>
      </x:c>
      <x:c r="AM101" s="32" t="str">
        <x:v>N/A</x:v>
      </x:c>
      <x:c r="AN101" s="32" t="str">
        <x:v>N/A</x:v>
      </x:c>
      <x:c r="AO101" s="32" t="str">
        <x:v>N/A</x:v>
      </x:c>
      <x:c r="AP101" s="32" t="str">
        <x:v>N/A</x:v>
      </x:c>
      <x:c r="AQ101" s="32" t="str">
        <x:v>판단불가</x:v>
      </x:c>
      <x:c r="AR101" s="32" t="str">
        <x:v>NOT_APPLICABLE</x:v>
      </x:c>
      <x:c r="AS101" s="32" t="str">
        <x:v>MEDIUM</x:v>
      </x:c>
      <x:c r="AT101" s="33" t="str">
        <x:v>기존 자동 범위 판정에서 KOSIS 직접 검증 대상이 아닌 것으로 분류됨.</x:v>
      </x:c>
      <x:c r="AU101" s="32" t="str">
        <x:v>N/A</x:v>
      </x:c>
      <x:c r="AV101" s="32" t="n">
        <x:v>46239.28157407408</x:v>
      </x:c>
      <x:c r="AW101" s="32" t="str">
        <x:v>KOSIS_MCP_AUTO_V3</x:v>
      </x:c>
      <x:c r="AX101" s="32" t="str">
        <x:v>N</x:v>
      </x:c>
    </x:row>
    <x:row r="102">
      <x:c r="A102" s="32" t="str">
        <x:v>A0041-CG0696</x:v>
      </x:c>
      <x:c r="B102" s="32" t="str">
        <x:v>A0041-CG0696-m1</x:v>
      </x:c>
      <x:c r="C102" s="32" t="str">
        <x:v>A0041</x:v>
      </x:c>
      <x:c r="D102" s="32" t="str">
        <x:v>치솟는 환율에 식품 물가도 급등</x:v>
      </x:c>
      <x:c r="E102" s="32" t="str">
        <x:v>2025-01-04</x:v>
      </x:c>
      <x:c r="F102" s="32" t="str">
        <x:v>https://www.chosun.com/economy/economy_general/2025/01/04/7SPGFC4RFZEDLDPFTQHVDM2K2E</x:v>
      </x:c>
      <x:c r="G102" s="33" t="str">
        <x:v>175개 품목의 평균 물가 상승폭은 3.9%로, 지난해 연간 소비자물가지수 상승폭(2.3%)을 뛰어넘었다.</x:v>
      </x:c>
      <x:c r="H102" s="32" t="str">
        <x:v>2.3%</x:v>
      </x:c>
      <x:c r="I102" s="32" t="str">
        <x:v>KOSIS_VALUE</x:v>
      </x:c>
      <x:c r="J102" s="32" t="str">
        <x:v>국내공식통계</x:v>
      </x:c>
      <x:c r="K102" s="32" t="str">
        <x:v>codex_common_codebook</x:v>
      </x:c>
      <x:c r="L102" s="32" t="str">
        <x:v>증감률</x:v>
      </x:c>
      <x:c r="M102" s="32" t="str">
        <x:v>지난해 연간 소비자물가지수 상승폭</x:v>
      </x:c>
      <x:c r="N102" s="32" t="str">
        <x:v>지난해 연간 소비자물가지수 상승폭</x:v>
      </x:c>
      <x:c r="O102" s="32" t="str">
        <x:v>2.3</x:v>
      </x:c>
      <x:c r="P102" s="32" t="str">
        <x:v>%</x:v>
      </x:c>
      <x:c r="Q102" s="32" t="str">
        <x:v>202401</x:v>
      </x:c>
      <x:c r="R102" s="32" t="str">
        <x:v>M</x:v>
      </x:c>
      <x:c r="S102" s="32" t="str">
        <x:v>Y</x:v>
      </x:c>
      <x:c r="T102" s="32" t="str">
        <x:v>Y</x:v>
      </x:c>
      <x:c r="U102" s="32" t="str">
        <x:v>Y</x:v>
      </x:c>
      <x:c r="V102" s="32" t="str">
        <x:v>CODEBOOK_KOSIS</x:v>
      </x:c>
      <x:c r="W102" s="32" t="str">
        <x:v>101</x:v>
      </x:c>
      <x:c r="X102" s="32" t="str">
        <x:v>DT_1J22041</x:v>
      </x:c>
      <x:c r="Y102" s="32" t="str">
        <x:v>연도별 소비자물가 등락률</x:v>
      </x:c>
      <x:c r="Z102" s="32" t="str">
        <x:v>N/A</x:v>
      </x:c>
      <x:c r="AA102" s="32" t="str">
        <x:v>N/A</x:v>
      </x:c>
      <x:c r="AB102" s="32" t="str">
        <x:v>N/A</x:v>
      </x:c>
      <x:c r="AC102" s="32" t="str">
        <x:v>N/A</x:v>
      </x:c>
      <x:c r="AD102" s="32" t="str">
        <x:v>M</x:v>
      </x:c>
      <x:c r="AE102" s="32" t="str">
        <x:v>202401</x:v>
      </x:c>
      <x:c r="AF102" s="32" t="str">
        <x:v>N/A</x:v>
      </x:c>
      <x:c r="AG102" s="32" t="str">
        <x:v>증감률</x:v>
      </x:c>
      <x:c r="AH102" s="32" t="str">
        <x:v>TABLE_SERIES_LABEL</x:v>
      </x:c>
      <x:c r="AI102" s="32" t="str">
        <x:v>N/A</x:v>
      </x:c>
      <x:c r="AJ102" s="32" t="str">
        <x:v>N/A</x:v>
      </x:c>
      <x:c r="AK102" s="32" t="str">
        <x:v>N/A</x:v>
      </x:c>
      <x:c r="AL102" s="32" t="str">
        <x:v>N/A</x:v>
      </x:c>
      <x:c r="AM102" s="32" t="str">
        <x:v>2.3</x:v>
      </x:c>
      <x:c r="AN102" s="32" t="str">
        <x:v>N/A</x:v>
      </x:c>
      <x:c r="AO102" s="32" t="str">
        <x:v>N/A</x:v>
      </x:c>
      <x:c r="AP102" s="32" t="str">
        <x:v>N/A</x:v>
      </x:c>
      <x:c r="AQ102" s="32" t="str">
        <x:v>값검증대기</x:v>
      </x:c>
      <x:c r="AR102" s="32" t="str">
        <x:v>TABLE_ONLY</x:v>
      </x:c>
      <x:c r="AS102" s="32" t="str">
        <x:v>HIGH</x:v>
      </x:c>
      <x:c r="AT102" s="33" t="str">
        <x:v>READY:CONSUMER_PRICE_INDEX; 잠긴 Codex 공통 골드에서 측정·검증 가능 판정, KOSIS MCP로 통계표명 재확인, 세부 항목·분류·실제값은 미확정.</x:v>
      </x:c>
      <x:c r="AU102" s="32" t="str">
        <x:v>https://kosis.kr/statHtml/statHtml.do?orgId=101&amp;tblId=DT_1J22041&amp;vw_cd=MT_ZTITLE</x:v>
      </x:c>
      <x:c r="AV102" s="32" t="n">
        <x:v>46239.31775462963</x:v>
      </x:c>
      <x:c r="AW102" s="32" t="str">
        <x:v>CODEX_COMMON_GOLD_V1+KOSIS_MCP_TABLE_INFO_200</x:v>
      </x:c>
      <x:c r="AX102" s="32" t="str">
        <x:v>N</x:v>
      </x:c>
    </x:row>
    <x:row r="103">
      <x:c r="A103" s="32" t="str">
        <x:v>A0041-CG0697</x:v>
      </x:c>
      <x:c r="B103" s="32" t="str">
        <x:v>A0041-CG0697-m1</x:v>
      </x:c>
      <x:c r="C103" s="32" t="str">
        <x:v>A0041</x:v>
      </x:c>
      <x:c r="D103" s="32" t="str">
        <x:v>치솟는 환율에 식품 물가도 급등</x:v>
      </x:c>
      <x:c r="E103" s="32" t="str">
        <x:v>2025-01-04</x:v>
      </x:c>
      <x:c r="F103" s="32" t="str">
        <x:v>https://www.chosun.com/economy/economy_general/2025/01/04/7SPGFC4RFZEDLDPFTQHVDM2K2E</x:v>
      </x:c>
      <x:c r="G103" s="33" t="str">
        <x:v>175개 품목의 평균 물가 상승폭은 3.9%로, 지난해 연간 소비자물가지수 상승폭(2.3%)을 뛰어넘었다.</x:v>
      </x:c>
      <x:c r="H103" s="32" t="str">
        <x:v>2.3%</x:v>
      </x:c>
      <x:c r="I103" s="32" t="str">
        <x:v>KOSIS_VALUE</x:v>
      </x:c>
      <x:c r="J103" s="32" t="str">
        <x:v>국내공식통계</x:v>
      </x:c>
      <x:c r="K103" s="32" t="str">
        <x:v>codex_common_codebook</x:v>
      </x:c>
      <x:c r="L103" s="32" t="str">
        <x:v>증감률</x:v>
      </x:c>
      <x:c r="M103" s="32" t="str">
        <x:v>지난해 연간 소비자물가지수 상승폭</x:v>
      </x:c>
      <x:c r="N103" s="32" t="str">
        <x:v>지난해 연간 소비자물가지수 상승폭</x:v>
      </x:c>
      <x:c r="O103" s="32" t="str">
        <x:v>2.3</x:v>
      </x:c>
      <x:c r="P103" s="32" t="str">
        <x:v>%</x:v>
      </x:c>
      <x:c r="Q103" s="32" t="str">
        <x:v>202401</x:v>
      </x:c>
      <x:c r="R103" s="32" t="str">
        <x:v>Y</x:v>
      </x:c>
      <x:c r="S103" s="32" t="str">
        <x:v>Y</x:v>
      </x:c>
      <x:c r="T103" s="32" t="str">
        <x:v>Y</x:v>
      </x:c>
      <x:c r="U103" s="32" t="str">
        <x:v>Y</x:v>
      </x:c>
      <x:c r="V103" s="32" t="str">
        <x:v>CODEBOOK_KOSIS</x:v>
      </x:c>
      <x:c r="W103" s="32" t="str">
        <x:v>101</x:v>
      </x:c>
      <x:c r="X103" s="32" t="str">
        <x:v>DT_1J22041</x:v>
      </x:c>
      <x:c r="Y103" s="32" t="str">
        <x:v>연도별 소비자물가 등락률</x:v>
      </x:c>
      <x:c r="Z103" s="32" t="str">
        <x:v>N/A</x:v>
      </x:c>
      <x:c r="AA103" s="32" t="str">
        <x:v>N/A</x:v>
      </x:c>
      <x:c r="AB103" s="32" t="str">
        <x:v>N/A</x:v>
      </x:c>
      <x:c r="AC103" s="32" t="str">
        <x:v>N/A</x:v>
      </x:c>
      <x:c r="AD103" s="32" t="str">
        <x:v>Y</x:v>
      </x:c>
      <x:c r="AE103" s="32" t="str">
        <x:v>202401</x:v>
      </x:c>
      <x:c r="AF103" s="32" t="str">
        <x:v>N/A</x:v>
      </x:c>
      <x:c r="AG103" s="32" t="str">
        <x:v>증감률</x:v>
      </x:c>
      <x:c r="AH103" s="32" t="str">
        <x:v>TABLE_SERIES_LABEL</x:v>
      </x:c>
      <x:c r="AI103" s="32" t="str">
        <x:v>N/A</x:v>
      </x:c>
      <x:c r="AJ103" s="32" t="str">
        <x:v>N/A</x:v>
      </x:c>
      <x:c r="AK103" s="32" t="str">
        <x:v>N/A</x:v>
      </x:c>
      <x:c r="AL103" s="32" t="str">
        <x:v>N/A</x:v>
      </x:c>
      <x:c r="AM103" s="32" t="str">
        <x:v>2.3</x:v>
      </x:c>
      <x:c r="AN103" s="32" t="str">
        <x:v>N/A</x:v>
      </x:c>
      <x:c r="AO103" s="32" t="str">
        <x:v>N/A</x:v>
      </x:c>
      <x:c r="AP103" s="32" t="str">
        <x:v>N/A</x:v>
      </x:c>
      <x:c r="AQ103" s="32" t="str">
        <x:v>값검증대기</x:v>
      </x:c>
      <x:c r="AR103" s="32" t="str">
        <x:v>TABLE_ONLY</x:v>
      </x:c>
      <x:c r="AS103" s="32" t="str">
        <x:v>HIGH</x:v>
      </x:c>
      <x:c r="AT103" s="33" t="str">
        <x:v>READY:CONSUMER_PRICE_INDEX; 잠긴 Codex 공통 골드에서 측정·검증 가능 판정, KOSIS MCP로 통계표명 재확인, 세부 항목·분류·실제값은 미확정.</x:v>
      </x:c>
      <x:c r="AU103" s="32" t="str">
        <x:v>https://kosis.kr/statHtml/statHtml.do?orgId=101&amp;tblId=DT_1J22041&amp;vw_cd=MT_ZTITLE</x:v>
      </x:c>
      <x:c r="AV103" s="32" t="n">
        <x:v>46239.31775462963</x:v>
      </x:c>
      <x:c r="AW103" s="32" t="str">
        <x:v>CODEX_COMMON_GOLD_V1+KOSIS_MCP_TABLE_INFO_200</x:v>
      </x:c>
      <x:c r="AX103" s="32" t="str">
        <x:v>N</x:v>
      </x:c>
    </x:row>
    <x:row r="104">
      <x:c r="A104" s="32" t="str">
        <x:v>A0046-SPD2EDAD8C3F</x:v>
      </x:c>
      <x:c r="B104" s="32" t="str">
        <x:v>A0046-SPD2EDAD8C3F-m2</x:v>
      </x:c>
      <x:c r="C104" s="32" t="str">
        <x:v>A0046</x:v>
      </x:c>
      <x:c r="D104" s="32" t="str">
        <x:v>[美친 증시]③ “작년 많이 오른 종목은 급등락 주의... 기술주는 대형보다 중·소형주”</x:v>
      </x:c>
      <x:c r="E104" s="32" t="str">
        <x:v>2025-01-04</x:v>
      </x:c>
      <x:c r="F104" s="32" t="str">
        <x:v>https://www.chosun.com/economy/money/2025/01/04/6FL3VK5OUYSQJ5NKPXMCKUPCHQ</x:v>
      </x:c>
      <x:c r="G104" s="33" t="str">
        <x:v>반면에 코스피지수와 코스닥지수는 연초보다 각각 9.9%, 21.7% 하락한 채 장을 마쳤다.</x:v>
      </x:c>
      <x:c r="H104" s="32" t="str">
        <x:v>21.7%</x:v>
      </x:c>
      <x:c r="I104" s="32" t="str">
        <x:v>KOSIS_VALUE</x:v>
      </x:c>
      <x:c r="J104" s="32" t="str">
        <x:v>국내공식통계</x:v>
      </x:c>
      <x:c r="K104" s="32" t="str">
        <x:v>hcx</x:v>
      </x:c>
      <x:c r="L104" s="32" t="str">
        <x:v>증감률</x:v>
      </x:c>
      <x:c r="M104" s="32" t="str">
        <x:v>코스닥지수 변동률</x:v>
      </x:c>
      <x:c r="N104" s="32" t="str">
        <x:v>-</x:v>
      </x:c>
      <x:c r="O104" s="32" t="str">
        <x:v>21.7</x:v>
      </x:c>
      <x:c r="P104" s="32" t="str">
        <x:v>%</x:v>
      </x:c>
      <x:c r="Q104" s="32" t="str">
        <x:v>2024</x:v>
      </x:c>
      <x:c r="R104" s="32" t="str">
        <x:v>Y</x:v>
      </x:c>
      <x:c r="S104" s="32" t="str">
        <x:v>Y</x:v>
      </x:c>
      <x:c r="T104" s="32" t="str">
        <x:v>Y</x:v>
      </x:c>
      <x:c r="U104" s="32" t="str">
        <x:v>Y</x:v>
      </x:c>
      <x:c r="V104" s="32" t="str">
        <x:v>FULL_KOSIS</x:v>
      </x:c>
      <x:c r="W104" s="32" t="str">
        <x:v>343</x:v>
      </x:c>
      <x:c r="X104" s="32" t="str">
        <x:v>DT_343_2010_S0065</x:v>
      </x:c>
      <x:c r="Y104" s="32" t="str">
        <x:v>코스닥 지수</x:v>
      </x:c>
      <x:c r="Z104" s="32" t="str">
        <x:v>13103792840T1</x:v>
      </x:c>
      <x:c r="AA104" s="32" t="str">
        <x:v>코스닥지수</x:v>
      </x:c>
      <x:c r="AB104" s="32" t="str">
        <x:v>13102792840A.02</x:v>
      </x:c>
      <x:c r="AC104" s="32" t="str">
        <x:v>연월말</x:v>
      </x:c>
      <x:c r="AD104" s="32" t="str">
        <x:v>Y</x:v>
      </x:c>
      <x:c r="AE104" s="32" t="str">
        <x:v>2024</x:v>
      </x:c>
      <x:c r="AF104" s="32" t="str">
        <x:v>2023</x:v>
      </x:c>
      <x:c r="AG104" s="32" t="str">
        <x:v>증감률</x:v>
      </x:c>
      <x:c r="AH104" s="32" t="str">
        <x:v>YOY_FROM_LEVEL</x:v>
      </x:c>
      <x:c r="AI104" s="32" t="str">
        <x:v>지수</x:v>
      </x:c>
      <x:c r="AJ104" s="32" t="str">
        <x:v>678.19</x:v>
      </x:c>
      <x:c r="AK104" s="32" t="str">
        <x:v>866.57</x:v>
      </x:c>
      <x:c r="AL104" s="32" t="str">
        <x:v>-21.738578533759533</x:v>
      </x:c>
      <x:c r="AM104" s="32" t="str">
        <x:v>-21.7</x:v>
      </x:c>
      <x:c r="AN104" s="32" t="str">
        <x:v>0.038578533759533684</x:v>
      </x:c>
      <x:c r="AO104" s="32" t="str">
        <x:v>0.17778126156467136</x:v>
      </x:c>
      <x:c r="AP104" s="32" t="str">
        <x:v>absolute_error&lt;=0.5%p</x:v>
      </x:c>
      <x:c r="AQ104" s="32" t="str">
        <x:v>일치</x:v>
      </x:c>
      <x:c r="AR104" s="32" t="str">
        <x:v>UNIQUE</x:v>
      </x:c>
      <x:c r="AS104" s="32" t="str">
        <x:v>HIGH</x:v>
      </x:c>
      <x:c r="AT104" s="33" t="str">
        <x:v>MCP 연말 코스닥지수의 2023→2024 증감률로 재계산</x:v>
      </x:c>
      <x:c r="AU104" s="32" t="str">
        <x:v>https://kosis.kr/statHtml/statHtml.do?orgId=343&amp;tblId=DT_343_2010_S0065&amp;vw_cd=MT_ZTITLE</x:v>
      </x:c>
      <x:c r="AV104" s="32" t="n">
        <x:v>46239</x:v>
      </x:c>
      <x:c r="AW104" s="32" t="str">
        <x:v>KOSIS_MCP_AUTO_V1</x:v>
      </x:c>
      <x:c r="AX104" s="32" t="str">
        <x:v>N</x:v>
      </x:c>
    </x:row>
    <x:row r="105">
      <x:c r="A105" s="32" t="str">
        <x:v>A0067-C010</x:v>
      </x:c>
      <x:c r="B105" s="32" t="str">
        <x:v>A0067-C010-m1</x:v>
      </x:c>
      <x:c r="C105" s="32" t="str">
        <x:v>A0067</x:v>
      </x:c>
      <x:c r="D105" s="32" t="str">
        <x:v>지난해 최고 인기 수입차는 테슬라 모델 Y...BMW 520, 벤츠 E200 뒤 이어</x:v>
      </x:c>
      <x:c r="E105" s="32" t="str">
        <x:v>2025-01-06</x:v>
      </x:c>
      <x:c r="F105" s="32" t="str">
        <x:v>https://www.chosun.com/economy/auto/2025/01/06/S27CLI355JFNZLDTKSS6EHCNPI</x:v>
      </x:c>
      <x:c r="G105" s="33" t="str">
        <x:v>연료별로는 하이브리드가 절반이 넘는 13만4426대(51.1%)를 기록한 가운데 가솔린(23.8%)과 전기(18.8%)가 다음 자리를 차지했다.</x:v>
      </x:c>
      <x:c r="H105" s="32" t="str">
        <x:v>13만4426대</x:v>
      </x:c>
      <x:c r="I105" s="32" t="str">
        <x:v>KOSIS_VALUE</x:v>
      </x:c>
      <x:c r="J105" s="32" t="str">
        <x:v>국내공식통계</x:v>
      </x:c>
      <x:c r="K105" s="32" t="str">
        <x:v>hcx</x:v>
      </x:c>
      <x:c r="L105" s="32" t="str">
        <x:v>현재값</x:v>
      </x:c>
      <x:c r="M105" s="32" t="str">
        <x:v>연료별 자동차 판매 대수</x:v>
      </x:c>
      <x:c r="N105" s="32" t="str">
        <x:v>하이브리드</x:v>
      </x:c>
      <x:c r="O105" s="32" t="str">
        <x:v>134426</x:v>
      </x:c>
      <x:c r="P105" s="32" t="str">
        <x:v>대</x:v>
      </x:c>
      <x:c r="Q105" s="32" t="str">
        <x:v>2024</x:v>
      </x:c>
      <x:c r="R105" s="32" t="str">
        <x:v>Y</x:v>
      </x:c>
      <x:c r="S105" s="32" t="str">
        <x:v>N</x:v>
      </x:c>
      <x:c r="T105" s="32" t="str">
        <x:v>Y</x:v>
      </x:c>
      <x:c r="U105" s="32" t="str">
        <x:v>N</x:v>
      </x:c>
      <x:c r="V105" s="32" t="str">
        <x:v>MCP_NOT_VERIFIABLE</x:v>
      </x:c>
      <x:c r="W105" s="32" t="str">
        <x:v>N/A</x:v>
      </x:c>
      <x:c r="X105" s="32" t="str">
        <x:v>N/A</x:v>
      </x:c>
      <x:c r="Y105" s="32" t="str">
        <x:v>N/A</x:v>
      </x:c>
      <x:c r="Z105" s="32" t="str">
        <x:v>N/A</x:v>
      </x:c>
      <x:c r="AA105" s="32" t="str">
        <x:v>N/A</x:v>
      </x:c>
      <x:c r="AB105" s="32" t="str">
        <x:v>N/A</x:v>
      </x:c>
      <x:c r="AC105" s="32" t="str">
        <x:v>N/A</x:v>
      </x:c>
      <x:c r="AD105" s="32" t="str">
        <x:v>N/A</x:v>
      </x:c>
      <x:c r="AE105" s="32" t="str">
        <x:v>N/A</x:v>
      </x:c>
      <x:c r="AF105" s="32" t="str">
        <x:v>N/A</x:v>
      </x:c>
      <x:c r="AG105" s="32" t="str">
        <x:v>N/A</x:v>
      </x:c>
      <x:c r="AH105" s="32" t="str">
        <x:v>N/A</x:v>
      </x:c>
      <x:c r="AI105" s="32" t="str">
        <x:v>N/A</x:v>
      </x:c>
      <x:c r="AJ105" s="32" t="str">
        <x:v>N/A</x:v>
      </x:c>
      <x:c r="AK105" s="32" t="str">
        <x:v>N/A</x:v>
      </x:c>
      <x:c r="AL105" s="32" t="str">
        <x:v>N/A</x:v>
      </x:c>
      <x:c r="AM105" s="32" t="str">
        <x:v>N/A</x:v>
      </x:c>
      <x:c r="AN105" s="32" t="str">
        <x:v>N/A</x:v>
      </x:c>
      <x:c r="AO105" s="32" t="str">
        <x:v>N/A</x:v>
      </x:c>
      <x:c r="AP105" s="32" t="str">
        <x:v>N/A</x:v>
      </x:c>
      <x:c r="AQ105" s="32" t="str">
        <x:v>판단불가</x:v>
      </x:c>
      <x:c r="AR105" s="32" t="str">
        <x:v>NOT_APPLICABLE</x:v>
      </x:c>
      <x:c r="AS105" s="32" t="str">
        <x:v>HIGH</x:v>
      </x:c>
      <x:c r="AT105" s="33" t="str">
        <x:v>기사는 수입차 판매 집계이고 KOSIS 자동차등록 통계와 모집단이 달라 직접 대조할 수 없음.</x:v>
      </x:c>
      <x:c r="AU105" s="32" t="str">
        <x:v>N/A</x:v>
      </x:c>
      <x:c r="AV105" s="32" t="n">
        <x:v>46239.28157407408</x:v>
      </x:c>
      <x:c r="AW105" s="32" t="str">
        <x:v>KOSIS_MCP_AUTO_V3</x:v>
      </x:c>
      <x:c r="AX105" s="32" t="str">
        <x:v>N</x:v>
      </x:c>
    </x:row>
    <x:row r="106">
      <x:c r="A106" s="32" t="str">
        <x:v>A0067-C010</x:v>
      </x:c>
      <x:c r="B106" s="32" t="str">
        <x:v>A0067-C010-m2</x:v>
      </x:c>
      <x:c r="C106" s="32" t="str">
        <x:v>A0067</x:v>
      </x:c>
      <x:c r="D106" s="32" t="str">
        <x:v>지난해 최고 인기 수입차는 테슬라 모델 Y...BMW 520, 벤츠 E200 뒤 이어</x:v>
      </x:c>
      <x:c r="E106" s="32" t="str">
        <x:v>2025-01-06</x:v>
      </x:c>
      <x:c r="F106" s="32" t="str">
        <x:v>https://www.chosun.com/economy/auto/2025/01/06/S27CLI355JFNZLDTKSS6EHCNPI</x:v>
      </x:c>
      <x:c r="G106" s="33" t="str">
        <x:v>연료별로는 하이브리드가 절반이 넘는 13만4426대(51.1%)를 기록한 가운데 가솔린(23.8%)과 전기(18.8%)가 다음 자리를 차지했다.</x:v>
      </x:c>
      <x:c r="H106" s="32" t="str">
        <x:v>51.10%</x:v>
      </x:c>
      <x:c r="I106" s="32" t="str">
        <x:v>KOSIS_VALUE</x:v>
      </x:c>
      <x:c r="J106" s="32" t="str">
        <x:v>국내공식통계</x:v>
      </x:c>
      <x:c r="K106" s="32" t="str">
        <x:v>hcx</x:v>
      </x:c>
      <x:c r="L106" s="32" t="str">
        <x:v>현재값</x:v>
      </x:c>
      <x:c r="M106" s="32" t="str">
        <x:v>연료별 자동차 판매 비중</x:v>
      </x:c>
      <x:c r="N106" s="32" t="str">
        <x:v>하이브리드</x:v>
      </x:c>
      <x:c r="O106" s="32" t="str">
        <x:v>51.1</x:v>
      </x:c>
      <x:c r="P106" s="32" t="str">
        <x:v>%</x:v>
      </x:c>
      <x:c r="Q106" s="32" t="str">
        <x:v>2024</x:v>
      </x:c>
      <x:c r="R106" s="32" t="str">
        <x:v>Y</x:v>
      </x:c>
      <x:c r="S106" s="32" t="str">
        <x:v>N</x:v>
      </x:c>
      <x:c r="T106" s="32" t="str">
        <x:v>Y</x:v>
      </x:c>
      <x:c r="U106" s="32" t="str">
        <x:v>N</x:v>
      </x:c>
      <x:c r="V106" s="32" t="str">
        <x:v>MCP_NOT_VERIFIABLE</x:v>
      </x:c>
      <x:c r="W106" s="32" t="str">
        <x:v>N/A</x:v>
      </x:c>
      <x:c r="X106" s="32" t="str">
        <x:v>N/A</x:v>
      </x:c>
      <x:c r="Y106" s="32" t="str">
        <x:v>N/A</x:v>
      </x:c>
      <x:c r="Z106" s="32" t="str">
        <x:v>N/A</x:v>
      </x:c>
      <x:c r="AA106" s="32" t="str">
        <x:v>N/A</x:v>
      </x:c>
      <x:c r="AB106" s="32" t="str">
        <x:v>N/A</x:v>
      </x:c>
      <x:c r="AC106" s="32" t="str">
        <x:v>N/A</x:v>
      </x:c>
      <x:c r="AD106" s="32" t="str">
        <x:v>N/A</x:v>
      </x:c>
      <x:c r="AE106" s="32" t="str">
        <x:v>N/A</x:v>
      </x:c>
      <x:c r="AF106" s="32" t="str">
        <x:v>N/A</x:v>
      </x:c>
      <x:c r="AG106" s="32" t="str">
        <x:v>N/A</x:v>
      </x:c>
      <x:c r="AH106" s="32" t="str">
        <x:v>N/A</x:v>
      </x:c>
      <x:c r="AI106" s="32" t="str">
        <x:v>N/A</x:v>
      </x:c>
      <x:c r="AJ106" s="32" t="str">
        <x:v>N/A</x:v>
      </x:c>
      <x:c r="AK106" s="32" t="str">
        <x:v>N/A</x:v>
      </x:c>
      <x:c r="AL106" s="32" t="str">
        <x:v>N/A</x:v>
      </x:c>
      <x:c r="AM106" s="32" t="str">
        <x:v>N/A</x:v>
      </x:c>
      <x:c r="AN106" s="32" t="str">
        <x:v>N/A</x:v>
      </x:c>
      <x:c r="AO106" s="32" t="str">
        <x:v>N/A</x:v>
      </x:c>
      <x:c r="AP106" s="32" t="str">
        <x:v>N/A</x:v>
      </x:c>
      <x:c r="AQ106" s="32" t="str">
        <x:v>판단불가</x:v>
      </x:c>
      <x:c r="AR106" s="32" t="str">
        <x:v>NOT_APPLICABLE</x:v>
      </x:c>
      <x:c r="AS106" s="32" t="str">
        <x:v>HIGH</x:v>
      </x:c>
      <x:c r="AT106" s="33" t="str">
        <x:v>기사는 수입차 판매 비중이고 KOSIS 자동차등록 통계와 모집단이 달라 직접 대조할 수 없음.</x:v>
      </x:c>
      <x:c r="AU106" s="32" t="str">
        <x:v>N/A</x:v>
      </x:c>
      <x:c r="AV106" s="32" t="n">
        <x:v>46239.28157407408</x:v>
      </x:c>
      <x:c r="AW106" s="32" t="str">
        <x:v>KOSIS_MCP_AUTO_V3</x:v>
      </x:c>
      <x:c r="AX106" s="32" t="str">
        <x:v>N</x:v>
      </x:c>
    </x:row>
    <x:row r="107">
      <x:c r="A107" s="32" t="str">
        <x:v>A0067-C010</x:v>
      </x:c>
      <x:c r="B107" s="32" t="str">
        <x:v>A0067-C010-m3</x:v>
      </x:c>
      <x:c r="C107" s="32" t="str">
        <x:v>A0067</x:v>
      </x:c>
      <x:c r="D107" s="32" t="str">
        <x:v>지난해 최고 인기 수입차는 테슬라 모델 Y...BMW 520, 벤츠 E200 뒤 이어</x:v>
      </x:c>
      <x:c r="E107" s="32" t="str">
        <x:v>2025-01-06</x:v>
      </x:c>
      <x:c r="F107" s="32" t="str">
        <x:v>https://www.chosun.com/economy/auto/2025/01/06/S27CLI355JFNZLDTKSS6EHCNPI</x:v>
      </x:c>
      <x:c r="G107" s="33" t="str">
        <x:v>연료별로는 하이브리드가 절반이 넘는 13만4426대(51.1%)를 기록한 가운데 가솔린(23.8%)과 전기(18.8%)가 다음 자리를 차지했다.</x:v>
      </x:c>
      <x:c r="H107" s="32" t="str">
        <x:v>23.80%</x:v>
      </x:c>
      <x:c r="I107" s="32" t="str">
        <x:v>KOSIS_VALUE</x:v>
      </x:c>
      <x:c r="J107" s="32" t="str">
        <x:v>국내공식통계</x:v>
      </x:c>
      <x:c r="K107" s="32" t="str">
        <x:v>hcx</x:v>
      </x:c>
      <x:c r="L107" s="32" t="str">
        <x:v>현재값</x:v>
      </x:c>
      <x:c r="M107" s="32" t="str">
        <x:v>연료별 자동차 판매 비중</x:v>
      </x:c>
      <x:c r="N107" s="32" t="str">
        <x:v>가솔린</x:v>
      </x:c>
      <x:c r="O107" s="32" t="str">
        <x:v>23.8</x:v>
      </x:c>
      <x:c r="P107" s="32" t="str">
        <x:v>%</x:v>
      </x:c>
      <x:c r="Q107" s="32" t="str">
        <x:v>2024</x:v>
      </x:c>
      <x:c r="R107" s="32" t="str">
        <x:v>Y</x:v>
      </x:c>
      <x:c r="S107" s="32" t="str">
        <x:v>N</x:v>
      </x:c>
      <x:c r="T107" s="32" t="str">
        <x:v>Y</x:v>
      </x:c>
      <x:c r="U107" s="32" t="str">
        <x:v>N</x:v>
      </x:c>
      <x:c r="V107" s="32" t="str">
        <x:v>MCP_NOT_VERIFIABLE</x:v>
      </x:c>
      <x:c r="W107" s="32" t="str">
        <x:v>N/A</x:v>
      </x:c>
      <x:c r="X107" s="32" t="str">
        <x:v>N/A</x:v>
      </x:c>
      <x:c r="Y107" s="32" t="str">
        <x:v>N/A</x:v>
      </x:c>
      <x:c r="Z107" s="32" t="str">
        <x:v>N/A</x:v>
      </x:c>
      <x:c r="AA107" s="32" t="str">
        <x:v>N/A</x:v>
      </x:c>
      <x:c r="AB107" s="32" t="str">
        <x:v>N/A</x:v>
      </x:c>
      <x:c r="AC107" s="32" t="str">
        <x:v>N/A</x:v>
      </x:c>
      <x:c r="AD107" s="32" t="str">
        <x:v>N/A</x:v>
      </x:c>
      <x:c r="AE107" s="32" t="str">
        <x:v>N/A</x:v>
      </x:c>
      <x:c r="AF107" s="32" t="str">
        <x:v>N/A</x:v>
      </x:c>
      <x:c r="AG107" s="32" t="str">
        <x:v>N/A</x:v>
      </x:c>
      <x:c r="AH107" s="32" t="str">
        <x:v>N/A</x:v>
      </x:c>
      <x:c r="AI107" s="32" t="str">
        <x:v>N/A</x:v>
      </x:c>
      <x:c r="AJ107" s="32" t="str">
        <x:v>N/A</x:v>
      </x:c>
      <x:c r="AK107" s="32" t="str">
        <x:v>N/A</x:v>
      </x:c>
      <x:c r="AL107" s="32" t="str">
        <x:v>N/A</x:v>
      </x:c>
      <x:c r="AM107" s="32" t="str">
        <x:v>N/A</x:v>
      </x:c>
      <x:c r="AN107" s="32" t="str">
        <x:v>N/A</x:v>
      </x:c>
      <x:c r="AO107" s="32" t="str">
        <x:v>N/A</x:v>
      </x:c>
      <x:c r="AP107" s="32" t="str">
        <x:v>N/A</x:v>
      </x:c>
      <x:c r="AQ107" s="32" t="str">
        <x:v>판단불가</x:v>
      </x:c>
      <x:c r="AR107" s="32" t="str">
        <x:v>NOT_APPLICABLE</x:v>
      </x:c>
      <x:c r="AS107" s="32" t="str">
        <x:v>HIGH</x:v>
      </x:c>
      <x:c r="AT107" s="33" t="str">
        <x:v>기사는 수입차 판매 비중이고 KOSIS 자동차등록 통계와 모집단이 달라 직접 대조할 수 없음.</x:v>
      </x:c>
      <x:c r="AU107" s="32" t="str">
        <x:v>N/A</x:v>
      </x:c>
      <x:c r="AV107" s="32" t="n">
        <x:v>46239.28157407408</x:v>
      </x:c>
      <x:c r="AW107" s="32" t="str">
        <x:v>KOSIS_MCP_AUTO_V3</x:v>
      </x:c>
      <x:c r="AX107" s="32" t="str">
        <x:v>N</x:v>
      </x:c>
    </x:row>
    <x:row r="108">
      <x:c r="A108" s="32" t="str">
        <x:v>A0067-C010</x:v>
      </x:c>
      <x:c r="B108" s="32" t="str">
        <x:v>A0067-C010-m4</x:v>
      </x:c>
      <x:c r="C108" s="32" t="str">
        <x:v>A0067</x:v>
      </x:c>
      <x:c r="D108" s="32" t="str">
        <x:v>지난해 최고 인기 수입차는 테슬라 모델 Y...BMW 520, 벤츠 E200 뒤 이어</x:v>
      </x:c>
      <x:c r="E108" s="32" t="str">
        <x:v>2025-01-06</x:v>
      </x:c>
      <x:c r="F108" s="32" t="str">
        <x:v>https://www.chosun.com/economy/auto/2025/01/06/S27CLI355JFNZLDTKSS6EHCNPI</x:v>
      </x:c>
      <x:c r="G108" s="33" t="str">
        <x:v>연료별로는 하이브리드가 절반이 넘는 13만4426대(51.1%)를 기록한 가운데 가솔린(23.8%)과 전기(18.8%)가 다음 자리를 차지했다.</x:v>
      </x:c>
      <x:c r="H108" s="32" t="str">
        <x:v>18.80%</x:v>
      </x:c>
      <x:c r="I108" s="32" t="str">
        <x:v>KOSIS_VALUE</x:v>
      </x:c>
      <x:c r="J108" s="32" t="str">
        <x:v>국내공식통계</x:v>
      </x:c>
      <x:c r="K108" s="32" t="str">
        <x:v>hcx</x:v>
      </x:c>
      <x:c r="L108" s="32" t="str">
        <x:v>현재값</x:v>
      </x:c>
      <x:c r="M108" s="32" t="str">
        <x:v>연료별 자동차 판매 비중</x:v>
      </x:c>
      <x:c r="N108" s="32" t="str">
        <x:v>전기</x:v>
      </x:c>
      <x:c r="O108" s="32" t="str">
        <x:v>18.8</x:v>
      </x:c>
      <x:c r="P108" s="32" t="str">
        <x:v>%</x:v>
      </x:c>
      <x:c r="Q108" s="32" t="str">
        <x:v>2024</x:v>
      </x:c>
      <x:c r="R108" s="32" t="str">
        <x:v>Y</x:v>
      </x:c>
      <x:c r="S108" s="32" t="str">
        <x:v>N</x:v>
      </x:c>
      <x:c r="T108" s="32" t="str">
        <x:v>Y</x:v>
      </x:c>
      <x:c r="U108" s="32" t="str">
        <x:v>N</x:v>
      </x:c>
      <x:c r="V108" s="32" t="str">
        <x:v>MCP_NOT_VERIFIABLE</x:v>
      </x:c>
      <x:c r="W108" s="32" t="str">
        <x:v>N/A</x:v>
      </x:c>
      <x:c r="X108" s="32" t="str">
        <x:v>N/A</x:v>
      </x:c>
      <x:c r="Y108" s="32" t="str">
        <x:v>N/A</x:v>
      </x:c>
      <x:c r="Z108" s="32" t="str">
        <x:v>N/A</x:v>
      </x:c>
      <x:c r="AA108" s="32" t="str">
        <x:v>N/A</x:v>
      </x:c>
      <x:c r="AB108" s="32" t="str">
        <x:v>N/A</x:v>
      </x:c>
      <x:c r="AC108" s="32" t="str">
        <x:v>N/A</x:v>
      </x:c>
      <x:c r="AD108" s="32" t="str">
        <x:v>N/A</x:v>
      </x:c>
      <x:c r="AE108" s="32" t="str">
        <x:v>N/A</x:v>
      </x:c>
      <x:c r="AF108" s="32" t="str">
        <x:v>N/A</x:v>
      </x:c>
      <x:c r="AG108" s="32" t="str">
        <x:v>N/A</x:v>
      </x:c>
      <x:c r="AH108" s="32" t="str">
        <x:v>N/A</x:v>
      </x:c>
      <x:c r="AI108" s="32" t="str">
        <x:v>N/A</x:v>
      </x:c>
      <x:c r="AJ108" s="32" t="str">
        <x:v>N/A</x:v>
      </x:c>
      <x:c r="AK108" s="32" t="str">
        <x:v>N/A</x:v>
      </x:c>
      <x:c r="AL108" s="32" t="str">
        <x:v>N/A</x:v>
      </x:c>
      <x:c r="AM108" s="32" t="str">
        <x:v>N/A</x:v>
      </x:c>
      <x:c r="AN108" s="32" t="str">
        <x:v>N/A</x:v>
      </x:c>
      <x:c r="AO108" s="32" t="str">
        <x:v>N/A</x:v>
      </x:c>
      <x:c r="AP108" s="32" t="str">
        <x:v>N/A</x:v>
      </x:c>
      <x:c r="AQ108" s="32" t="str">
        <x:v>판단불가</x:v>
      </x:c>
      <x:c r="AR108" s="32" t="str">
        <x:v>NOT_APPLICABLE</x:v>
      </x:c>
      <x:c r="AS108" s="32" t="str">
        <x:v>HIGH</x:v>
      </x:c>
      <x:c r="AT108" s="33" t="str">
        <x:v>기사는 수입차 판매 비중이고 KOSIS 자동차등록 통계와 모집단이 달라 직접 대조할 수 없음.</x:v>
      </x:c>
      <x:c r="AU108" s="32" t="str">
        <x:v>N/A</x:v>
      </x:c>
      <x:c r="AV108" s="32" t="n">
        <x:v>46239.28157407408</x:v>
      </x:c>
      <x:c r="AW108" s="32" t="str">
        <x:v>KOSIS_MCP_AUTO_V3</x:v>
      </x:c>
      <x:c r="AX108" s="32" t="str">
        <x:v>N</x:v>
      </x:c>
    </x:row>
    <x:row r="109">
      <x:c r="A109" s="32" t="str">
        <x:v>A0070-C004</x:v>
      </x:c>
      <x:c r="B109" s="32" t="str">
        <x:v>A0070-C004-m1</x:v>
      </x:c>
      <x:c r="C109" s="32" t="str">
        <x:v>A0070</x:v>
      </x:c>
      <x:c r="D109" s="32" t="str">
        <x:v>대중-대미 수출 격차 21년 만 최소...트럼프 2기 미국 수출 1위 올라서나</x:v>
      </x:c>
      <x:c r="E109" s="32" t="str">
        <x:v>2025-01-06</x:v>
      </x:c>
      <x:c r="F109" s="32" t="str">
        <x:v>https://www.chosun.com/economy/economy_general/2025/01/06/BXDMXSYJWZDNDOGA5VONBDMCWY</x:v>
      </x:c>
      <x:c r="G109" s="33" t="str">
        <x:v>6일 한국무역협회에 따르면, 지난해 대중 수출액은 1330억2600만달러로 전년 대비 6.6% 늘었다.</x:v>
      </x:c>
      <x:c r="H109" s="32" t="str">
        <x:v>1330억2600만달러</x:v>
      </x:c>
      <x:c r="I109" s="32" t="str">
        <x:v>KOSIS_VALUE</x:v>
      </x:c>
      <x:c r="J109" s="32" t="str">
        <x:v>국내공식통계</x:v>
      </x:c>
      <x:c r="K109" s="32" t="str">
        <x:v>hcx</x:v>
      </x:c>
      <x:c r="L109" s="32" t="str">
        <x:v>현재값</x:v>
      </x:c>
      <x:c r="M109" s="32" t="str">
        <x:v>대중 수출액</x:v>
      </x:c>
      <x:c r="N109" s="32" t="str">
        <x:v>-</x:v>
      </x:c>
      <x:c r="O109" s="32" t="str">
        <x:v>1.33026E+11</x:v>
      </x:c>
      <x:c r="P109" s="32" t="str">
        <x:v>달러</x:v>
      </x:c>
      <x:c r="Q109" s="32" t="str">
        <x:v>2024</x:v>
      </x:c>
      <x:c r="R109" s="32" t="str">
        <x:v>Y</x:v>
      </x:c>
      <x:c r="S109" s="32" t="str">
        <x:v>Y</x:v>
      </x:c>
      <x:c r="T109" s="32" t="str">
        <x:v>Y</x:v>
      </x:c>
      <x:c r="U109" s="32" t="str">
        <x:v>Y</x:v>
      </x:c>
      <x:c r="V109" s="32" t="str">
        <x:v>FULL_KOSIS</x:v>
      </x:c>
      <x:c r="W109" s="32" t="str">
        <x:v>360</x:v>
      </x:c>
      <x:c r="X109" s="32" t="str">
        <x:v>DT_1R11006_FRM101</x:v>
      </x:c>
      <x:c r="Y109" s="32" t="str">
        <x:v>국가별 수출입</x:v>
      </x:c>
      <x:c r="Z109" s="32" t="str">
        <x:v>13103103829T1</x:v>
      </x:c>
      <x:c r="AA109" s="32" t="str">
        <x:v>수출금액</x:v>
      </x:c>
      <x:c r="AB109" s="32" t="str">
        <x:v>13102103829E.CN</x:v>
      </x:c>
      <x:c r="AC109" s="32" t="str">
        <x:v>중국</x:v>
      </x:c>
      <x:c r="AD109" s="32" t="str">
        <x:v>Y</x:v>
      </x:c>
      <x:c r="AE109" s="32" t="str">
        <x:v>2024</x:v>
      </x:c>
      <x:c r="AF109" s="32" t="str">
        <x:v>N/A</x:v>
      </x:c>
      <x:c r="AG109" s="32" t="str">
        <x:v>수준값</x:v>
      </x:c>
      <x:c r="AH109" s="32" t="str">
        <x:v>DIRECT</x:v>
      </x:c>
      <x:c r="AI109" s="32" t="str">
        <x:v>천달러</x:v>
      </x:c>
      <x:c r="AJ109" s="32" t="str">
        <x:v>133011386</x:v>
      </x:c>
      <x:c r="AK109" s="32" t="str">
        <x:v>N/A</x:v>
      </x:c>
      <x:c r="AL109" s="32" t="str">
        <x:v>133011386000</x:v>
      </x:c>
      <x:c r="AM109" s="32" t="str">
        <x:v>133026000000</x:v>
      </x:c>
      <x:c r="AN109" s="32" t="str">
        <x:v>14614000</x:v>
      </x:c>
      <x:c r="AO109" s="32" t="str">
        <x:v>0.010985822320448634</x:v>
      </x:c>
      <x:c r="AP109" s="32" t="str">
        <x:v>relative_error&lt;=0.5%</x:v>
      </x:c>
      <x:c r="AQ109" s="32" t="str">
        <x:v>일치</x:v>
      </x:c>
      <x:c r="AR109" s="32" t="str">
        <x:v>UNIQUE</x:v>
      </x:c>
      <x:c r="AS109" s="32" t="str">
        <x:v>HIGH</x:v>
      </x:c>
      <x:c r="AT109" s="33" t="str">
        <x:v>중국 국가코드의 2024년 수출금액을 천달러에서 달러로 환산함.</x:v>
      </x:c>
      <x:c r="AU109" s="32" t="str">
        <x:v>https://kosis.kr/statHtml/statHtml.do?orgId=360&amp;tblId=DT_1R11006_FRM101&amp;vw_cd=MT_ZTITLE</x:v>
      </x:c>
      <x:c r="AV109" s="32" t="n">
        <x:v>46239.28157407408</x:v>
      </x:c>
      <x:c r="AW109" s="32" t="str">
        <x:v>KOSIS_MCP_AUTO_V3</x:v>
      </x:c>
      <x:c r="AX109" s="32" t="str">
        <x:v>N</x:v>
      </x:c>
    </x:row>
    <x:row r="110">
      <x:c r="A110" s="32" t="str">
        <x:v>A0070-C004</x:v>
      </x:c>
      <x:c r="B110" s="32" t="str">
        <x:v>A0070-C004-m2</x:v>
      </x:c>
      <x:c r="C110" s="32" t="str">
        <x:v>A0070</x:v>
      </x:c>
      <x:c r="D110" s="32" t="str">
        <x:v>대중-대미 수출 격차 21년 만 최소...트럼프 2기 미국 수출 1위 올라서나</x:v>
      </x:c>
      <x:c r="E110" s="32" t="str">
        <x:v>2025-01-06</x:v>
      </x:c>
      <x:c r="F110" s="32" t="str">
        <x:v>https://www.chosun.com/economy/economy_general/2025/01/06/BXDMXSYJWZDNDOGA5VONBDMCWY</x:v>
      </x:c>
      <x:c r="G110" s="33" t="str">
        <x:v>6일 한국무역협회에 따르면, 지난해 대중 수출액은 1330억2600만달러로 전년 대비 6.6% 늘었다.</x:v>
      </x:c>
      <x:c r="H110" s="32" t="str">
        <x:v>6.60%</x:v>
      </x:c>
      <x:c r="I110" s="32" t="str">
        <x:v>KOSIS_VALUE</x:v>
      </x:c>
      <x:c r="J110" s="32" t="str">
        <x:v>국내공식통계</x:v>
      </x:c>
      <x:c r="K110" s="32" t="str">
        <x:v>hcx</x:v>
      </x:c>
      <x:c r="L110" s="32" t="str">
        <x:v>증감률</x:v>
      </x:c>
      <x:c r="M110" s="32" t="str">
        <x:v>대중 수출액 증감률</x:v>
      </x:c>
      <x:c r="N110" s="32" t="str">
        <x:v>-</x:v>
      </x:c>
      <x:c r="O110" s="32" t="str">
        <x:v>6.6</x:v>
      </x:c>
      <x:c r="P110" s="32" t="str">
        <x:v>%</x:v>
      </x:c>
      <x:c r="Q110" s="32" t="str">
        <x:v>2024</x:v>
      </x:c>
      <x:c r="R110" s="32" t="str">
        <x:v>Y</x:v>
      </x:c>
      <x:c r="S110" s="32" t="str">
        <x:v>Y</x:v>
      </x:c>
      <x:c r="T110" s="32" t="str">
        <x:v>Y</x:v>
      </x:c>
      <x:c r="U110" s="32" t="str">
        <x:v>Y</x:v>
      </x:c>
      <x:c r="V110" s="32" t="str">
        <x:v>FULL_KOSIS</x:v>
      </x:c>
      <x:c r="W110" s="32" t="str">
        <x:v>360</x:v>
      </x:c>
      <x:c r="X110" s="32" t="str">
        <x:v>DT_1R11006_FRM101</x:v>
      </x:c>
      <x:c r="Y110" s="32" t="str">
        <x:v>국가별 수출입</x:v>
      </x:c>
      <x:c r="Z110" s="32" t="str">
        <x:v>13103103829T1</x:v>
      </x:c>
      <x:c r="AA110" s="32" t="str">
        <x:v>수출금액</x:v>
      </x:c>
      <x:c r="AB110" s="32" t="str">
        <x:v>13102103829E.CN</x:v>
      </x:c>
      <x:c r="AC110" s="32" t="str">
        <x:v>중국</x:v>
      </x:c>
      <x:c r="AD110" s="32" t="str">
        <x:v>Y</x:v>
      </x:c>
      <x:c r="AE110" s="32" t="str">
        <x:v>2024</x:v>
      </x:c>
      <x:c r="AF110" s="32" t="str">
        <x:v>2023</x:v>
      </x:c>
      <x:c r="AG110" s="32" t="str">
        <x:v>증감률</x:v>
      </x:c>
      <x:c r="AH110" s="32" t="str">
        <x:v>YOY_FROM_LEVEL</x:v>
      </x:c>
      <x:c r="AI110" s="32" t="str">
        <x:v>천달러</x:v>
      </x:c>
      <x:c r="AJ110" s="32" t="str">
        <x:v>133011386</x:v>
      </x:c>
      <x:c r="AK110" s="32" t="str">
        <x:v>124817682</x:v>
      </x:c>
      <x:c r="AL110" s="32" t="str">
        <x:v>6.564537867319142</x:v>
      </x:c>
      <x:c r="AM110" s="32" t="str">
        <x:v>6.6</x:v>
      </x:c>
      <x:c r="AN110" s="32" t="str">
        <x:v>0.035462132680857295</x:v>
      </x:c>
      <x:c r="AO110" s="32" t="str">
        <x:v>0.5373050406190499</x:v>
      </x:c>
      <x:c r="AP110" s="32" t="str">
        <x:v>absolute_error&lt;=0.5%p</x:v>
      </x:c>
      <x:c r="AQ110" s="32" t="str">
        <x:v>일치</x:v>
      </x:c>
      <x:c r="AR110" s="32" t="str">
        <x:v>UNIQUE</x:v>
      </x:c>
      <x:c r="AS110" s="32" t="str">
        <x:v>HIGH</x:v>
      </x:c>
      <x:c r="AT110" s="33" t="str">
        <x:v>중국 수출금액의 2023년 대비 2024년 증감률을 계산함.</x:v>
      </x:c>
      <x:c r="AU110" s="32" t="str">
        <x:v>https://kosis.kr/statHtml/statHtml.do?orgId=360&amp;tblId=DT_1R11006_FRM101&amp;vw_cd=MT_ZTITLE</x:v>
      </x:c>
      <x:c r="AV110" s="32" t="n">
        <x:v>46239.28157407408</x:v>
      </x:c>
      <x:c r="AW110" s="32" t="str">
        <x:v>KOSIS_MCP_AUTO_V3</x:v>
      </x:c>
      <x:c r="AX110" s="32" t="str">
        <x:v>N</x:v>
      </x:c>
    </x:row>
    <x:row r="111">
      <x:c r="A111" s="32" t="str">
        <x:v>A0096-C003</x:v>
      </x:c>
      <x:c r="B111" s="32" t="str">
        <x:v>A0096-C003-m2</x:v>
      </x:c>
      <x:c r="C111" s="32" t="str">
        <x:v>A0096</x:v>
      </x:c>
      <x:c r="D111" s="32" t="str">
        <x:v>작년 3분기 가계 여유자금, 전분기 대비 3.5조원 줄어</x:v>
      </x:c>
      <x:c r="E111" s="32" t="str">
        <x:v>2025-01-08</x:v>
      </x:c>
      <x:c r="F111" s="32" t="str">
        <x:v>https://www.chosun.com/economy/economy_general/2025/01/08/7BSTYTMU2FBLNCLOUTBUKTCYQY</x:v>
      </x:c>
      <x:c r="G111" s="33" t="str">
        <x:v>이는 직전 분기의 41조2000억원보다 3조5000억원가량 줄어든 것이다.</x:v>
      </x:c>
      <x:c r="H111" s="32" t="str">
        <x:v>3조5000억원가량</x:v>
      </x:c>
      <x:c r="I111" s="32" t="str">
        <x:v>KOSIS_VALUE</x:v>
      </x:c>
      <x:c r="J111" s="32" t="str">
        <x:v>국내공식통계</x:v>
      </x:c>
      <x:c r="K111" s="32" t="str">
        <x:v>hcx</x:v>
      </x:c>
      <x:c r="L111" s="32" t="str">
        <x:v>증감값</x:v>
      </x:c>
      <x:c r="M111" s="32" t="str">
        <x:v>순자금 운용액 감소폭</x:v>
      </x:c>
      <x:c r="N111" s="32" t="str">
        <x:v>-</x:v>
      </x:c>
      <x:c r="O111" s="32" t="str">
        <x:v>3.5E+12</x:v>
      </x:c>
      <x:c r="P111" s="32" t="str">
        <x:v>원</x:v>
      </x:c>
      <x:c r="Q111" s="32" t="str">
        <x:v>2024Q3</x:v>
      </x:c>
      <x:c r="R111" s="32" t="str">
        <x:v>Q</x:v>
      </x:c>
      <x:c r="S111" s="32" t="str">
        <x:v>N</x:v>
      </x:c>
      <x:c r="T111" s="32" t="str">
        <x:v>Y</x:v>
      </x:c>
      <x:c r="U111" s="32" t="str">
        <x:v>N</x:v>
      </x:c>
      <x:c r="V111" s="32" t="str">
        <x:v>MCP_NOT_VERIFIABLE</x:v>
      </x:c>
      <x:c r="W111" s="32" t="str">
        <x:v>N/A</x:v>
      </x:c>
      <x:c r="X111" s="32" t="str">
        <x:v>N/A</x:v>
      </x:c>
      <x:c r="Y111" s="32" t="str">
        <x:v>N/A</x:v>
      </x:c>
      <x:c r="Z111" s="32" t="str">
        <x:v>N/A</x:v>
      </x:c>
      <x:c r="AA111" s="32" t="str">
        <x:v>N/A</x:v>
      </x:c>
      <x:c r="AB111" s="32" t="str">
        <x:v>N/A</x:v>
      </x:c>
      <x:c r="AC111" s="32" t="str">
        <x:v>N/A</x:v>
      </x:c>
      <x:c r="AD111" s="32" t="str">
        <x:v>N/A</x:v>
      </x:c>
      <x:c r="AE111" s="32" t="str">
        <x:v>N/A</x:v>
      </x:c>
      <x:c r="AF111" s="32" t="str">
        <x:v>N/A</x:v>
      </x:c>
      <x:c r="AG111" s="32" t="str">
        <x:v>N/A</x:v>
      </x:c>
      <x:c r="AH111" s="32" t="str">
        <x:v>N/A</x:v>
      </x:c>
      <x:c r="AI111" s="32" t="str">
        <x:v>N/A</x:v>
      </x:c>
      <x:c r="AJ111" s="32" t="str">
        <x:v>N/A</x:v>
      </x:c>
      <x:c r="AK111" s="32" t="str">
        <x:v>N/A</x:v>
      </x:c>
      <x:c r="AL111" s="32" t="str">
        <x:v>N/A</x:v>
      </x:c>
      <x:c r="AM111" s="32" t="str">
        <x:v>N/A</x:v>
      </x:c>
      <x:c r="AN111" s="32" t="str">
        <x:v>N/A</x:v>
      </x:c>
      <x:c r="AO111" s="32" t="str">
        <x:v>N/A</x:v>
      </x:c>
      <x:c r="AP111" s="32" t="str">
        <x:v>N/A</x:v>
      </x:c>
      <x:c r="AQ111" s="32" t="str">
        <x:v>판단불가</x:v>
      </x:c>
      <x:c r="AR111" s="32" t="str">
        <x:v>NOT_APPLICABLE</x:v>
      </x:c>
      <x:c r="AS111" s="32" t="str">
        <x:v>HIGH</x:v>
      </x:c>
      <x:c r="AT111" s="33" t="str">
        <x:v>순자금 운용액의 직전 분기 차이는 기사 내 파생값으로 동일 정의의 직접 KOSIS 좌표를 확정하지 못함.</x:v>
      </x:c>
      <x:c r="AU111" s="32" t="str">
        <x:v>N/A</x:v>
      </x:c>
      <x:c r="AV111" s="32" t="n">
        <x:v>46239.28157407408</x:v>
      </x:c>
      <x:c r="AW111" s="32" t="str">
        <x:v>KOSIS_MCP_AUTO_V3</x:v>
      </x:c>
      <x:c r="AX111" s="32" t="str">
        <x:v>N</x:v>
      </x:c>
    </x:row>
    <x:row r="112">
      <x:c r="A112" s="32" t="str">
        <x:v>A0250-C027</x:v>
      </x:c>
      <x:c r="B112" s="32" t="str">
        <x:v>A0250-C027-m1</x:v>
      </x:c>
      <x:c r="C112" s="32" t="str">
        <x:v>A0250</x:v>
      </x:c>
      <x:c r="D112" s="32" t="str">
        <x:v>현대차, 인도에 사활… 현지인 단짝 ‘삼발이’ 뽑아낸다</x:v>
      </x:c>
      <x:c r="E112" s="32" t="str">
        <x:v>2025-01-20</x:v>
      </x:c>
      <x:c r="F112" s="32" t="str">
        <x:v>https://www.chosun.com/economy/auto/2025/01/20/LDRDYAENK5AGNDHCKVG5QV2OZY</x:v>
      </x:c>
      <x:c r="G112" s="33" t="str">
        <x:v>작년 1~9월 현대차 인도 판매량(45만9000여대)의 3분의 1이 크레타였다.</x:v>
      </x:c>
      <x:c r="H112" s="32" t="str">
        <x:v>45만9000여대</x:v>
      </x:c>
      <x:c r="I112" s="32" t="str">
        <x:v>KOSIS_VALUE</x:v>
      </x:c>
      <x:c r="J112" s="32" t="str">
        <x:v>국내공식통계</x:v>
      </x:c>
      <x:c r="K112" s="32" t="str">
        <x:v>hcx</x:v>
      </x:c>
      <x:c r="L112" s="32" t="str">
        <x:v>현재값</x:v>
      </x:c>
      <x:c r="M112" s="32" t="str">
        <x:v>현대차 인도 판매량</x:v>
      </x:c>
      <x:c r="N112" s="32" t="str">
        <x:v>크레타</x:v>
      </x:c>
      <x:c r="O112" s="32" t="str">
        <x:v>459000</x:v>
      </x:c>
      <x:c r="P112" s="32" t="str">
        <x:v>대</x:v>
      </x:c>
      <x:c r="Q112" s="32" t="str">
        <x:v>2024</x:v>
      </x:c>
      <x:c r="R112" s="32" t="str">
        <x:v>Y</x:v>
      </x:c>
      <x:c r="S112" s="32" t="str">
        <x:v>N</x:v>
      </x:c>
      <x:c r="T112" s="32" t="str">
        <x:v>Y</x:v>
      </x:c>
      <x:c r="U112" s="32" t="str">
        <x:v>N</x:v>
      </x:c>
      <x:c r="V112" s="32" t="str">
        <x:v>MCP_NOT_VERIFIABLE</x:v>
      </x:c>
      <x:c r="W112" s="32" t="str">
        <x:v>N/A</x:v>
      </x:c>
      <x:c r="X112" s="32" t="str">
        <x:v>N/A</x:v>
      </x:c>
      <x:c r="Y112" s="32" t="str">
        <x:v>N/A</x:v>
      </x:c>
      <x:c r="Z112" s="32" t="str">
        <x:v>N/A</x:v>
      </x:c>
      <x:c r="AA112" s="32" t="str">
        <x:v>N/A</x:v>
      </x:c>
      <x:c r="AB112" s="32" t="str">
        <x:v>N/A</x:v>
      </x:c>
      <x:c r="AC112" s="32" t="str">
        <x:v>N/A</x:v>
      </x:c>
      <x:c r="AD112" s="32" t="str">
        <x:v>N/A</x:v>
      </x:c>
      <x:c r="AE112" s="32" t="str">
        <x:v>N/A</x:v>
      </x:c>
      <x:c r="AF112" s="32" t="str">
        <x:v>N/A</x:v>
      </x:c>
      <x:c r="AG112" s="32" t="str">
        <x:v>N/A</x:v>
      </x:c>
      <x:c r="AH112" s="32" t="str">
        <x:v>N/A</x:v>
      </x:c>
      <x:c r="AI112" s="32" t="str">
        <x:v>N/A</x:v>
      </x:c>
      <x:c r="AJ112" s="32" t="str">
        <x:v>N/A</x:v>
      </x:c>
      <x:c r="AK112" s="32" t="str">
        <x:v>N/A</x:v>
      </x:c>
      <x:c r="AL112" s="32" t="str">
        <x:v>N/A</x:v>
      </x:c>
      <x:c r="AM112" s="32" t="str">
        <x:v>N/A</x:v>
      </x:c>
      <x:c r="AN112" s="32" t="str">
        <x:v>N/A</x:v>
      </x:c>
      <x:c r="AO112" s="32" t="str">
        <x:v>N/A</x:v>
      </x:c>
      <x:c r="AP112" s="32" t="str">
        <x:v>N/A</x:v>
      </x:c>
      <x:c r="AQ112" s="32" t="str">
        <x:v>판단불가</x:v>
      </x:c>
      <x:c r="AR112" s="32" t="str">
        <x:v>NOT_APPLICABLE</x:v>
      </x:c>
      <x:c r="AS112" s="32" t="str">
        <x:v>MEDIUM</x:v>
      </x:c>
      <x:c r="AT112" s="33" t="str">
        <x:v>기존 자동 범위 판정에서 KOSIS 직접 검증 대상이 아닌 것으로 분류됨.</x:v>
      </x:c>
      <x:c r="AU112" s="32" t="str">
        <x:v>N/A</x:v>
      </x:c>
      <x:c r="AV112" s="32" t="n">
        <x:v>46239.28157407408</x:v>
      </x:c>
      <x:c r="AW112" s="32" t="str">
        <x:v>KOSIS_MCP_AUTO_V3</x:v>
      </x:c>
      <x:c r="AX112" s="32" t="str">
        <x:v>N</x:v>
      </x:c>
    </x:row>
    <x:row r="113">
      <x:c r="A113" s="32" t="str">
        <x:v>A0290-C015</x:v>
      </x:c>
      <x:c r="B113" s="32" t="str">
        <x:v>A0290-C015-m1</x:v>
      </x:c>
      <x:c r="C113" s="32" t="str">
        <x:v>A0290</x:v>
      </x:c>
      <x:c r="D113" s="32" t="str">
        <x:v>“한국, 20년간 10대 수출품목 그대로… 끓는 냄비 속 개구리”</x:v>
      </x:c>
      <x:c r="E113" s="32" t="str">
        <x:v>2025-01-23</x:v>
      </x:c>
      <x:c r="F113" s="32" t="str">
        <x:v>https://www.chosun.com/economy/economy_general/2025/01/23/53AOV7MK3BAPZG4STEVXENK644</x:v>
      </x:c>
      <x:c r="G113" s="33" t="str">
        <x:v>지난 2005년과 작년, 한국의 10대 수출 품목을 비교하면 컴퓨터가 제외되고, 가전제품이 새로 진입한 것 외에는 아무 변화가 없었다.</x:v>
      </x:c>
      <x:c r="H113" s="32" t="str">
        <x:v>10대</x:v>
      </x:c>
      <x:c r="I113" s="32" t="str">
        <x:v>KOSIS_VALUE</x:v>
      </x:c>
      <x:c r="J113" s="32" t="str">
        <x:v>국내공식통계</x:v>
      </x:c>
      <x:c r="K113" s="32" t="str">
        <x:v>hcx</x:v>
      </x:c>
      <x:c r="L113" s="32" t="str">
        <x:v>현재값</x:v>
      </x:c>
      <x:c r="M113" s="32" t="str">
        <x:v>수출 품목 수</x:v>
      </x:c>
      <x:c r="N113" s="32" t="str">
        <x:v>-</x:v>
      </x:c>
      <x:c r="O113" s="32" t="str">
        <x:v>10</x:v>
      </x:c>
      <x:c r="P113" s="32" t="str">
        <x:v>대</x:v>
      </x:c>
      <x:c r="Q113" s="32" t="str">
        <x:v>2005</x:v>
      </x:c>
      <x:c r="R113" s="32" t="str">
        <x:v>Y</x:v>
      </x:c>
      <x:c r="S113" s="32" t="str">
        <x:v>N</x:v>
      </x:c>
      <x:c r="T113" s="32" t="str">
        <x:v>N</x:v>
      </x:c>
      <x:c r="U113" s="32" t="str">
        <x:v>N</x:v>
      </x:c>
      <x:c r="V113" s="32" t="str">
        <x:v>MEASUREMENT_ERROR</x:v>
      </x:c>
      <x:c r="W113" s="32" t="str">
        <x:v>N/A</x:v>
      </x:c>
      <x:c r="X113" s="32" t="str">
        <x:v>N/A</x:v>
      </x:c>
      <x:c r="Y113" s="32" t="str">
        <x:v>N/A</x:v>
      </x:c>
      <x:c r="Z113" s="32" t="str">
        <x:v>N/A</x:v>
      </x:c>
      <x:c r="AA113" s="32" t="str">
        <x:v>N/A</x:v>
      </x:c>
      <x:c r="AB113" s="32" t="str">
        <x:v>N/A</x:v>
      </x:c>
      <x:c r="AC113" s="32" t="str">
        <x:v>N/A</x:v>
      </x:c>
      <x:c r="AD113" s="32" t="str">
        <x:v>N/A</x:v>
      </x:c>
      <x:c r="AE113" s="32" t="str">
        <x:v>N/A</x:v>
      </x:c>
      <x:c r="AF113" s="32" t="str">
        <x:v>N/A</x:v>
      </x:c>
      <x:c r="AG113" s="32" t="str">
        <x:v>N/A</x:v>
      </x:c>
      <x:c r="AH113" s="32" t="str">
        <x:v>N/A</x:v>
      </x:c>
      <x:c r="AI113" s="32" t="str">
        <x:v>N/A</x:v>
      </x:c>
      <x:c r="AJ113" s="32" t="str">
        <x:v>N/A</x:v>
      </x:c>
      <x:c r="AK113" s="32" t="str">
        <x:v>N/A</x:v>
      </x:c>
      <x:c r="AL113" s="32" t="str">
        <x:v>N/A</x:v>
      </x:c>
      <x:c r="AM113" s="32" t="str">
        <x:v>N/A</x:v>
      </x:c>
      <x:c r="AN113" s="32" t="str">
        <x:v>N/A</x:v>
      </x:c>
      <x:c r="AO113" s="32" t="str">
        <x:v>N/A</x:v>
      </x:c>
      <x:c r="AP113" s="32" t="str">
        <x:v>N/A</x:v>
      </x:c>
      <x:c r="AQ113" s="32" t="str">
        <x:v>판단불가</x:v>
      </x:c>
      <x:c r="AR113" s="32" t="str">
        <x:v>NOT_APPLICABLE</x:v>
      </x:c>
      <x:c r="AS113" s="32" t="str">
        <x:v>MEDIUM</x:v>
      </x:c>
      <x:c r="AT113" s="33" t="str">
        <x:v>기존 자동 측정 규칙에서 측정값 추출 오류로 분류되어 KOSIS 골드 좌표를 부여하지 않음.</x:v>
      </x:c>
      <x:c r="AU113" s="32" t="str">
        <x:v>N/A</x:v>
      </x:c>
      <x:c r="AV113" s="32" t="n">
        <x:v>46239.28157407408</x:v>
      </x:c>
      <x:c r="AW113" s="32" t="str">
        <x:v>KOSIS_MCP_AUTO_V3</x:v>
      </x:c>
      <x:c r="AX113" s="32" t="str">
        <x:v>N</x:v>
      </x:c>
    </x:row>
    <x:row r="114">
      <x:c r="A114" s="32" t="str">
        <x:v>A0307-C011</x:v>
      </x:c>
      <x:c r="B114" s="32" t="str">
        <x:v>A0307-C011-m1</x:v>
      </x:c>
      <x:c r="C114" s="32" t="str">
        <x:v>A0307</x:v>
      </x:c>
      <x:c r="D114" s="32" t="str">
        <x:v>국민 1인당 쌀 소비량 40년 연속 줄어들어</x:v>
      </x:c>
      <x:c r="E114" s="32" t="str">
        <x:v>2025-01-24</x:v>
      </x:c>
      <x:c r="F114" s="32" t="str">
        <x:v>https://www.chosun.com/economy/economy_general/2025/01/24/QQUF6ZVISNG2HNXOKEHMHZYW2U</x:v>
      </x:c>
      <x:c r="G114" s="33" t="str">
        <x:v>쌀과 기타양곡을 합친 전체 양곡의 1인당 소비량은 작년 0.3%(0.2kg) 감소했다.</x:v>
      </x:c>
      <x:c r="H114" s="32" t="str">
        <x:v>작년 0.3%(0.2kg) 감소했다.</x:v>
      </x:c>
      <x:c r="I114" s="32" t="str">
        <x:v>KOSIS_VALUE</x:v>
      </x:c>
      <x:c r="J114" s="32" t="str">
        <x:v>국내공식통계</x:v>
      </x:c>
      <x:c r="K114" s="32" t="str">
        <x:v>hcx</x:v>
      </x:c>
      <x:c r="L114" s="32" t="str">
        <x:v>증감률</x:v>
      </x:c>
      <x:c r="M114" s="32" t="str">
        <x:v>쌀과 기타양곡을 합친 전체 양곡의 1인당 소비량</x:v>
      </x:c>
      <x:c r="N114" s="32" t="str">
        <x:v>-</x:v>
      </x:c>
      <x:c r="O114" s="32" t="str">
        <x:v>0.3</x:v>
      </x:c>
      <x:c r="P114" s="32" t="str">
        <x:v>%</x:v>
      </x:c>
      <x:c r="Q114" s="32" t="str">
        <x:v>2024</x:v>
      </x:c>
      <x:c r="R114" s="32" t="str">
        <x:v>Y</x:v>
      </x:c>
      <x:c r="S114" s="32" t="str">
        <x:v>Y</x:v>
      </x:c>
      <x:c r="T114" s="32" t="str">
        <x:v>Y</x:v>
      </x:c>
      <x:c r="U114" s="32" t="str">
        <x:v>Y</x:v>
      </x:c>
      <x:c r="V114" s="32" t="str">
        <x:v>FULL_KOSIS</x:v>
      </x:c>
      <x:c r="W114" s="32" t="str">
        <x:v>101</x:v>
      </x:c>
      <x:c r="X114" s="32" t="str">
        <x:v>DT_1ED0001</x:v>
      </x:c>
      <x:c r="Y114" s="32" t="str">
        <x:v>1인당 연간 양곡소비량</x:v>
      </x:c>
      <x:c r="Z114" s="32" t="str">
        <x:v>T10</x:v>
      </x:c>
      <x:c r="AA114" s="32" t="str">
        <x:v>전가구</x:v>
      </x:c>
      <x:c r="AB114" s="32" t="str">
        <x:v>00; objL2=00</x:v>
      </x:c>
      <x:c r="AC114" s="32" t="str">
        <x:v>양곡계; 계</x:v>
      </x:c>
      <x:c r="AD114" s="32" t="str">
        <x:v>Y</x:v>
      </x:c>
      <x:c r="AE114" s="32" t="str">
        <x:v>2024</x:v>
      </x:c>
      <x:c r="AF114" s="32" t="str">
        <x:v>2023</x:v>
      </x:c>
      <x:c r="AG114" s="32" t="str">
        <x:v>증감률</x:v>
      </x:c>
      <x:c r="AH114" s="32" t="str">
        <x:v>YOY_FROM_LEVEL</x:v>
      </x:c>
      <x:c r="AI114" s="32" t="str">
        <x:v>kg</x:v>
      </x:c>
      <x:c r="AJ114" s="32" t="str">
        <x:v>64.4</x:v>
      </x:c>
      <x:c r="AK114" s="32" t="str">
        <x:v>64.6</x:v>
      </x:c>
      <x:c r="AL114" s="32" t="str">
        <x:v>-0.3095975232197956</x:v>
      </x:c>
      <x:c r="AM114" s="32" t="str">
        <x:v>-0.3</x:v>
      </x:c>
      <x:c r="AN114" s="32" t="str">
        <x:v>0.009597523219795623</x:v>
      </x:c>
      <x:c r="AO114" s="32" t="str">
        <x:v>3.1991744065985412</x:v>
      </x:c>
      <x:c r="AP114" s="32" t="str">
        <x:v>absolute_error&lt;=0.5%p</x:v>
      </x:c>
      <x:c r="AQ114" s="32" t="str">
        <x:v>일치</x:v>
      </x:c>
      <x:c r="AR114" s="32" t="str">
        <x:v>UNIQUE</x:v>
      </x:c>
      <x:c r="AS114" s="32" t="str">
        <x:v>HIGH</x:v>
      </x:c>
      <x:c r="AT114" s="33" t="str">
        <x:v>전체 양곡 1인당 소비량의 2023년 대비 2024년 증감률을 계산함.</x:v>
      </x:c>
      <x:c r="AU114" s="32" t="str">
        <x:v>https://kosis.kr/statHtml/statHtml.do?orgId=101&amp;tblId=DT_1ED0001&amp;vw_cd=MT_ZTITLE</x:v>
      </x:c>
      <x:c r="AV114" s="32" t="n">
        <x:v>46239.28157407408</x:v>
      </x:c>
      <x:c r="AW114" s="32" t="str">
        <x:v>KOSIS_MCP_AUTO_V3</x:v>
      </x:c>
      <x:c r="AX114" s="32" t="str">
        <x:v>N</x:v>
      </x:c>
    </x:row>
    <x:row r="115">
      <x:c r="A115" s="32" t="str">
        <x:v>A0321-C002</x:v>
      </x:c>
      <x:c r="B115" s="32" t="str">
        <x:v>A0321-C002-m2</x:v>
      </x:c>
      <x:c r="C115" s="32" t="str">
        <x:v>A0321</x:v>
      </x:c>
      <x:c r="D115" s="32" t="str">
        <x:v>“예적금 금리 또 떨어졌어?”… 남아 있는 ‘3% 예금·5% 적금’ 상품은</x:v>
      </x:c>
      <x:c r="E115" s="32" t="str">
        <x:v>2025-01-25</x:v>
      </x:c>
      <x:c r="F115" s="32" t="str">
        <x:v>https://www.chosun.com/economy/money/2025/01/25/7CFNMGHHWTXJHHOKXZSTNPMWQA</x:v>
      </x:c>
      <x:c r="G115" s="33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115" s="32" t="str">
        <x:v>5%</x:v>
      </x:c>
      <x:c r="I115" s="32" t="str">
        <x:v>KOSIS_VALUE</x:v>
      </x:c>
      <x:c r="J115" s="32" t="str">
        <x:v>국내공식통계</x:v>
      </x:c>
      <x:c r="K115" s="32" t="str">
        <x:v>hcx</x:v>
      </x:c>
      <x:c r="L115" s="32" t="str">
        <x:v>현재값</x:v>
      </x:c>
      <x:c r="M115" s="32" t="str">
        <x:v>적금 금리</x:v>
      </x:c>
      <x:c r="N115" s="32" t="str">
        <x:v>-</x:v>
      </x:c>
      <x:c r="O115" s="32" t="str">
        <x:v>5</x:v>
      </x:c>
      <x:c r="P115" s="32" t="str">
        <x:v>%</x:v>
      </x:c>
      <x:c r="Q115" s="32" t="str">
        <x:v>202501</x:v>
      </x:c>
      <x:c r="R115" s="32" t="str">
        <x:v>M</x:v>
      </x:c>
      <x:c r="S115" s="32" t="str">
        <x:v>N</x:v>
      </x:c>
      <x:c r="T115" s="32" t="str">
        <x:v>Y</x:v>
      </x:c>
      <x:c r="U115" s="32" t="str">
        <x:v>N</x:v>
      </x:c>
      <x:c r="V115" s="32" t="str">
        <x:v>MCP_NOT_VERIFIABLE</x:v>
      </x:c>
      <x:c r="W115" s="32" t="str">
        <x:v>N/A</x:v>
      </x:c>
      <x:c r="X115" s="32" t="str">
        <x:v>N/A</x:v>
      </x:c>
      <x:c r="Y115" s="32" t="str">
        <x:v>N/A</x:v>
      </x:c>
      <x:c r="Z115" s="32" t="str">
        <x:v>N/A</x:v>
      </x:c>
      <x:c r="AA115" s="32" t="str">
        <x:v>N/A</x:v>
      </x:c>
      <x:c r="AB115" s="32" t="str">
        <x:v>N/A</x:v>
      </x:c>
      <x:c r="AC115" s="32" t="str">
        <x:v>N/A</x:v>
      </x:c>
      <x:c r="AD115" s="32" t="str">
        <x:v>N/A</x:v>
      </x:c>
      <x:c r="AE115" s="32" t="str">
        <x:v>N/A</x:v>
      </x:c>
      <x:c r="AF115" s="32" t="str">
        <x:v>N/A</x:v>
      </x:c>
      <x:c r="AG115" s="32" t="str">
        <x:v>N/A</x:v>
      </x:c>
      <x:c r="AH115" s="32" t="str">
        <x:v>N/A</x:v>
      </x:c>
      <x:c r="AI115" s="32" t="str">
        <x:v>N/A</x:v>
      </x:c>
      <x:c r="AJ115" s="32" t="str">
        <x:v>N/A</x:v>
      </x:c>
      <x:c r="AK115" s="32" t="str">
        <x:v>N/A</x:v>
      </x:c>
      <x:c r="AL115" s="32" t="str">
        <x:v>N/A</x:v>
      </x:c>
      <x:c r="AM115" s="32" t="str">
        <x:v>N/A</x:v>
      </x:c>
      <x:c r="AN115" s="32" t="str">
        <x:v>N/A</x:v>
      </x:c>
      <x:c r="AO115" s="32" t="str">
        <x:v>N/A</x:v>
      </x:c>
      <x:c r="AP115" s="32" t="str">
        <x:v>N/A</x:v>
      </x:c>
      <x:c r="AQ115" s="32" t="str">
        <x:v>판단불가</x:v>
      </x:c>
      <x:c r="AR115" s="32" t="str">
        <x:v>NOT_APPLICABLE</x:v>
      </x:c>
      <x:c r="AS115" s="32" t="str">
        <x:v>MEDIUM</x:v>
      </x:c>
      <x:c r="AT115" s="33" t="str">
        <x:v>기존 자동 범위 판정에서 KOSIS 직접 검증 대상이 아닌 것으로 분류됨.</x:v>
      </x:c>
      <x:c r="AU115" s="32" t="str">
        <x:v>N/A</x:v>
      </x:c>
      <x:c r="AV115" s="32" t="n">
        <x:v>46239.28157407408</x:v>
      </x:c>
      <x:c r="AW115" s="32" t="str">
        <x:v>KOSIS_MCP_AUTO_V3</x:v>
      </x:c>
      <x:c r="AX115" s="32" t="str">
        <x:v>N</x:v>
      </x:c>
    </x:row>
    <x:row r="116">
      <x:c r="A116" s="32" t="str">
        <x:v>A0321-C002</x:v>
      </x:c>
      <x:c r="B116" s="32" t="str">
        <x:v>A0321-C002-m3</x:v>
      </x:c>
      <x:c r="C116" s="32" t="str">
        <x:v>A0321</x:v>
      </x:c>
      <x:c r="D116" s="32" t="str">
        <x:v>“예적금 금리 또 떨어졌어?”… 남아 있는 ‘3% 예금·5% 적금’ 상품은</x:v>
      </x:c>
      <x:c r="E116" s="32" t="str">
        <x:v>2025-01-25</x:v>
      </x:c>
      <x:c r="F116" s="32" t="str">
        <x:v>https://www.chosun.com/economy/money/2025/01/25/7CFNMGHHWTXJHHOKXZSTNPMWQA</x:v>
      </x:c>
      <x:c r="G116" s="33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116" s="32" t="str">
        <x:v>19개</x:v>
      </x:c>
      <x:c r="I116" s="32" t="str">
        <x:v>KOSIS_VALUE</x:v>
      </x:c>
      <x:c r="J116" s="32" t="str">
        <x:v>국내공식통계</x:v>
      </x:c>
      <x:c r="K116" s="32" t="str">
        <x:v>hcx</x:v>
      </x:c>
      <x:c r="L116" s="32" t="str">
        <x:v>현재값</x:v>
      </x:c>
      <x:c r="M116" s="32" t="str">
        <x:v>은행 수</x:v>
      </x:c>
      <x:c r="N116" s="32" t="str">
        <x:v>-</x:v>
      </x:c>
      <x:c r="O116" s="32" t="str">
        <x:v>19</x:v>
      </x:c>
      <x:c r="P116" s="32" t="str">
        <x:v>개</x:v>
      </x:c>
      <x:c r="Q116" s="32" t="str">
        <x:v>202501</x:v>
      </x:c>
      <x:c r="R116" s="32" t="str">
        <x:v>M</x:v>
      </x:c>
      <x:c r="S116" s="32" t="str">
        <x:v>N</x:v>
      </x:c>
      <x:c r="T116" s="32" t="str">
        <x:v>Y</x:v>
      </x:c>
      <x:c r="U116" s="32" t="str">
        <x:v>N</x:v>
      </x:c>
      <x:c r="V116" s="32" t="str">
        <x:v>MCP_NOT_VERIFIABLE</x:v>
      </x:c>
      <x:c r="W116" s="32" t="str">
        <x:v>N/A</x:v>
      </x:c>
      <x:c r="X116" s="32" t="str">
        <x:v>N/A</x:v>
      </x:c>
      <x:c r="Y116" s="32" t="str">
        <x:v>N/A</x:v>
      </x:c>
      <x:c r="Z116" s="32" t="str">
        <x:v>N/A</x:v>
      </x:c>
      <x:c r="AA116" s="32" t="str">
        <x:v>N/A</x:v>
      </x:c>
      <x:c r="AB116" s="32" t="str">
        <x:v>N/A</x:v>
      </x:c>
      <x:c r="AC116" s="32" t="str">
        <x:v>N/A</x:v>
      </x:c>
      <x:c r="AD116" s="32" t="str">
        <x:v>N/A</x:v>
      </x:c>
      <x:c r="AE116" s="32" t="str">
        <x:v>N/A</x:v>
      </x:c>
      <x:c r="AF116" s="32" t="str">
        <x:v>N/A</x:v>
      </x:c>
      <x:c r="AG116" s="32" t="str">
        <x:v>N/A</x:v>
      </x:c>
      <x:c r="AH116" s="32" t="str">
        <x:v>N/A</x:v>
      </x:c>
      <x:c r="AI116" s="32" t="str">
        <x:v>N/A</x:v>
      </x:c>
      <x:c r="AJ116" s="32" t="str">
        <x:v>N/A</x:v>
      </x:c>
      <x:c r="AK116" s="32" t="str">
        <x:v>N/A</x:v>
      </x:c>
      <x:c r="AL116" s="32" t="str">
        <x:v>N/A</x:v>
      </x:c>
      <x:c r="AM116" s="32" t="str">
        <x:v>N/A</x:v>
      </x:c>
      <x:c r="AN116" s="32" t="str">
        <x:v>N/A</x:v>
      </x:c>
      <x:c r="AO116" s="32" t="str">
        <x:v>N/A</x:v>
      </x:c>
      <x:c r="AP116" s="32" t="str">
        <x:v>N/A</x:v>
      </x:c>
      <x:c r="AQ116" s="32" t="str">
        <x:v>판단불가</x:v>
      </x:c>
      <x:c r="AR116" s="32" t="str">
        <x:v>NOT_APPLICABLE</x:v>
      </x:c>
      <x:c r="AS116" s="32" t="str">
        <x:v>MEDIUM</x:v>
      </x:c>
      <x:c r="AT116" s="33" t="str">
        <x:v>기존 자동 범위 판정에서 KOSIS 직접 검증 대상이 아닌 것으로 분류됨.</x:v>
      </x:c>
      <x:c r="AU116" s="32" t="str">
        <x:v>N/A</x:v>
      </x:c>
      <x:c r="AV116" s="32" t="n">
        <x:v>46239.28157407408</x:v>
      </x:c>
      <x:c r="AW116" s="32" t="str">
        <x:v>KOSIS_MCP_AUTO_V3</x:v>
      </x:c>
      <x:c r="AX116" s="32" t="str">
        <x:v>N</x:v>
      </x:c>
    </x:row>
    <x:row r="117">
      <x:c r="A117" s="32" t="str">
        <x:v>A0321-C002</x:v>
      </x:c>
      <x:c r="B117" s="32" t="str">
        <x:v>A0321-C002-m4</x:v>
      </x:c>
      <x:c r="C117" s="32" t="str">
        <x:v>A0321</x:v>
      </x:c>
      <x:c r="D117" s="32" t="str">
        <x:v>“예적금 금리 또 떨어졌어?”… 남아 있는 ‘3% 예금·5% 적금’ 상품은</x:v>
      </x:c>
      <x:c r="E117" s="32" t="str">
        <x:v>2025-01-25</x:v>
      </x:c>
      <x:c r="F117" s="32" t="str">
        <x:v>https://www.chosun.com/economy/money/2025/01/25/7CFNMGHHWTXJHHOKXZSTNPMWQA</x:v>
      </x:c>
      <x:c r="G117" s="33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117" s="32" t="str">
        <x:v>5개</x:v>
      </x:c>
      <x:c r="I117" s="32" t="str">
        <x:v>KOSIS_VALUE</x:v>
      </x:c>
      <x:c r="J117" s="32" t="str">
        <x:v>국내공식통계</x:v>
      </x:c>
      <x:c r="K117" s="32" t="str">
        <x:v>hcx</x:v>
      </x:c>
      <x:c r="L117" s="32" t="str">
        <x:v>현재값</x:v>
      </x:c>
      <x:c r="M117" s="32" t="str">
        <x:v>금리 3% 초과 은행 수</x:v>
      </x:c>
      <x:c r="N117" s="32" t="str">
        <x:v>-</x:v>
      </x:c>
      <x:c r="O117" s="32" t="str">
        <x:v>5</x:v>
      </x:c>
      <x:c r="P117" s="32" t="str">
        <x:v>개</x:v>
      </x:c>
      <x:c r="Q117" s="32" t="str">
        <x:v>202501</x:v>
      </x:c>
      <x:c r="R117" s="32" t="str">
        <x:v>M</x:v>
      </x:c>
      <x:c r="S117" s="32" t="str">
        <x:v>N</x:v>
      </x:c>
      <x:c r="T117" s="32" t="str">
        <x:v>Y</x:v>
      </x:c>
      <x:c r="U117" s="32" t="str">
        <x:v>N</x:v>
      </x:c>
      <x:c r="V117" s="32" t="str">
        <x:v>MCP_NOT_VERIFIABLE</x:v>
      </x:c>
      <x:c r="W117" s="32" t="str">
        <x:v>N/A</x:v>
      </x:c>
      <x:c r="X117" s="32" t="str">
        <x:v>N/A</x:v>
      </x:c>
      <x:c r="Y117" s="32" t="str">
        <x:v>N/A</x:v>
      </x:c>
      <x:c r="Z117" s="32" t="str">
        <x:v>N/A</x:v>
      </x:c>
      <x:c r="AA117" s="32" t="str">
        <x:v>N/A</x:v>
      </x:c>
      <x:c r="AB117" s="32" t="str">
        <x:v>N/A</x:v>
      </x:c>
      <x:c r="AC117" s="32" t="str">
        <x:v>N/A</x:v>
      </x:c>
      <x:c r="AD117" s="32" t="str">
        <x:v>N/A</x:v>
      </x:c>
      <x:c r="AE117" s="32" t="str">
        <x:v>N/A</x:v>
      </x:c>
      <x:c r="AF117" s="32" t="str">
        <x:v>N/A</x:v>
      </x:c>
      <x:c r="AG117" s="32" t="str">
        <x:v>N/A</x:v>
      </x:c>
      <x:c r="AH117" s="32" t="str">
        <x:v>N/A</x:v>
      </x:c>
      <x:c r="AI117" s="32" t="str">
        <x:v>N/A</x:v>
      </x:c>
      <x:c r="AJ117" s="32" t="str">
        <x:v>N/A</x:v>
      </x:c>
      <x:c r="AK117" s="32" t="str">
        <x:v>N/A</x:v>
      </x:c>
      <x:c r="AL117" s="32" t="str">
        <x:v>N/A</x:v>
      </x:c>
      <x:c r="AM117" s="32" t="str">
        <x:v>N/A</x:v>
      </x:c>
      <x:c r="AN117" s="32" t="str">
        <x:v>N/A</x:v>
      </x:c>
      <x:c r="AO117" s="32" t="str">
        <x:v>N/A</x:v>
      </x:c>
      <x:c r="AP117" s="32" t="str">
        <x:v>N/A</x:v>
      </x:c>
      <x:c r="AQ117" s="32" t="str">
        <x:v>판단불가</x:v>
      </x:c>
      <x:c r="AR117" s="32" t="str">
        <x:v>NOT_APPLICABLE</x:v>
      </x:c>
      <x:c r="AS117" s="32" t="str">
        <x:v>MEDIUM</x:v>
      </x:c>
      <x:c r="AT117" s="33" t="str">
        <x:v>기존 자동 범위 판정에서 KOSIS 직접 검증 대상이 아닌 것으로 분류됨.</x:v>
      </x:c>
      <x:c r="AU117" s="32" t="str">
        <x:v>N/A</x:v>
      </x:c>
      <x:c r="AV117" s="32" t="n">
        <x:v>46239.28157407408</x:v>
      </x:c>
      <x:c r="AW117" s="32" t="str">
        <x:v>KOSIS_MCP_AUTO_V3</x:v>
      </x:c>
      <x:c r="AX117" s="32" t="str">
        <x:v>N</x:v>
      </x:c>
    </x:row>
    <x:row r="118">
      <x:c r="A118" s="32" t="str">
        <x:v>A0333-C003</x:v>
      </x:c>
      <x:c r="B118" s="32" t="str">
        <x:v>A0333-C003-m1</x:v>
      </x:c>
      <x:c r="C118" s="32" t="str">
        <x:v>A0333</x:v>
      </x:c>
      <x:c r="D118" s="32" t="str">
        <x:v>“하루도 안 빼고 1조6000억원 순매수” 연기금 연초 코스피 상승 주도</x:v>
      </x:c>
      <x:c r="E118" s="32" t="str">
        <x:v>2025-01-26</x:v>
      </x:c>
      <x:c r="F118" s="32" t="str">
        <x:v>https://www.chosun.com/economy/money/2025/01/26/3T4L54DT3BXJZWJIQZTNOI736M</x:v>
      </x:c>
      <x:c r="G118" s="33" t="str">
        <x:v>16:03 0 연기금이 올 1월 유가증권시장에서 1조6000억원어치를 순매수하며 코스피지수 상승을 이끈 것으로 나타났다.</x:v>
      </x:c>
      <x:c r="H118" s="32" t="str">
        <x:v>1조6000억원</x:v>
      </x:c>
      <x:c r="I118" s="32" t="str">
        <x:v>KOSIS_VALUE</x:v>
      </x:c>
      <x:c r="J118" s="32" t="str">
        <x:v>국내공식통계</x:v>
      </x:c>
      <x:c r="K118" s="32" t="str">
        <x:v>hcx</x:v>
      </x:c>
      <x:c r="L118" s="32" t="str">
        <x:v>현재값</x:v>
      </x:c>
      <x:c r="M118" s="32" t="str">
        <x:v>순매수액</x:v>
      </x:c>
      <x:c r="N118" s="32" t="str">
        <x:v>-</x:v>
      </x:c>
      <x:c r="O118" s="32" t="str">
        <x:v>1.6E+12</x:v>
      </x:c>
      <x:c r="P118" s="32" t="str">
        <x:v>원</x:v>
      </x:c>
      <x:c r="Q118" s="32" t="str">
        <x:v>202501</x:v>
      </x:c>
      <x:c r="R118" s="32" t="str">
        <x:v>M</x:v>
      </x:c>
      <x:c r="S118" s="32" t="str">
        <x:v>N</x:v>
      </x:c>
      <x:c r="T118" s="32" t="str">
        <x:v>Y</x:v>
      </x:c>
      <x:c r="U118" s="32" t="str">
        <x:v>N</x:v>
      </x:c>
      <x:c r="V118" s="32" t="str">
        <x:v>MCP_NOT_VERIFIABLE</x:v>
      </x:c>
      <x:c r="W118" s="32" t="str">
        <x:v>N/A</x:v>
      </x:c>
      <x:c r="X118" s="32" t="str">
        <x:v>N/A</x:v>
      </x:c>
      <x:c r="Y118" s="32" t="str">
        <x:v>N/A</x:v>
      </x:c>
      <x:c r="Z118" s="32" t="str">
        <x:v>N/A</x:v>
      </x:c>
      <x:c r="AA118" s="32" t="str">
        <x:v>N/A</x:v>
      </x:c>
      <x:c r="AB118" s="32" t="str">
        <x:v>N/A</x:v>
      </x:c>
      <x:c r="AC118" s="32" t="str">
        <x:v>N/A</x:v>
      </x:c>
      <x:c r="AD118" s="32" t="str">
        <x:v>N/A</x:v>
      </x:c>
      <x:c r="AE118" s="32" t="str">
        <x:v>N/A</x:v>
      </x:c>
      <x:c r="AF118" s="32" t="str">
        <x:v>N/A</x:v>
      </x:c>
      <x:c r="AG118" s="32" t="str">
        <x:v>N/A</x:v>
      </x:c>
      <x:c r="AH118" s="32" t="str">
        <x:v>N/A</x:v>
      </x:c>
      <x:c r="AI118" s="32" t="str">
        <x:v>N/A</x:v>
      </x:c>
      <x:c r="AJ118" s="32" t="str">
        <x:v>N/A</x:v>
      </x:c>
      <x:c r="AK118" s="32" t="str">
        <x:v>N/A</x:v>
      </x:c>
      <x:c r="AL118" s="32" t="str">
        <x:v>N/A</x:v>
      </x:c>
      <x:c r="AM118" s="32" t="str">
        <x:v>N/A</x:v>
      </x:c>
      <x:c r="AN118" s="32" t="str">
        <x:v>N/A</x:v>
      </x:c>
      <x:c r="AO118" s="32" t="str">
        <x:v>N/A</x:v>
      </x:c>
      <x:c r="AP118" s="32" t="str">
        <x:v>N/A</x:v>
      </x:c>
      <x:c r="AQ118" s="32" t="str">
        <x:v>판단불가</x:v>
      </x:c>
      <x:c r="AR118" s="32" t="str">
        <x:v>NOT_APPLICABLE</x:v>
      </x:c>
      <x:c r="AS118" s="32" t="str">
        <x:v>MEDIUM</x:v>
      </x:c>
      <x:c r="AT118" s="33" t="str">
        <x:v>기존 자동 범위 판정에서 KOSIS 직접 검증 대상이 아닌 것으로 분류됨.</x:v>
      </x:c>
      <x:c r="AU118" s="32" t="str">
        <x:v>N/A</x:v>
      </x:c>
      <x:c r="AV118" s="32" t="n">
        <x:v>46239.28157407408</x:v>
      </x:c>
      <x:c r="AW118" s="32" t="str">
        <x:v>KOSIS_MCP_AUTO_V3</x:v>
      </x:c>
      <x:c r="AX118" s="32" t="str">
        <x:v>N</x:v>
      </x:c>
    </x:row>
    <x:row r="119">
      <x:c r="A119" s="32" t="str">
        <x:v>A0602-C009</x:v>
      </x:c>
      <x:c r="B119" s="32" t="str">
        <x:v>A0602-C009-m1</x:v>
      </x:c>
      <x:c r="C119" s="32" t="str">
        <x:v>A0602</x:v>
      </x:c>
      <x:c r="D119" s="32" t="str">
        <x:v>빚 못 갚은 자영업자 늘어…'생계형’ 60대 이상 52% 급증</x:v>
      </x:c>
      <x:c r="E119" s="32" t="str">
        <x:v>2025-02-16</x:v>
      </x:c>
      <x:c r="F119" s="32" t="str">
        <x:v>https://www.chosun.com/economy/money/2025/02/16/3Y7VKQ3MB67CFT6VFWD7V6FDAA</x:v>
      </x:c>
      <x:c r="G119" s="33" t="str">
        <x:v>지난해 말 60대 이상 개인사업자의 금융기관 대출잔액은 372조4966억원으로 1년 사이 24조7303억원 증가했다.</x:v>
      </x:c>
      <x:c r="H119" s="32" t="str">
        <x:v>372조4966억원</x:v>
      </x:c>
      <x:c r="I119" s="32" t="str">
        <x:v>KOSIS_VALUE</x:v>
      </x:c>
      <x:c r="J119" s="32" t="str">
        <x:v>국내공식통계</x:v>
      </x:c>
      <x:c r="K119" s="32" t="str">
        <x:v>hcx</x:v>
      </x:c>
      <x:c r="L119" s="32" t="str">
        <x:v>현재값</x:v>
      </x:c>
      <x:c r="M119" s="32" t="str">
        <x:v>개인사업자 금융기관 대출잔액</x:v>
      </x:c>
      <x:c r="N119" s="32" t="str">
        <x:v>-</x:v>
      </x:c>
      <x:c r="O119" s="32" t="str">
        <x:v>3.72497E+14</x:v>
      </x:c>
      <x:c r="P119" s="32" t="str">
        <x:v>원</x:v>
      </x:c>
      <x:c r="Q119" s="32" t="str">
        <x:v>2024말</x:v>
      </x:c>
      <x:c r="R119" s="32" t="str">
        <x:v>Y</x:v>
      </x:c>
      <x:c r="S119" s="32" t="str">
        <x:v>N</x:v>
      </x:c>
      <x:c r="T119" s="32" t="str">
        <x:v>Y</x:v>
      </x:c>
      <x:c r="U119" s="32" t="str">
        <x:v>N</x:v>
      </x:c>
      <x:c r="V119" s="32" t="str">
        <x:v>MCP_NOT_VERIFIABLE</x:v>
      </x:c>
      <x:c r="W119" s="32" t="str">
        <x:v>N/A</x:v>
      </x:c>
      <x:c r="X119" s="32" t="str">
        <x:v>N/A</x:v>
      </x:c>
      <x:c r="Y119" s="32" t="str">
        <x:v>N/A</x:v>
      </x:c>
      <x:c r="Z119" s="32" t="str">
        <x:v>N/A</x:v>
      </x:c>
      <x:c r="AA119" s="32" t="str">
        <x:v>N/A</x:v>
      </x:c>
      <x:c r="AB119" s="32" t="str">
        <x:v>N/A</x:v>
      </x:c>
      <x:c r="AC119" s="32" t="str">
        <x:v>N/A</x:v>
      </x:c>
      <x:c r="AD119" s="32" t="str">
        <x:v>N/A</x:v>
      </x:c>
      <x:c r="AE119" s="32" t="str">
        <x:v>N/A</x:v>
      </x:c>
      <x:c r="AF119" s="32" t="str">
        <x:v>N/A</x:v>
      </x:c>
      <x:c r="AG119" s="32" t="str">
        <x:v>N/A</x:v>
      </x:c>
      <x:c r="AH119" s="32" t="str">
        <x:v>N/A</x:v>
      </x:c>
      <x:c r="AI119" s="32" t="str">
        <x:v>N/A</x:v>
      </x:c>
      <x:c r="AJ119" s="32" t="str">
        <x:v>N/A</x:v>
      </x:c>
      <x:c r="AK119" s="32" t="str">
        <x:v>N/A</x:v>
      </x:c>
      <x:c r="AL119" s="32" t="str">
        <x:v>N/A</x:v>
      </x:c>
      <x:c r="AM119" s="32" t="str">
        <x:v>N/A</x:v>
      </x:c>
      <x:c r="AN119" s="32" t="str">
        <x:v>N/A</x:v>
      </x:c>
      <x:c r="AO119" s="32" t="str">
        <x:v>N/A</x:v>
      </x:c>
      <x:c r="AP119" s="32" t="str">
        <x:v>N/A</x:v>
      </x:c>
      <x:c r="AQ119" s="32" t="str">
        <x:v>판단불가</x:v>
      </x:c>
      <x:c r="AR119" s="32" t="str">
        <x:v>NOT_APPLICABLE</x:v>
      </x:c>
      <x:c r="AS119" s="32" t="str">
        <x:v>MEDIUM</x:v>
      </x:c>
      <x:c r="AT119" s="33" t="str">
        <x:v>기존 자동 범위 판정에서 KOSIS 직접 검증 대상이 아닌 것으로 분류됨.</x:v>
      </x:c>
      <x:c r="AU119" s="32" t="str">
        <x:v>N/A</x:v>
      </x:c>
      <x:c r="AV119" s="32" t="n">
        <x:v>46239.28157407408</x:v>
      </x:c>
      <x:c r="AW119" s="32" t="str">
        <x:v>KOSIS_MCP_AUTO_V3</x:v>
      </x:c>
      <x:c r="AX119" s="32" t="str">
        <x:v>N</x:v>
      </x:c>
    </x:row>
    <x:row r="120">
      <x:c r="A120" s="32" t="str">
        <x:v>A0697-C014</x:v>
      </x:c>
      <x:c r="B120" s="32" t="str">
        <x:v>A0697-C014-m1</x:v>
      </x:c>
      <x:c r="C120" s="32" t="str">
        <x:v>A0697</x:v>
      </x:c>
      <x:c r="D120" s="32" t="str">
        <x:v>악성 미분양 급증한 대구·경북… 부동산 PF 부실로 농·축협도 적자 수렁</x:v>
      </x:c>
      <x:c r="E120" s="32" t="str">
        <x:v>2025-02-23</x:v>
      </x:c>
      <x:c r="F120" s="32" t="str">
        <x:v>https://www.chosun.com/economy/money/2025/02/23/52IXBWJOUCUQEBHXGGIR5K56AM</x:v>
      </x:c>
      <x:c r="G120" s="33" t="str">
        <x:v>연체 금액도 대구는 약 1400억원, 경북은 약 4800억원 수준이다.</x:v>
      </x:c>
      <x:c r="H120" s="32" t="str">
        <x:v>1400억원</x:v>
      </x:c>
      <x:c r="I120" s="32" t="str">
        <x:v>KOSIS_VALUE</x:v>
      </x:c>
      <x:c r="J120" s="32" t="str">
        <x:v>국내공식통계</x:v>
      </x:c>
      <x:c r="K120" s="32" t="str">
        <x:v>hcx</x:v>
      </x:c>
      <x:c r="L120" s="32" t="str">
        <x:v>현재값</x:v>
      </x:c>
      <x:c r="M120" s="32" t="str">
        <x:v>공동대출 연체금액</x:v>
      </x:c>
      <x:c r="N120" s="32" t="str">
        <x:v>대구</x:v>
      </x:c>
      <x:c r="O120" s="32" t="str">
        <x:v>1.4E+11</x:v>
      </x:c>
      <x:c r="P120" s="32" t="str">
        <x:v>원</x:v>
      </x:c>
      <x:c r="Q120" s="32" t="str">
        <x:v>2024말</x:v>
      </x:c>
      <x:c r="R120" s="32" t="str">
        <x:v>Y</x:v>
      </x:c>
      <x:c r="S120" s="32" t="str">
        <x:v>N</x:v>
      </x:c>
      <x:c r="T120" s="32" t="str">
        <x:v>Y</x:v>
      </x:c>
      <x:c r="U120" s="32" t="str">
        <x:v>N</x:v>
      </x:c>
      <x:c r="V120" s="32" t="str">
        <x:v>MCP_NOT_VERIFIABLE</x:v>
      </x:c>
      <x:c r="W120" s="32" t="str">
        <x:v>N/A</x:v>
      </x:c>
      <x:c r="X120" s="32" t="str">
        <x:v>N/A</x:v>
      </x:c>
      <x:c r="Y120" s="32" t="str">
        <x:v>N/A</x:v>
      </x:c>
      <x:c r="Z120" s="32" t="str">
        <x:v>N/A</x:v>
      </x:c>
      <x:c r="AA120" s="32" t="str">
        <x:v>N/A</x:v>
      </x:c>
      <x:c r="AB120" s="32" t="str">
        <x:v>N/A</x:v>
      </x:c>
      <x:c r="AC120" s="32" t="str">
        <x:v>N/A</x:v>
      </x:c>
      <x:c r="AD120" s="32" t="str">
        <x:v>N/A</x:v>
      </x:c>
      <x:c r="AE120" s="32" t="str">
        <x:v>N/A</x:v>
      </x:c>
      <x:c r="AF120" s="32" t="str">
        <x:v>N/A</x:v>
      </x:c>
      <x:c r="AG120" s="32" t="str">
        <x:v>N/A</x:v>
      </x:c>
      <x:c r="AH120" s="32" t="str">
        <x:v>N/A</x:v>
      </x:c>
      <x:c r="AI120" s="32" t="str">
        <x:v>N/A</x:v>
      </x:c>
      <x:c r="AJ120" s="32" t="str">
        <x:v>N/A</x:v>
      </x:c>
      <x:c r="AK120" s="32" t="str">
        <x:v>N/A</x:v>
      </x:c>
      <x:c r="AL120" s="32" t="str">
        <x:v>N/A</x:v>
      </x:c>
      <x:c r="AM120" s="32" t="str">
        <x:v>N/A</x:v>
      </x:c>
      <x:c r="AN120" s="32" t="str">
        <x:v>N/A</x:v>
      </x:c>
      <x:c r="AO120" s="32" t="str">
        <x:v>N/A</x:v>
      </x:c>
      <x:c r="AP120" s="32" t="str">
        <x:v>N/A</x:v>
      </x:c>
      <x:c r="AQ120" s="32" t="str">
        <x:v>판단불가</x:v>
      </x:c>
      <x:c r="AR120" s="32" t="str">
        <x:v>NOT_APPLICABLE</x:v>
      </x:c>
      <x:c r="AS120" s="32" t="str">
        <x:v>MEDIUM</x:v>
      </x:c>
      <x:c r="AT120" s="33" t="str">
        <x:v>기존 자동 범위 판정에서 KOSIS 직접 검증 대상이 아닌 것으로 분류됨.</x:v>
      </x:c>
      <x:c r="AU120" s="32" t="str">
        <x:v>N/A</x:v>
      </x:c>
      <x:c r="AV120" s="32" t="n">
        <x:v>46239.28157407408</x:v>
      </x:c>
      <x:c r="AW120" s="32" t="str">
        <x:v>KOSIS_MCP_AUTO_V3</x:v>
      </x:c>
      <x:c r="AX120" s="32" t="str">
        <x:v>N</x:v>
      </x:c>
    </x:row>
    <x:row r="121">
      <x:c r="A121" s="32" t="str">
        <x:v>A0697-C014</x:v>
      </x:c>
      <x:c r="B121" s="32" t="str">
        <x:v>A0697-C014-m2</x:v>
      </x:c>
      <x:c r="C121" s="32" t="str">
        <x:v>A0697</x:v>
      </x:c>
      <x:c r="D121" s="32" t="str">
        <x:v>악성 미분양 급증한 대구·경북… 부동산 PF 부실로 농·축협도 적자 수렁</x:v>
      </x:c>
      <x:c r="E121" s="32" t="str">
        <x:v>2025-02-23</x:v>
      </x:c>
      <x:c r="F121" s="32" t="str">
        <x:v>https://www.chosun.com/economy/money/2025/02/23/52IXBWJOUCUQEBHXGGIR5K56AM</x:v>
      </x:c>
      <x:c r="G121" s="33" t="str">
        <x:v>연체 금액도 대구는 약 1400억원, 경북은 약 4800억원 수준이다.</x:v>
      </x:c>
      <x:c r="H121" s="32" t="str">
        <x:v>4800억원</x:v>
      </x:c>
      <x:c r="I121" s="32" t="str">
        <x:v>KOSIS_VALUE</x:v>
      </x:c>
      <x:c r="J121" s="32" t="str">
        <x:v>국내공식통계</x:v>
      </x:c>
      <x:c r="K121" s="32" t="str">
        <x:v>hcx</x:v>
      </x:c>
      <x:c r="L121" s="32" t="str">
        <x:v>현재값</x:v>
      </x:c>
      <x:c r="M121" s="32" t="str">
        <x:v>공동대출 연체금액</x:v>
      </x:c>
      <x:c r="N121" s="32" t="str">
        <x:v>경북</x:v>
      </x:c>
      <x:c r="O121" s="32" t="str">
        <x:v>4.8E+11</x:v>
      </x:c>
      <x:c r="P121" s="32" t="str">
        <x:v>원</x:v>
      </x:c>
      <x:c r="Q121" s="32" t="str">
        <x:v>2024말</x:v>
      </x:c>
      <x:c r="R121" s="32" t="str">
        <x:v>Y</x:v>
      </x:c>
      <x:c r="S121" s="32" t="str">
        <x:v>N</x:v>
      </x:c>
      <x:c r="T121" s="32" t="str">
        <x:v>Y</x:v>
      </x:c>
      <x:c r="U121" s="32" t="str">
        <x:v>N</x:v>
      </x:c>
      <x:c r="V121" s="32" t="str">
        <x:v>MCP_NOT_VERIFIABLE</x:v>
      </x:c>
      <x:c r="W121" s="32" t="str">
        <x:v>N/A</x:v>
      </x:c>
      <x:c r="X121" s="32" t="str">
        <x:v>N/A</x:v>
      </x:c>
      <x:c r="Y121" s="32" t="str">
        <x:v>N/A</x:v>
      </x:c>
      <x:c r="Z121" s="32" t="str">
        <x:v>N/A</x:v>
      </x:c>
      <x:c r="AA121" s="32" t="str">
        <x:v>N/A</x:v>
      </x:c>
      <x:c r="AB121" s="32" t="str">
        <x:v>N/A</x:v>
      </x:c>
      <x:c r="AC121" s="32" t="str">
        <x:v>N/A</x:v>
      </x:c>
      <x:c r="AD121" s="32" t="str">
        <x:v>N/A</x:v>
      </x:c>
      <x:c r="AE121" s="32" t="str">
        <x:v>N/A</x:v>
      </x:c>
      <x:c r="AF121" s="32" t="str">
        <x:v>N/A</x:v>
      </x:c>
      <x:c r="AG121" s="32" t="str">
        <x:v>N/A</x:v>
      </x:c>
      <x:c r="AH121" s="32" t="str">
        <x:v>N/A</x:v>
      </x:c>
      <x:c r="AI121" s="32" t="str">
        <x:v>N/A</x:v>
      </x:c>
      <x:c r="AJ121" s="32" t="str">
        <x:v>N/A</x:v>
      </x:c>
      <x:c r="AK121" s="32" t="str">
        <x:v>N/A</x:v>
      </x:c>
      <x:c r="AL121" s="32" t="str">
        <x:v>N/A</x:v>
      </x:c>
      <x:c r="AM121" s="32" t="str">
        <x:v>N/A</x:v>
      </x:c>
      <x:c r="AN121" s="32" t="str">
        <x:v>N/A</x:v>
      </x:c>
      <x:c r="AO121" s="32" t="str">
        <x:v>N/A</x:v>
      </x:c>
      <x:c r="AP121" s="32" t="str">
        <x:v>N/A</x:v>
      </x:c>
      <x:c r="AQ121" s="32" t="str">
        <x:v>판단불가</x:v>
      </x:c>
      <x:c r="AR121" s="32" t="str">
        <x:v>NOT_APPLICABLE</x:v>
      </x:c>
      <x:c r="AS121" s="32" t="str">
        <x:v>MEDIUM</x:v>
      </x:c>
      <x:c r="AT121" s="33" t="str">
        <x:v>기존 자동 범위 판정에서 KOSIS 직접 검증 대상이 아닌 것으로 분류됨.</x:v>
      </x:c>
      <x:c r="AU121" s="32" t="str">
        <x:v>N/A</x:v>
      </x:c>
      <x:c r="AV121" s="32" t="n">
        <x:v>46239.28157407408</x:v>
      </x:c>
      <x:c r="AW121" s="32" t="str">
        <x:v>KOSIS_MCP_AUTO_V3</x:v>
      </x:c>
      <x:c r="AX121" s="32" t="str">
        <x:v>N</x:v>
      </x:c>
    </x:row>
    <x:row r="122">
      <x:c r="A122" s="32" t="str">
        <x:v>A0734-C013</x:v>
      </x:c>
      <x:c r="B122" s="32" t="str">
        <x:v>A0734-C013-m1</x:v>
      </x:c>
      <x:c r="C122" s="32" t="str">
        <x:v>A0734</x:v>
      </x:c>
      <x:c r="D122" s="32" t="str">
        <x:v>高환율·高물가 부담에도 내수 먼저 살린다</x:v>
      </x:c>
      <x:c r="E122" s="32" t="str">
        <x:v>2025-02-26</x:v>
      </x:c>
      <x:c r="F122" s="32" t="str">
        <x:v>https://www.chosun.com/economy/economy_general/2025/02/26/3GHXEPBB2VAFXF5D63JKOXI6DM</x:v>
      </x:c>
      <x:c r="G122" s="33" t="str">
        <x:v>미국과 주요 교역국들이 올해 관세를 큰 폭으로 부과하고 그 이후에도 유지하는 비관적인 상황일 경우 올해 우리나라 성장률이 1.4%까지 떨어질 것으로 봤다.</x:v>
      </x:c>
      <x:c r="H122" s="32" t="str">
        <x:v>1.40%</x:v>
      </x:c>
      <x:c r="I122" s="32" t="str">
        <x:v>KOSIS_VALUE</x:v>
      </x:c>
      <x:c r="J122" s="32" t="str">
        <x:v>국내공식통계</x:v>
      </x:c>
      <x:c r="K122" s="32" t="str">
        <x:v>hcx</x:v>
      </x:c>
      <x:c r="L122" s="32" t="str">
        <x:v>현재값</x:v>
      </x:c>
      <x:c r="M122" s="32" t="str">
        <x:v>성장률</x:v>
      </x:c>
      <x:c r="N122" s="32" t="str">
        <x:v>-</x:v>
      </x:c>
      <x:c r="O122" s="32" t="str">
        <x:v>1.4</x:v>
      </x:c>
      <x:c r="P122" s="32" t="str">
        <x:v>%</x:v>
      </x:c>
      <x:c r="Q122" s="32" t="str">
        <x:v>2025</x:v>
      </x:c>
      <x:c r="R122" s="32" t="str">
        <x:v>Y</x:v>
      </x:c>
      <x:c r="S122" s="32" t="str">
        <x:v>N</x:v>
      </x:c>
      <x:c r="T122" s="32" t="str">
        <x:v>Y</x:v>
      </x:c>
      <x:c r="U122" s="32" t="str">
        <x:v>N</x:v>
      </x:c>
      <x:c r="V122" s="32" t="str">
        <x:v>MCP_NOT_VERIFIABLE</x:v>
      </x:c>
      <x:c r="W122" s="32" t="str">
        <x:v>N/A</x:v>
      </x:c>
      <x:c r="X122" s="32" t="str">
        <x:v>N/A</x:v>
      </x:c>
      <x:c r="Y122" s="32" t="str">
        <x:v>N/A</x:v>
      </x:c>
      <x:c r="Z122" s="32" t="str">
        <x:v>N/A</x:v>
      </x:c>
      <x:c r="AA122" s="32" t="str">
        <x:v>N/A</x:v>
      </x:c>
      <x:c r="AB122" s="32" t="str">
        <x:v>N/A</x:v>
      </x:c>
      <x:c r="AC122" s="32" t="str">
        <x:v>N/A</x:v>
      </x:c>
      <x:c r="AD122" s="32" t="str">
        <x:v>N/A</x:v>
      </x:c>
      <x:c r="AE122" s="32" t="str">
        <x:v>N/A</x:v>
      </x:c>
      <x:c r="AF122" s="32" t="str">
        <x:v>N/A</x:v>
      </x:c>
      <x:c r="AG122" s="32" t="str">
        <x:v>N/A</x:v>
      </x:c>
      <x:c r="AH122" s="32" t="str">
        <x:v>N/A</x:v>
      </x:c>
      <x:c r="AI122" s="32" t="str">
        <x:v>N/A</x:v>
      </x:c>
      <x:c r="AJ122" s="32" t="str">
        <x:v>N/A</x:v>
      </x:c>
      <x:c r="AK122" s="32" t="str">
        <x:v>N/A</x:v>
      </x:c>
      <x:c r="AL122" s="32" t="str">
        <x:v>N/A</x:v>
      </x:c>
      <x:c r="AM122" s="32" t="str">
        <x:v>N/A</x:v>
      </x:c>
      <x:c r="AN122" s="32" t="str">
        <x:v>N/A</x:v>
      </x:c>
      <x:c r="AO122" s="32" t="str">
        <x:v>N/A</x:v>
      </x:c>
      <x:c r="AP122" s="32" t="str">
        <x:v>N/A</x:v>
      </x:c>
      <x:c r="AQ122" s="32" t="str">
        <x:v>판단불가</x:v>
      </x:c>
      <x:c r="AR122" s="32" t="str">
        <x:v>NOT_APPLICABLE</x:v>
      </x:c>
      <x:c r="AS122" s="32" t="str">
        <x:v>MEDIUM</x:v>
      </x:c>
      <x:c r="AT122" s="33" t="str">
        <x:v>기존 자동 범위 판정에서 KOSIS 직접 검증 대상이 아닌 것으로 분류됨.</x:v>
      </x:c>
      <x:c r="AU122" s="32" t="str">
        <x:v>N/A</x:v>
      </x:c>
      <x:c r="AV122" s="32" t="n">
        <x:v>46239.28157407408</x:v>
      </x:c>
      <x:c r="AW122" s="32" t="str">
        <x:v>KOSIS_MCP_AUTO_V3</x:v>
      </x:c>
      <x:c r="AX122" s="32" t="str">
        <x:v>N</x:v>
      </x:c>
    </x:row>
    <x:row r="123">
      <x:c r="A123" s="32" t="str">
        <x:v>A0739-C010</x:v>
      </x:c>
      <x:c r="B123" s="32" t="str">
        <x:v>A0739-C010-m1</x:v>
      </x:c>
      <x:c r="C123" s="32" t="str">
        <x:v>A0739</x:v>
      </x:c>
      <x:c r="D123" s="32" t="str">
        <x:v>작년 혼인 건수 15% 늘어...증가율 1970년 집계 이래 최고</x:v>
      </x:c>
      <x:c r="E123" s="32" t="str">
        <x:v>2025-02-26</x:v>
      </x:c>
      <x:c r="F123" s="32" t="str">
        <x:v>https://www.chosun.com/economy/economy_general/2025/02/26/GSSMZGGYMBGKXLHSR4WOOWUCQ4</x:v>
      </x:c>
      <x:c r="G123" s="33" t="str">
        <x:v>2019년 12월(2만4945건) 이후 모든 월을 기준으로 5년 만에 혼인 건수가 가장 많았다.</x:v>
      </x:c>
      <x:c r="H123" s="32" t="str">
        <x:v>2만4945건</x:v>
      </x:c>
      <x:c r="I123" s="32" t="str">
        <x:v>KOSIS_VALUE</x:v>
      </x:c>
      <x:c r="J123" s="32" t="str">
        <x:v>국내공식통계</x:v>
      </x:c>
      <x:c r="K123" s="32" t="str">
        <x:v>hcx</x:v>
      </x:c>
      <x:c r="L123" s="32" t="str">
        <x:v>현재값</x:v>
      </x:c>
      <x:c r="M123" s="32" t="str">
        <x:v>혼인 건수</x:v>
      </x:c>
      <x:c r="N123" s="32" t="str">
        <x:v>-</x:v>
      </x:c>
      <x:c r="O123" s="32" t="str">
        <x:v>24945</x:v>
      </x:c>
      <x:c r="P123" s="32" t="str">
        <x:v>건</x:v>
      </x:c>
      <x:c r="Q123" s="32" t="str">
        <x:v>2019</x:v>
      </x:c>
      <x:c r="R123" s="32" t="str">
        <x:v>Y</x:v>
      </x:c>
      <x:c r="S123" s="32" t="str">
        <x:v>Y</x:v>
      </x:c>
      <x:c r="T123" s="32" t="str">
        <x:v>Y</x:v>
      </x:c>
      <x:c r="U123" s="32" t="str">
        <x:v>Y</x:v>
      </x:c>
      <x:c r="V123" s="32" t="str">
        <x:v>FULL_KOSIS</x:v>
      </x:c>
      <x:c r="W123" s="32" t="str">
        <x:v>101</x:v>
      </x:c>
      <x:c r="X123" s="32" t="str">
        <x:v>DT_1B8000G</x:v>
      </x:c>
      <x:c r="Y123" s="32" t="str">
        <x:v>월·분기·연간 인구동향(출생,사망,혼인,이혼)</x:v>
      </x:c>
      <x:c r="Z123" s="32" t="str">
        <x:v>T1</x:v>
      </x:c>
      <x:c r="AA123" s="32" t="str">
        <x:v>수치</x:v>
      </x:c>
      <x:c r="AB123" s="32" t="str">
        <x:v>00; objL2=20</x:v>
      </x:c>
      <x:c r="AC123" s="32" t="str">
        <x:v>전국; 혼인건수</x:v>
      </x:c>
      <x:c r="AD123" s="32" t="str">
        <x:v>M</x:v>
      </x:c>
      <x:c r="AE123" s="32" t="str">
        <x:v>201912</x:v>
      </x:c>
      <x:c r="AF123" s="32" t="str">
        <x:v>N/A</x:v>
      </x:c>
      <x:c r="AG123" s="32" t="str">
        <x:v>수준값</x:v>
      </x:c>
      <x:c r="AH123" s="32" t="str">
        <x:v>DIRECT</x:v>
      </x:c>
      <x:c r="AI123" s="32" t="str">
        <x:v>건</x:v>
      </x:c>
      <x:c r="AJ123" s="32" t="str">
        <x:v>24945</x:v>
      </x:c>
      <x:c r="AK123" s="32" t="str">
        <x:v>N/A</x:v>
      </x:c>
      <x:c r="AL123" s="32" t="str">
        <x:v>24945</x:v>
      </x:c>
      <x:c r="AM123" s="32" t="str">
        <x:v>24945</x:v>
      </x:c>
      <x:c r="AN123" s="32" t="str">
        <x:v>0</x:v>
      </x:c>
      <x:c r="AO123" s="32" t="str">
        <x:v>0.0</x:v>
      </x:c>
      <x:c r="AP123" s="32" t="str">
        <x:v>exact</x:v>
      </x:c>
      <x:c r="AQ123" s="32" t="str">
        <x:v>일치</x:v>
      </x:c>
      <x:c r="AR123" s="32" t="str">
        <x:v>UNIQUE</x:v>
      </x:c>
      <x:c r="AS123" s="32" t="str">
        <x:v>HIGH</x:v>
      </x:c>
      <x:c r="AT123" s="33" t="str">
        <x:v>기사의 비교 기준인 2019년 12월 전국 혼인건수를 직접 조회함.</x:v>
      </x:c>
      <x:c r="AU123" s="32" t="str">
        <x:v>https://kosis.kr/statHtml/statHtml.do?orgId=101&amp;tblId=DT_1B8000G&amp;vw_cd=MT_ZTITLE</x:v>
      </x:c>
      <x:c r="AV123" s="32" t="n">
        <x:v>46239.28157407408</x:v>
      </x:c>
      <x:c r="AW123" s="32" t="str">
        <x:v>KOSIS_MCP_AUTO_V3</x:v>
      </x:c>
      <x:c r="AX123" s="32" t="str">
        <x:v>N</x:v>
      </x:c>
    </x:row>
    <x:row r="124">
      <x:c r="A124" s="32" t="str">
        <x:v>A0748-C007</x:v>
      </x:c>
      <x:c r="B124" s="32" t="str">
        <x:v>A0748-C007-m1</x:v>
      </x:c>
      <x:c r="C124" s="32" t="str">
        <x:v>A0748</x:v>
      </x:c>
      <x:c r="D124" s="32" t="str">
        <x:v>출산율 9년 만에 반등… “앞으로 7년이 골든타임”</x:v>
      </x:c>
      <x:c r="E124" s="32" t="str">
        <x:v>2025-02-27</x:v>
      </x:c>
      <x:c r="F124" s="32" t="str">
        <x:v>https://www.chosun.com/economy/economy_general/2025/02/27/JSTSHA6HNJHELOV3RULNHTIZBI</x:v>
      </x:c>
      <x:c r="G124" s="33" t="str">
        <x:v>합계 출산율이 1.24명이었던 2015년 이후 처음으로 출산율이 올랐다.</x:v>
      </x:c>
      <x:c r="H124" s="32" t="str">
        <x:v>1.24명</x:v>
      </x:c>
      <x:c r="I124" s="32" t="str">
        <x:v>KOSIS_VALUE</x:v>
      </x:c>
      <x:c r="J124" s="32" t="str">
        <x:v>국내공식통계</x:v>
      </x:c>
      <x:c r="K124" s="32" t="str">
        <x:v>hcx</x:v>
      </x:c>
      <x:c r="L124" s="32" t="str">
        <x:v>현재값</x:v>
      </x:c>
      <x:c r="M124" s="32" t="str">
        <x:v>합계 출산율</x:v>
      </x:c>
      <x:c r="N124" s="32" t="str">
        <x:v>-</x:v>
      </x:c>
      <x:c r="O124" s="32" t="str">
        <x:v>1.24</x:v>
      </x:c>
      <x:c r="P124" s="32" t="str">
        <x:v>명</x:v>
      </x:c>
      <x:c r="Q124" s="32" t="str">
        <x:v>2015</x:v>
      </x:c>
      <x:c r="R124" s="32" t="str">
        <x:v>Y</x:v>
      </x:c>
      <x:c r="S124" s="32" t="str">
        <x:v>Y</x:v>
      </x:c>
      <x:c r="T124" s="32" t="str">
        <x:v>Y</x:v>
      </x:c>
      <x:c r="U124" s="32" t="str">
        <x:v>Y</x:v>
      </x:c>
      <x:c r="V124" s="32" t="str">
        <x:v>FULL_KOSIS</x:v>
      </x:c>
      <x:c r="W124" s="32" t="str">
        <x:v>101</x:v>
      </x:c>
      <x:c r="X124" s="32" t="str">
        <x:v>DT_1B8000H</x:v>
      </x:c>
      <x:c r="Y124" s="32" t="str">
        <x:v>인구동태건수 및 동태율 추이</x:v>
      </x:c>
      <x:c r="Z124" s="32" t="str">
        <x:v>T12</x:v>
      </x:c>
      <x:c r="AA124" s="32" t="str">
        <x:v>합계출산율</x:v>
      </x:c>
      <x:c r="AB124" s="32" t="str">
        <x:v>00</x:v>
      </x:c>
      <x:c r="AC124" s="32" t="str">
        <x:v>전국</x:v>
      </x:c>
      <x:c r="AD124" s="32" t="str">
        <x:v>Y</x:v>
      </x:c>
      <x:c r="AE124" s="32" t="str">
        <x:v>2015</x:v>
      </x:c>
      <x:c r="AF124" s="32" t="str">
        <x:v>N/A</x:v>
      </x:c>
      <x:c r="AG124" s="32" t="str">
        <x:v>수준값</x:v>
      </x:c>
      <x:c r="AH124" s="32" t="str">
        <x:v>DIRECT</x:v>
      </x:c>
      <x:c r="AI124" s="32" t="str">
        <x:v>명</x:v>
      </x:c>
      <x:c r="AJ124" s="32" t="str">
        <x:v>1.239</x:v>
      </x:c>
      <x:c r="AK124" s="32" t="str">
        <x:v>N/A</x:v>
      </x:c>
      <x:c r="AL124" s="32" t="str">
        <x:v>1.239</x:v>
      </x:c>
      <x:c r="AM124" s="32" t="str">
        <x:v>1.24</x:v>
      </x:c>
      <x:c r="AN124" s="32" t="str">
        <x:v>0.0009999999999998899</x:v>
      </x:c>
      <x:c r="AO124" s="32" t="str">
        <x:v>0.0806451612903137</x:v>
      </x:c>
      <x:c r="AP124" s="32" t="str">
        <x:v>absolute_error&lt;=0.01</x:v>
      </x:c>
      <x:c r="AQ124" s="32" t="str">
        <x:v>일치</x:v>
      </x:c>
      <x:c r="AR124" s="32" t="str">
        <x:v>UNIQUE</x:v>
      </x:c>
      <x:c r="AS124" s="32" t="str">
        <x:v>HIGH</x:v>
      </x:c>
      <x:c r="AT124" s="33" t="str">
        <x:v>2015년 전국 합계출산율을 직접 조회함.</x:v>
      </x:c>
      <x:c r="AU124" s="32" t="str">
        <x:v>https://kosis.kr/statHtml/statHtml.do?orgId=101&amp;tblId=DT_1B8000H&amp;vw_cd=MT_ZTITLE</x:v>
      </x:c>
      <x:c r="AV124" s="32" t="n">
        <x:v>46239.28157407408</x:v>
      </x:c>
      <x:c r="AW124" s="32" t="str">
        <x:v>KOSIS_MCP_AUTO_V3</x:v>
      </x:c>
      <x:c r="AX124" s="32" t="str">
        <x:v>N</x:v>
      </x:c>
    </x:row>
    <x:row r="125">
      <x:c r="A125" s="32" t="str">
        <x:v>A0766-C010</x:v>
      </x:c>
      <x:c r="B125" s="32" t="str">
        <x:v>A0766-C010-m1</x:v>
      </x:c>
      <x:c r="C125" s="32" t="str">
        <x:v>A0766</x:v>
      </x:c>
      <x:c r="D125" s="32" t="str">
        <x:v>빚쟁이 국가서 11년 만에 세계 7위 채권국으로</x:v>
      </x:c>
      <x:c r="E125" s="32" t="str">
        <x:v>2025-02-28</x:v>
      </x:c>
      <x:c r="F125" s="32" t="str">
        <x:v>https://www.chosun.com/economy/economy_general/2025/02/28/USKPWHKTOJGCVO4XY4XX3BHTXA</x:v>
      </x:c>
      <x:c r="G125" s="33" t="str">
        <x:v>◇서학 개미 투자 작년 50% 급증 한국의 순대외금융자산이 1조달러를 돌파한 데는 서학 개미(해외 주식 투자자)의 약진이 큰 역할을 했다.</x:v>
      </x:c>
      <x:c r="H125" s="32" t="str">
        <x:v>50%</x:v>
      </x:c>
      <x:c r="I125" s="32" t="str">
        <x:v>KOSIS_VALUE</x:v>
      </x:c>
      <x:c r="J125" s="32" t="str">
        <x:v>국내공식통계</x:v>
      </x:c>
      <x:c r="K125" s="32" t="str">
        <x:v>hcx</x:v>
      </x:c>
      <x:c r="L125" s="32" t="str">
        <x:v>현재값</x:v>
      </x:c>
      <x:c r="M125" s="32" t="str">
        <x:v>서학 개미 투자 증가율</x:v>
      </x:c>
      <x:c r="N125" s="32" t="str">
        <x:v>서학 개미</x:v>
      </x:c>
      <x:c r="O125" s="32" t="str">
        <x:v>50</x:v>
      </x:c>
      <x:c r="P125" s="32" t="str">
        <x:v>%</x:v>
      </x:c>
      <x:c r="Q125" s="32" t="str">
        <x:v>2024</x:v>
      </x:c>
      <x:c r="R125" s="32" t="str">
        <x:v>Y</x:v>
      </x:c>
      <x:c r="S125" s="32" t="str">
        <x:v>N</x:v>
      </x:c>
      <x:c r="T125" s="32" t="str">
        <x:v>Y</x:v>
      </x:c>
      <x:c r="U125" s="32" t="str">
        <x:v>N</x:v>
      </x:c>
      <x:c r="V125" s="32" t="str">
        <x:v>MCP_NOT_VERIFIABLE</x:v>
      </x:c>
      <x:c r="W125" s="32" t="str">
        <x:v>N/A</x:v>
      </x:c>
      <x:c r="X125" s="32" t="str">
        <x:v>N/A</x:v>
      </x:c>
      <x:c r="Y125" s="32" t="str">
        <x:v>N/A</x:v>
      </x:c>
      <x:c r="Z125" s="32" t="str">
        <x:v>N/A</x:v>
      </x:c>
      <x:c r="AA125" s="32" t="str">
        <x:v>N/A</x:v>
      </x:c>
      <x:c r="AB125" s="32" t="str">
        <x:v>N/A</x:v>
      </x:c>
      <x:c r="AC125" s="32" t="str">
        <x:v>N/A</x:v>
      </x:c>
      <x:c r="AD125" s="32" t="str">
        <x:v>N/A</x:v>
      </x:c>
      <x:c r="AE125" s="32" t="str">
        <x:v>N/A</x:v>
      </x:c>
      <x:c r="AF125" s="32" t="str">
        <x:v>N/A</x:v>
      </x:c>
      <x:c r="AG125" s="32" t="str">
        <x:v>N/A</x:v>
      </x:c>
      <x:c r="AH125" s="32" t="str">
        <x:v>N/A</x:v>
      </x:c>
      <x:c r="AI125" s="32" t="str">
        <x:v>N/A</x:v>
      </x:c>
      <x:c r="AJ125" s="32" t="str">
        <x:v>N/A</x:v>
      </x:c>
      <x:c r="AK125" s="32" t="str">
        <x:v>N/A</x:v>
      </x:c>
      <x:c r="AL125" s="32" t="str">
        <x:v>N/A</x:v>
      </x:c>
      <x:c r="AM125" s="32" t="str">
        <x:v>N/A</x:v>
      </x:c>
      <x:c r="AN125" s="32" t="str">
        <x:v>N/A</x:v>
      </x:c>
      <x:c r="AO125" s="32" t="str">
        <x:v>N/A</x:v>
      </x:c>
      <x:c r="AP125" s="32" t="str">
        <x:v>N/A</x:v>
      </x:c>
      <x:c r="AQ125" s="32" t="str">
        <x:v>판단불가</x:v>
      </x:c>
      <x:c r="AR125" s="32" t="str">
        <x:v>NOT_APPLICABLE</x:v>
      </x:c>
      <x:c r="AS125" s="32" t="str">
        <x:v>HIGH</x:v>
      </x:c>
      <x:c r="AT125" s="33" t="str">
        <x:v>서학개미 투자 증가율에 대응하는 KOSIS 공식 통계표를 찾지 못함.</x:v>
      </x:c>
      <x:c r="AU125" s="32" t="str">
        <x:v>N/A</x:v>
      </x:c>
      <x:c r="AV125" s="32" t="n">
        <x:v>46239.28157407408</x:v>
      </x:c>
      <x:c r="AW125" s="32" t="str">
        <x:v>KOSIS_MCP_AUTO_V3</x:v>
      </x:c>
      <x:c r="AX125" s="32" t="str">
        <x:v>N</x:v>
      </x:c>
    </x:row>
    <x:row r="126">
      <x:c r="A126" s="32" t="str">
        <x:v>A0807-C004</x:v>
      </x:c>
      <x:c r="B126" s="32" t="str">
        <x:v>A0807-C004-m1</x:v>
      </x:c>
      <x:c r="C126" s="32" t="str">
        <x:v>A0807</x:v>
      </x:c>
      <x:c r="D126" s="32" t="str">
        <x:v>전기차 보조금 한 달 빨리 결정됐더니... 2월 완성차 5사 내수 늘었다</x:v>
      </x:c>
      <x:c r="E126" s="32" t="str">
        <x:v>2025-03-04</x:v>
      </x:c>
      <x:c r="F126" s="32" t="str">
        <x:v>https://www.chosun.com/economy/auto/2025/03/04/K5RBLU6XRRGMDCVYPVPCHI5UO4</x:v>
      </x:c>
      <x:c r="G126" s="33" t="str">
        <x:v>4일 완성차 5사(현대차, 기아, GM 한국사업장, KG모빌리티, 르노코리아)의 지난달 내수 판매량은 11만2302대로 집계됐다.</x:v>
      </x:c>
      <x:c r="H126" s="32" t="str">
        <x:v>11만2302대</x:v>
      </x:c>
      <x:c r="I126" s="32" t="str">
        <x:v>KOSIS_VALUE</x:v>
      </x:c>
      <x:c r="J126" s="32" t="str">
        <x:v>국내공식통계</x:v>
      </x:c>
      <x:c r="K126" s="32" t="str">
        <x:v>hcx</x:v>
      </x:c>
      <x:c r="L126" s="32" t="str">
        <x:v>현재값</x:v>
      </x:c>
      <x:c r="M126" s="32" t="str">
        <x:v>내수 판매량</x:v>
      </x:c>
      <x:c r="N126" s="32" t="str">
        <x:v>완성차</x:v>
      </x:c>
      <x:c r="O126" s="32" t="str">
        <x:v>112302</x:v>
      </x:c>
      <x:c r="P126" s="32" t="str">
        <x:v>대</x:v>
      </x:c>
      <x:c r="Q126" s="32" t="str">
        <x:v>202503</x:v>
      </x:c>
      <x:c r="R126" s="32" t="str">
        <x:v>M</x:v>
      </x:c>
      <x:c r="S126" s="32" t="str">
        <x:v>N</x:v>
      </x:c>
      <x:c r="T126" s="32" t="str">
        <x:v>Y</x:v>
      </x:c>
      <x:c r="U126" s="32" t="str">
        <x:v>N</x:v>
      </x:c>
      <x:c r="V126" s="32" t="str">
        <x:v>MCP_NOT_VERIFIABLE</x:v>
      </x:c>
      <x:c r="W126" s="32" t="str">
        <x:v>N/A</x:v>
      </x:c>
      <x:c r="X126" s="32" t="str">
        <x:v>N/A</x:v>
      </x:c>
      <x:c r="Y126" s="32" t="str">
        <x:v>N/A</x:v>
      </x:c>
      <x:c r="Z126" s="32" t="str">
        <x:v>N/A</x:v>
      </x:c>
      <x:c r="AA126" s="32" t="str">
        <x:v>N/A</x:v>
      </x:c>
      <x:c r="AB126" s="32" t="str">
        <x:v>N/A</x:v>
      </x:c>
      <x:c r="AC126" s="32" t="str">
        <x:v>N/A</x:v>
      </x:c>
      <x:c r="AD126" s="32" t="str">
        <x:v>N/A</x:v>
      </x:c>
      <x:c r="AE126" s="32" t="str">
        <x:v>N/A</x:v>
      </x:c>
      <x:c r="AF126" s="32" t="str">
        <x:v>N/A</x:v>
      </x:c>
      <x:c r="AG126" s="32" t="str">
        <x:v>N/A</x:v>
      </x:c>
      <x:c r="AH126" s="32" t="str">
        <x:v>N/A</x:v>
      </x:c>
      <x:c r="AI126" s="32" t="str">
        <x:v>N/A</x:v>
      </x:c>
      <x:c r="AJ126" s="32" t="str">
        <x:v>N/A</x:v>
      </x:c>
      <x:c r="AK126" s="32" t="str">
        <x:v>N/A</x:v>
      </x:c>
      <x:c r="AL126" s="32" t="str">
        <x:v>N/A</x:v>
      </x:c>
      <x:c r="AM126" s="32" t="str">
        <x:v>N/A</x:v>
      </x:c>
      <x:c r="AN126" s="32" t="str">
        <x:v>N/A</x:v>
      </x:c>
      <x:c r="AO126" s="32" t="str">
        <x:v>N/A</x:v>
      </x:c>
      <x:c r="AP126" s="32" t="str">
        <x:v>N/A</x:v>
      </x:c>
      <x:c r="AQ126" s="32" t="str">
        <x:v>판단불가</x:v>
      </x:c>
      <x:c r="AR126" s="32" t="str">
        <x:v>NOT_APPLICABLE</x:v>
      </x:c>
      <x:c r="AS126" s="32" t="str">
        <x:v>MEDIUM</x:v>
      </x:c>
      <x:c r="AT126" s="33" t="str">
        <x:v>기존 자동 범위 판정에서 KOSIS 직접 검증 대상이 아닌 것으로 분류됨.</x:v>
      </x:c>
      <x:c r="AU126" s="32" t="str">
        <x:v>N/A</x:v>
      </x:c>
      <x:c r="AV126" s="32" t="n">
        <x:v>46239.28157407408</x:v>
      </x:c>
      <x:c r="AW126" s="32" t="str">
        <x:v>KOSIS_MCP_AUTO_V3</x:v>
      </x:c>
      <x:c r="AX126" s="32" t="str">
        <x:v>N</x:v>
      </x:c>
    </x:row>
    <x:row r="127">
      <x:c r="A127" s="32" t="str">
        <x:v>A0837-C010</x:v>
      </x:c>
      <x:c r="B127" s="32" t="str">
        <x:v>A0837-C010-m1</x:v>
      </x:c>
      <x:c r="C127" s="32" t="str">
        <x:v>A0837</x:v>
      </x:c>
      <x:c r="D127" s="32" t="str">
        <x:v>1인 年소득 5000만원? 난 왜 체감이 안 될까</x:v>
      </x:c>
      <x:c r="E127" s="32" t="str">
        <x:v>2025-03-06</x:v>
      </x:c>
      <x:c r="F127" s="32" t="str">
        <x:v>https://www.chosun.com/economy/economy_general/2025/03/06/6NO5N7ES2NFOJIC7KKZF4E3ZHI</x:v>
      </x:c>
      <x:c r="G127" s="33" t="str">
        <x:v>우리나라 1인당 PGDI는 1975년 482달러였는데, 지난 2023년에는 1만9498달러(약 2840만원)로 상승했다.</x:v>
      </x:c>
      <x:c r="H127" s="32" t="str">
        <x:v>482달러</x:v>
      </x:c>
      <x:c r="I127" s="32" t="str">
        <x:v>KOSIS_VALUE</x:v>
      </x:c>
      <x:c r="J127" s="32" t="str">
        <x:v>국내공식통계</x:v>
      </x:c>
      <x:c r="K127" s="32" t="str">
        <x:v>hcx</x:v>
      </x:c>
      <x:c r="L127" s="32" t="str">
        <x:v>현재값</x:v>
      </x:c>
      <x:c r="M127" s="32" t="str">
        <x:v>PGDI</x:v>
      </x:c>
      <x:c r="N127" s="32" t="str">
        <x:v>-</x:v>
      </x:c>
      <x:c r="O127" s="32" t="str">
        <x:v>482</x:v>
      </x:c>
      <x:c r="P127" s="32" t="str">
        <x:v>달러</x:v>
      </x:c>
      <x:c r="Q127" s="32" t="str">
        <x:v>1975</x:v>
      </x:c>
      <x:c r="R127" s="32" t="str">
        <x:v>Y</x:v>
      </x:c>
      <x:c r="S127" s="32" t="str">
        <x:v>N</x:v>
      </x:c>
      <x:c r="T127" s="32" t="str">
        <x:v>Y</x:v>
      </x:c>
      <x:c r="U127" s="32" t="str">
        <x:v>N</x:v>
      </x:c>
      <x:c r="V127" s="32" t="str">
        <x:v>MCP_NOT_VERIFIABLE</x:v>
      </x:c>
      <x:c r="W127" s="32" t="str">
        <x:v>N/A</x:v>
      </x:c>
      <x:c r="X127" s="32" t="str">
        <x:v>N/A</x:v>
      </x:c>
      <x:c r="Y127" s="32" t="str">
        <x:v>N/A</x:v>
      </x:c>
      <x:c r="Z127" s="32" t="str">
        <x:v>N/A</x:v>
      </x:c>
      <x:c r="AA127" s="32" t="str">
        <x:v>N/A</x:v>
      </x:c>
      <x:c r="AB127" s="32" t="str">
        <x:v>N/A</x:v>
      </x:c>
      <x:c r="AC127" s="32" t="str">
        <x:v>N/A</x:v>
      </x:c>
      <x:c r="AD127" s="32" t="str">
        <x:v>N/A</x:v>
      </x:c>
      <x:c r="AE127" s="32" t="str">
        <x:v>N/A</x:v>
      </x:c>
      <x:c r="AF127" s="32" t="str">
        <x:v>N/A</x:v>
      </x:c>
      <x:c r="AG127" s="32" t="str">
        <x:v>N/A</x:v>
      </x:c>
      <x:c r="AH127" s="32" t="str">
        <x:v>N/A</x:v>
      </x:c>
      <x:c r="AI127" s="32" t="str">
        <x:v>N/A</x:v>
      </x:c>
      <x:c r="AJ127" s="32" t="str">
        <x:v>N/A</x:v>
      </x:c>
      <x:c r="AK127" s="32" t="str">
        <x:v>N/A</x:v>
      </x:c>
      <x:c r="AL127" s="32" t="str">
        <x:v>N/A</x:v>
      </x:c>
      <x:c r="AM127" s="32" t="str">
        <x:v>N/A</x:v>
      </x:c>
      <x:c r="AN127" s="32" t="str">
        <x:v>N/A</x:v>
      </x:c>
      <x:c r="AO127" s="32" t="str">
        <x:v>N/A</x:v>
      </x:c>
      <x:c r="AP127" s="32" t="str">
        <x:v>N/A</x:v>
      </x:c>
      <x:c r="AQ127" s="32" t="str">
        <x:v>판단불가</x:v>
      </x:c>
      <x:c r="AR127" s="32" t="str">
        <x:v>NOT_APPLICABLE</x:v>
      </x:c>
      <x:c r="AS127" s="32" t="str">
        <x:v>HIGH</x:v>
      </x:c>
      <x:c r="AT127" s="33" t="str">
        <x:v>1인당 PGDI는 한국은행 국민계정 계열로 로컬 KOSIS 카탈로그에서 직접 좌표를 찾지 못함.</x:v>
      </x:c>
      <x:c r="AU127" s="32" t="str">
        <x:v>N/A</x:v>
      </x:c>
      <x:c r="AV127" s="32" t="n">
        <x:v>46239.28157407408</x:v>
      </x:c>
      <x:c r="AW127" s="32" t="str">
        <x:v>KOSIS_MCP_AUTO_V3</x:v>
      </x:c>
      <x:c r="AX127" s="32" t="str">
        <x:v>N</x:v>
      </x:c>
    </x:row>
    <x:row r="128">
      <x:c r="A128" s="32" t="str">
        <x:v>A0837-C010</x:v>
      </x:c>
      <x:c r="B128" s="32" t="str">
        <x:v>A0837-C010-m2</x:v>
      </x:c>
      <x:c r="C128" s="32" t="str">
        <x:v>A0837</x:v>
      </x:c>
      <x:c r="D128" s="32" t="str">
        <x:v>1인 年소득 5000만원? 난 왜 체감이 안 될까</x:v>
      </x:c>
      <x:c r="E128" s="32" t="str">
        <x:v>2025-03-06</x:v>
      </x:c>
      <x:c r="F128" s="32" t="str">
        <x:v>https://www.chosun.com/economy/economy_general/2025/03/06/6NO5N7ES2NFOJIC7KKZF4E3ZHI</x:v>
      </x:c>
      <x:c r="G128" s="33" t="str">
        <x:v>우리나라 1인당 PGDI는 1975년 482달러였는데, 지난 2023년에는 1만9498달러(약 2840만원)로 상승했다.</x:v>
      </x:c>
      <x:c r="H128" s="32" t="str">
        <x:v>1만9498달러</x:v>
      </x:c>
      <x:c r="I128" s="32" t="str">
        <x:v>KOSIS_VALUE</x:v>
      </x:c>
      <x:c r="J128" s="32" t="str">
        <x:v>국내공식통계</x:v>
      </x:c>
      <x:c r="K128" s="32" t="str">
        <x:v>hcx</x:v>
      </x:c>
      <x:c r="L128" s="32" t="str">
        <x:v>현재값</x:v>
      </x:c>
      <x:c r="M128" s="32" t="str">
        <x:v>PGDI</x:v>
      </x:c>
      <x:c r="N128" s="32" t="str">
        <x:v>-</x:v>
      </x:c>
      <x:c r="O128" s="32" t="str">
        <x:v>19498</x:v>
      </x:c>
      <x:c r="P128" s="32" t="str">
        <x:v>달러</x:v>
      </x:c>
      <x:c r="Q128" s="32" t="str">
        <x:v>2023</x:v>
      </x:c>
      <x:c r="R128" s="32" t="str">
        <x:v>Y</x:v>
      </x:c>
      <x:c r="S128" s="32" t="str">
        <x:v>N</x:v>
      </x:c>
      <x:c r="T128" s="32" t="str">
        <x:v>Y</x:v>
      </x:c>
      <x:c r="U128" s="32" t="str">
        <x:v>N</x:v>
      </x:c>
      <x:c r="V128" s="32" t="str">
        <x:v>MCP_NOT_VERIFIABLE</x:v>
      </x:c>
      <x:c r="W128" s="32" t="str">
        <x:v>N/A</x:v>
      </x:c>
      <x:c r="X128" s="32" t="str">
        <x:v>N/A</x:v>
      </x:c>
      <x:c r="Y128" s="32" t="str">
        <x:v>N/A</x:v>
      </x:c>
      <x:c r="Z128" s="32" t="str">
        <x:v>N/A</x:v>
      </x:c>
      <x:c r="AA128" s="32" t="str">
        <x:v>N/A</x:v>
      </x:c>
      <x:c r="AB128" s="32" t="str">
        <x:v>N/A</x:v>
      </x:c>
      <x:c r="AC128" s="32" t="str">
        <x:v>N/A</x:v>
      </x:c>
      <x:c r="AD128" s="32" t="str">
        <x:v>N/A</x:v>
      </x:c>
      <x:c r="AE128" s="32" t="str">
        <x:v>N/A</x:v>
      </x:c>
      <x:c r="AF128" s="32" t="str">
        <x:v>N/A</x:v>
      </x:c>
      <x:c r="AG128" s="32" t="str">
        <x:v>N/A</x:v>
      </x:c>
      <x:c r="AH128" s="32" t="str">
        <x:v>N/A</x:v>
      </x:c>
      <x:c r="AI128" s="32" t="str">
        <x:v>N/A</x:v>
      </x:c>
      <x:c r="AJ128" s="32" t="str">
        <x:v>N/A</x:v>
      </x:c>
      <x:c r="AK128" s="32" t="str">
        <x:v>N/A</x:v>
      </x:c>
      <x:c r="AL128" s="32" t="str">
        <x:v>N/A</x:v>
      </x:c>
      <x:c r="AM128" s="32" t="str">
        <x:v>N/A</x:v>
      </x:c>
      <x:c r="AN128" s="32" t="str">
        <x:v>N/A</x:v>
      </x:c>
      <x:c r="AO128" s="32" t="str">
        <x:v>N/A</x:v>
      </x:c>
      <x:c r="AP128" s="32" t="str">
        <x:v>N/A</x:v>
      </x:c>
      <x:c r="AQ128" s="32" t="str">
        <x:v>판단불가</x:v>
      </x:c>
      <x:c r="AR128" s="32" t="str">
        <x:v>NOT_APPLICABLE</x:v>
      </x:c>
      <x:c r="AS128" s="32" t="str">
        <x:v>HIGH</x:v>
      </x:c>
      <x:c r="AT128" s="33" t="str">
        <x:v>1인당 PGDI는 한국은행 국민계정 계열로 로컬 KOSIS 카탈로그에서 직접 좌표를 찾지 못함.</x:v>
      </x:c>
      <x:c r="AU128" s="32" t="str">
        <x:v>N/A</x:v>
      </x:c>
      <x:c r="AV128" s="32" t="n">
        <x:v>46239.28157407408</x:v>
      </x:c>
      <x:c r="AW128" s="32" t="str">
        <x:v>KOSIS_MCP_AUTO_V3</x:v>
      </x:c>
      <x:c r="AX128" s="32" t="str">
        <x:v>N</x:v>
      </x:c>
    </x:row>
    <x:row r="129">
      <x:c r="A129" s="32" t="str">
        <x:v>A0837-C010</x:v>
      </x:c>
      <x:c r="B129" s="32" t="str">
        <x:v>A0837-C010-m3</x:v>
      </x:c>
      <x:c r="C129" s="32" t="str">
        <x:v>A0837</x:v>
      </x:c>
      <x:c r="D129" s="32" t="str">
        <x:v>1인 年소득 5000만원? 난 왜 체감이 안 될까</x:v>
      </x:c>
      <x:c r="E129" s="32" t="str">
        <x:v>2025-03-06</x:v>
      </x:c>
      <x:c r="F129" s="32" t="str">
        <x:v>https://www.chosun.com/economy/economy_general/2025/03/06/6NO5N7ES2NFOJIC7KKZF4E3ZHI</x:v>
      </x:c>
      <x:c r="G129" s="33" t="str">
        <x:v>우리나라 1인당 PGDI는 1975년 482달러였는데, 지난 2023년에는 1만9498달러(약 2840만원)로 상승했다.</x:v>
      </x:c>
      <x:c r="H129" s="32" t="str">
        <x:v>2840만원</x:v>
      </x:c>
      <x:c r="I129" s="32" t="str">
        <x:v>KOSIS_VALUE</x:v>
      </x:c>
      <x:c r="J129" s="32" t="str">
        <x:v>국내공식통계</x:v>
      </x:c>
      <x:c r="K129" s="32" t="str">
        <x:v>hcx</x:v>
      </x:c>
      <x:c r="L129" s="32" t="str">
        <x:v>현재값</x:v>
      </x:c>
      <x:c r="M129" s="32" t="str">
        <x:v>PGDI</x:v>
      </x:c>
      <x:c r="N129" s="32" t="str">
        <x:v>-</x:v>
      </x:c>
      <x:c r="O129" s="32" t="str">
        <x:v>28400000</x:v>
      </x:c>
      <x:c r="P129" s="32" t="str">
        <x:v>원</x:v>
      </x:c>
      <x:c r="Q129" s="32" t="str">
        <x:v>2023</x:v>
      </x:c>
      <x:c r="R129" s="32" t="str">
        <x:v>Y</x:v>
      </x:c>
      <x:c r="S129" s="32" t="str">
        <x:v>N</x:v>
      </x:c>
      <x:c r="T129" s="32" t="str">
        <x:v>Y</x:v>
      </x:c>
      <x:c r="U129" s="32" t="str">
        <x:v>N</x:v>
      </x:c>
      <x:c r="V129" s="32" t="str">
        <x:v>MCP_NOT_VERIFIABLE</x:v>
      </x:c>
      <x:c r="W129" s="32" t="str">
        <x:v>N/A</x:v>
      </x:c>
      <x:c r="X129" s="32" t="str">
        <x:v>N/A</x:v>
      </x:c>
      <x:c r="Y129" s="32" t="str">
        <x:v>N/A</x:v>
      </x:c>
      <x:c r="Z129" s="32" t="str">
        <x:v>N/A</x:v>
      </x:c>
      <x:c r="AA129" s="32" t="str">
        <x:v>N/A</x:v>
      </x:c>
      <x:c r="AB129" s="32" t="str">
        <x:v>N/A</x:v>
      </x:c>
      <x:c r="AC129" s="32" t="str">
        <x:v>N/A</x:v>
      </x:c>
      <x:c r="AD129" s="32" t="str">
        <x:v>N/A</x:v>
      </x:c>
      <x:c r="AE129" s="32" t="str">
        <x:v>N/A</x:v>
      </x:c>
      <x:c r="AF129" s="32" t="str">
        <x:v>N/A</x:v>
      </x:c>
      <x:c r="AG129" s="32" t="str">
        <x:v>N/A</x:v>
      </x:c>
      <x:c r="AH129" s="32" t="str">
        <x:v>N/A</x:v>
      </x:c>
      <x:c r="AI129" s="32" t="str">
        <x:v>N/A</x:v>
      </x:c>
      <x:c r="AJ129" s="32" t="str">
        <x:v>N/A</x:v>
      </x:c>
      <x:c r="AK129" s="32" t="str">
        <x:v>N/A</x:v>
      </x:c>
      <x:c r="AL129" s="32" t="str">
        <x:v>N/A</x:v>
      </x:c>
      <x:c r="AM129" s="32" t="str">
        <x:v>N/A</x:v>
      </x:c>
      <x:c r="AN129" s="32" t="str">
        <x:v>N/A</x:v>
      </x:c>
      <x:c r="AO129" s="32" t="str">
        <x:v>N/A</x:v>
      </x:c>
      <x:c r="AP129" s="32" t="str">
        <x:v>N/A</x:v>
      </x:c>
      <x:c r="AQ129" s="32" t="str">
        <x:v>판단불가</x:v>
      </x:c>
      <x:c r="AR129" s="32" t="str">
        <x:v>NOT_APPLICABLE</x:v>
      </x:c>
      <x:c r="AS129" s="32" t="str">
        <x:v>HIGH</x:v>
      </x:c>
      <x:c r="AT129" s="33" t="str">
        <x:v>원화 PGDI는 달러값에 환율을 적용한 기사 환산치라 단일 KOSIS 원자료가 아님.</x:v>
      </x:c>
      <x:c r="AU129" s="32" t="str">
        <x:v>N/A</x:v>
      </x:c>
      <x:c r="AV129" s="32" t="n">
        <x:v>46239.28157407408</x:v>
      </x:c>
      <x:c r="AW129" s="32" t="str">
        <x:v>KOSIS_MCP_AUTO_V3</x:v>
      </x:c>
      <x:c r="AX129" s="32" t="str">
        <x:v>N</x:v>
      </x:c>
    </x:row>
    <x:row r="130">
      <x:c r="A130" s="32" t="str">
        <x:v>A0837-C012</x:v>
      </x:c>
      <x:c r="B130" s="32" t="str">
        <x:v>A0837-C012-m1</x:v>
      </x:c>
      <x:c r="C130" s="32" t="str">
        <x:v>A0837</x:v>
      </x:c>
      <x:c r="D130" s="32" t="str">
        <x:v>1인 年소득 5000만원? 난 왜 체감이 안 될까</x:v>
      </x:c>
      <x:c r="E130" s="32" t="str">
        <x:v>2025-03-06</x:v>
      </x:c>
      <x:c r="F130" s="32" t="str">
        <x:v>https://www.chosun.com/economy/economy_general/2025/03/06/6NO5N7ES2NFOJIC7KKZF4E3ZHI</x:v>
      </x:c>
      <x:c r="G130" s="33" t="str">
        <x:v>한은에 따르면 GNI 대비 PGDI 비율은 한은이 해당 통계 작성을 시작한 1975년에는 77.5%였는데, 지난 2023년 53.9%로 역대 최저치로 떨어졌다.</x:v>
      </x:c>
      <x:c r="H130" s="32" t="str">
        <x:v>53.90%</x:v>
      </x:c>
      <x:c r="I130" s="32" t="str">
        <x:v>KOSIS_VALUE</x:v>
      </x:c>
      <x:c r="J130" s="32" t="str">
        <x:v>국내공식통계</x:v>
      </x:c>
      <x:c r="K130" s="32" t="str">
        <x:v>hcx</x:v>
      </x:c>
      <x:c r="L130" s="32" t="str">
        <x:v>현재값</x:v>
      </x:c>
      <x:c r="M130" s="32" t="str">
        <x:v>GNI 대비 PGDI 비율</x:v>
      </x:c>
      <x:c r="N130" s="32" t="str">
        <x:v>-</x:v>
      </x:c>
      <x:c r="O130" s="32" t="str">
        <x:v>53.9</x:v>
      </x:c>
      <x:c r="P130" s="32" t="str">
        <x:v>%</x:v>
      </x:c>
      <x:c r="Q130" s="32" t="str">
        <x:v>2023</x:v>
      </x:c>
      <x:c r="R130" s="32" t="str">
        <x:v>Y</x:v>
      </x:c>
      <x:c r="S130" s="32" t="str">
        <x:v>N</x:v>
      </x:c>
      <x:c r="T130" s="32" t="str">
        <x:v>Y</x:v>
      </x:c>
      <x:c r="U130" s="32" t="str">
        <x:v>N</x:v>
      </x:c>
      <x:c r="V130" s="32" t="str">
        <x:v>MCP_NOT_VERIFIABLE</x:v>
      </x:c>
      <x:c r="W130" s="32" t="str">
        <x:v>N/A</x:v>
      </x:c>
      <x:c r="X130" s="32" t="str">
        <x:v>N/A</x:v>
      </x:c>
      <x:c r="Y130" s="32" t="str">
        <x:v>N/A</x:v>
      </x:c>
      <x:c r="Z130" s="32" t="str">
        <x:v>N/A</x:v>
      </x:c>
      <x:c r="AA130" s="32" t="str">
        <x:v>N/A</x:v>
      </x:c>
      <x:c r="AB130" s="32" t="str">
        <x:v>N/A</x:v>
      </x:c>
      <x:c r="AC130" s="32" t="str">
        <x:v>N/A</x:v>
      </x:c>
      <x:c r="AD130" s="32" t="str">
        <x:v>N/A</x:v>
      </x:c>
      <x:c r="AE130" s="32" t="str">
        <x:v>N/A</x:v>
      </x:c>
      <x:c r="AF130" s="32" t="str">
        <x:v>N/A</x:v>
      </x:c>
      <x:c r="AG130" s="32" t="str">
        <x:v>N/A</x:v>
      </x:c>
      <x:c r="AH130" s="32" t="str">
        <x:v>N/A</x:v>
      </x:c>
      <x:c r="AI130" s="32" t="str">
        <x:v>N/A</x:v>
      </x:c>
      <x:c r="AJ130" s="32" t="str">
        <x:v>N/A</x:v>
      </x:c>
      <x:c r="AK130" s="32" t="str">
        <x:v>N/A</x:v>
      </x:c>
      <x:c r="AL130" s="32" t="str">
        <x:v>N/A</x:v>
      </x:c>
      <x:c r="AM130" s="32" t="str">
        <x:v>N/A</x:v>
      </x:c>
      <x:c r="AN130" s="32" t="str">
        <x:v>N/A</x:v>
      </x:c>
      <x:c r="AO130" s="32" t="str">
        <x:v>N/A</x:v>
      </x:c>
      <x:c r="AP130" s="32" t="str">
        <x:v>N/A</x:v>
      </x:c>
      <x:c r="AQ130" s="32" t="str">
        <x:v>판단불가</x:v>
      </x:c>
      <x:c r="AR130" s="32" t="str">
        <x:v>NOT_APPLICABLE</x:v>
      </x:c>
      <x:c r="AS130" s="32" t="str">
        <x:v>HIGH</x:v>
      </x:c>
      <x:c r="AT130" s="33" t="str">
        <x:v>GNI 대비 PGDI 비율은 한국은행 국민계정 파생지표로 로컬 KOSIS 좌표를 확정하지 못함.</x:v>
      </x:c>
      <x:c r="AU130" s="32" t="str">
        <x:v>N/A</x:v>
      </x:c>
      <x:c r="AV130" s="32" t="n">
        <x:v>46239.28157407408</x:v>
      </x:c>
      <x:c r="AW130" s="32" t="str">
        <x:v>KOSIS_MCP_AUTO_V3</x:v>
      </x:c>
      <x:c r="AX130" s="32" t="str">
        <x:v>N</x:v>
      </x:c>
    </x:row>
    <x:row r="131">
      <x:c r="A131" s="32" t="str">
        <x:v>A0871-C010</x:v>
      </x:c>
      <x:c r="B131" s="32" t="str">
        <x:v>A0871-C010-m1</x:v>
      </x:c>
      <x:c r="C131" s="32" t="str">
        <x:v>A0871</x:v>
      </x:c>
      <x:c r="D131" s="32" t="str">
        <x:v>“아이 낳으면 1억 드립니다”… 인구 증가 ‘전국 1위’ 찍은 이 도시</x:v>
      </x:c>
      <x:c r="E131" s="32" t="str">
        <x:v>2025-03-09</x:v>
      </x:c>
      <x:c r="F131" s="32" t="str">
        <x:v>https://www.chosun.com/national/national_general/2025/03/09/2FUPCN2GEBEJBF4V7LWZ7PD62I</x:v>
      </x:c>
      <x:c r="G131" s="33" t="str">
        <x:v>인구 유입 척도 중 하나인 순이동률에서도 인천은 2021년 이후 단 한 차례도 마이너스를 기록하지 않았다.</x:v>
      </x:c>
      <x:c r="H131" s="32" t="str">
        <x:v>마이너스</x:v>
      </x:c>
      <x:c r="I131" s="32" t="str">
        <x:v>KOSIS_VALUE</x:v>
      </x:c>
      <x:c r="J131" s="32" t="str">
        <x:v>국내공식통계</x:v>
      </x:c>
      <x:c r="K131" s="32" t="str">
        <x:v>hcx</x:v>
      </x:c>
      <x:c r="L131" s="32" t="str">
        <x:v>현재값</x:v>
      </x:c>
      <x:c r="M131" s="32" t="str">
        <x:v>순이동률</x:v>
      </x:c>
      <x:c r="N131" s="32" t="str">
        <x:v>-</x:v>
      </x:c>
      <x:c r="O131" s="32" t="str">
        <x:v>0</x:v>
      </x:c>
      <x:c r="P131" s="32" t="str">
        <x:v>%</x:v>
      </x:c>
      <x:c r="Q131" s="32" t="str">
        <x:v>2021</x:v>
      </x:c>
      <x:c r="R131" s="32" t="str">
        <x:v>Y</x:v>
      </x:c>
      <x:c r="S131" s="32" t="str">
        <x:v>N</x:v>
      </x:c>
      <x:c r="T131" s="32" t="str">
        <x:v>N</x:v>
      </x:c>
      <x:c r="U131" s="32" t="str">
        <x:v>N</x:v>
      </x:c>
      <x:c r="V131" s="32" t="str">
        <x:v>MCP_NOT_VERIFIABLE</x:v>
      </x:c>
      <x:c r="W131" s="32" t="str">
        <x:v>N/A</x:v>
      </x:c>
      <x:c r="X131" s="32" t="str">
        <x:v>N/A</x:v>
      </x:c>
      <x:c r="Y131" s="32" t="str">
        <x:v>N/A</x:v>
      </x:c>
      <x:c r="Z131" s="32" t="str">
        <x:v>N/A</x:v>
      </x:c>
      <x:c r="AA131" s="32" t="str">
        <x:v>N/A</x:v>
      </x:c>
      <x:c r="AB131" s="32" t="str">
        <x:v>N/A</x:v>
      </x:c>
      <x:c r="AC131" s="32" t="str">
        <x:v>N/A</x:v>
      </x:c>
      <x:c r="AD131" s="32" t="str">
        <x:v>N/A</x:v>
      </x:c>
      <x:c r="AE131" s="32" t="str">
        <x:v>N/A</x:v>
      </x:c>
      <x:c r="AF131" s="32" t="str">
        <x:v>N/A</x:v>
      </x:c>
      <x:c r="AG131" s="32" t="str">
        <x:v>N/A</x:v>
      </x:c>
      <x:c r="AH131" s="32" t="str">
        <x:v>N/A</x:v>
      </x:c>
      <x:c r="AI131" s="32" t="str">
        <x:v>N/A</x:v>
      </x:c>
      <x:c r="AJ131" s="32" t="str">
        <x:v>N/A</x:v>
      </x:c>
      <x:c r="AK131" s="32" t="str">
        <x:v>N/A</x:v>
      </x:c>
      <x:c r="AL131" s="32" t="str">
        <x:v>N/A</x:v>
      </x:c>
      <x:c r="AM131" s="32" t="str">
        <x:v>N/A</x:v>
      </x:c>
      <x:c r="AN131" s="32" t="str">
        <x:v>N/A</x:v>
      </x:c>
      <x:c r="AO131" s="32" t="str">
        <x:v>N/A</x:v>
      </x:c>
      <x:c r="AP131" s="32" t="str">
        <x:v>N/A</x:v>
      </x:c>
      <x:c r="AQ131" s="32" t="str">
        <x:v>판단불가</x:v>
      </x:c>
      <x:c r="AR131" s="32" t="str">
        <x:v>NOT_APPLICABLE</x:v>
      </x:c>
      <x:c r="AS131" s="32" t="str">
        <x:v>HIGH</x:v>
      </x:c>
      <x:c r="AT131" s="33" t="str">
        <x:v>'2021년 이후 한 번도 음수가 아님'은 다기간 조건 주장으로 단일 측정값 0%와 동일하지 않음.</x:v>
      </x:c>
      <x:c r="AU131" s="32" t="str">
        <x:v>N/A</x:v>
      </x:c>
      <x:c r="AV131" s="32" t="n">
        <x:v>46239.28157407408</x:v>
      </x:c>
      <x:c r="AW131" s="32" t="str">
        <x:v>KOSIS_MCP_AUTO_V3</x:v>
      </x:c>
      <x:c r="AX131" s="32" t="str">
        <x:v>N</x:v>
      </x:c>
    </x:row>
    <x:row r="132">
      <x:c r="A132" s="32" t="str">
        <x:v>A0872-C007</x:v>
      </x:c>
      <x:c r="B132" s="32" t="str">
        <x:v>A0872-C007-m2</x:v>
      </x:c>
      <x:c r="C132" s="32" t="str">
        <x:v>A0872</x:v>
      </x:c>
      <x:c r="D132" s="32" t="str">
        <x:v>픽업트럭 기아 타스만, 불티나게 팔리는 이유</x:v>
      </x:c>
      <x:c r="E132" s="32" t="str">
        <x:v>2025-03-09</x:v>
      </x:c>
      <x:c r="F132" s="32" t="str">
        <x:v>https://www.chosun.com/economy/auto/2025/03/09/7KBLGBFYONHXZBMQOMJWKE275U</x:v>
      </x:c>
      <x:c r="G132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2" s="32" t="str">
        <x:v>4만2619대</x:v>
      </x:c>
      <x:c r="I132" s="32" t="str">
        <x:v>KOSIS_VALUE</x:v>
      </x:c>
      <x:c r="J132" s="32" t="str">
        <x:v>국내공식통계</x:v>
      </x:c>
      <x:c r="K132" s="32" t="str">
        <x:v>hcx</x:v>
      </x:c>
      <x:c r="L132" s="32" t="str">
        <x:v>현재값</x:v>
      </x:c>
      <x:c r="M132" s="32" t="str">
        <x:v>픽업 판매량</x:v>
      </x:c>
      <x:c r="N132" s="32" t="str">
        <x:v>완성차</x:v>
      </x:c>
      <x:c r="O132" s="32" t="str">
        <x:v>42619</x:v>
      </x:c>
      <x:c r="P132" s="32" t="str">
        <x:v>대</x:v>
      </x:c>
      <x:c r="Q132" s="32" t="str">
        <x:v>2019</x:v>
      </x:c>
      <x:c r="R132" s="32" t="str">
        <x:v>Y</x:v>
      </x:c>
      <x:c r="S132" s="32" t="str">
        <x:v>N</x:v>
      </x:c>
      <x:c r="T132" s="32" t="str">
        <x:v>Y</x:v>
      </x:c>
      <x:c r="U132" s="32" t="str">
        <x:v>N</x:v>
      </x:c>
      <x:c r="V132" s="32" t="str">
        <x:v>MCP_NOT_VERIFIABLE</x:v>
      </x:c>
      <x:c r="W132" s="32" t="str">
        <x:v>N/A</x:v>
      </x:c>
      <x:c r="X132" s="32" t="str">
        <x:v>N/A</x:v>
      </x:c>
      <x:c r="Y132" s="32" t="str">
        <x:v>N/A</x:v>
      </x:c>
      <x:c r="Z132" s="32" t="str">
        <x:v>N/A</x:v>
      </x:c>
      <x:c r="AA132" s="32" t="str">
        <x:v>N/A</x:v>
      </x:c>
      <x:c r="AB132" s="32" t="str">
        <x:v>N/A</x:v>
      </x:c>
      <x:c r="AC132" s="32" t="str">
        <x:v>N/A</x:v>
      </x:c>
      <x:c r="AD132" s="32" t="str">
        <x:v>N/A</x:v>
      </x:c>
      <x:c r="AE132" s="32" t="str">
        <x:v>N/A</x:v>
      </x:c>
      <x:c r="AF132" s="32" t="str">
        <x:v>N/A</x:v>
      </x:c>
      <x:c r="AG132" s="32" t="str">
        <x:v>N/A</x:v>
      </x:c>
      <x:c r="AH132" s="32" t="str">
        <x:v>N/A</x:v>
      </x:c>
      <x:c r="AI132" s="32" t="str">
        <x:v>N/A</x:v>
      </x:c>
      <x:c r="AJ132" s="32" t="str">
        <x:v>N/A</x:v>
      </x:c>
      <x:c r="AK132" s="32" t="str">
        <x:v>N/A</x:v>
      </x:c>
      <x:c r="AL132" s="32" t="str">
        <x:v>N/A</x:v>
      </x:c>
      <x:c r="AM132" s="32" t="str">
        <x:v>N/A</x:v>
      </x:c>
      <x:c r="AN132" s="32" t="str">
        <x:v>N/A</x:v>
      </x:c>
      <x:c r="AO132" s="32" t="str">
        <x:v>N/A</x:v>
      </x:c>
      <x:c r="AP132" s="32" t="str">
        <x:v>N/A</x:v>
      </x:c>
      <x:c r="AQ132" s="32" t="str">
        <x:v>판단불가</x:v>
      </x:c>
      <x:c r="AR132" s="32" t="str">
        <x:v>NOT_APPLICABLE</x:v>
      </x:c>
      <x:c r="AS132" s="32" t="str">
        <x:v>MEDIUM</x:v>
      </x:c>
      <x:c r="AT132" s="33" t="str">
        <x:v>기존 자동 범위 판정에서 KOSIS 직접 검증 대상이 아닌 것으로 분류됨.</x:v>
      </x:c>
      <x:c r="AU132" s="32" t="str">
        <x:v>N/A</x:v>
      </x:c>
      <x:c r="AV132" s="32" t="n">
        <x:v>46239.28157407408</x:v>
      </x:c>
      <x:c r="AW132" s="32" t="str">
        <x:v>KOSIS_MCP_AUTO_V3</x:v>
      </x:c>
      <x:c r="AX132" s="32" t="str">
        <x:v>N</x:v>
      </x:c>
    </x:row>
    <x:row r="133">
      <x:c r="A133" s="32" t="str">
        <x:v>A0872-C007</x:v>
      </x:c>
      <x:c r="B133" s="32" t="str">
        <x:v>A0872-C007-m3</x:v>
      </x:c>
      <x:c r="C133" s="32" t="str">
        <x:v>A0872</x:v>
      </x:c>
      <x:c r="D133" s="32" t="str">
        <x:v>픽업트럭 기아 타스만, 불티나게 팔리는 이유</x:v>
      </x:c>
      <x:c r="E133" s="32" t="str">
        <x:v>2025-03-09</x:v>
      </x:c>
      <x:c r="F133" s="32" t="str">
        <x:v>https://www.chosun.com/economy/auto/2025/03/09/7KBLGBFYONHXZBMQOMJWKE275U</x:v>
      </x:c>
      <x:c r="G133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3" s="32" t="str">
        <x:v>3만8117대</x:v>
      </x:c>
      <x:c r="I133" s="32" t="str">
        <x:v>KOSIS_VALUE</x:v>
      </x:c>
      <x:c r="J133" s="32" t="str">
        <x:v>국내공식통계</x:v>
      </x:c>
      <x:c r="K133" s="32" t="str">
        <x:v>hcx</x:v>
      </x:c>
      <x:c r="L133" s="32" t="str">
        <x:v>현재값</x:v>
      </x:c>
      <x:c r="M133" s="32" t="str">
        <x:v>픽업 판매량</x:v>
      </x:c>
      <x:c r="N133" s="32" t="str">
        <x:v>완성차</x:v>
      </x:c>
      <x:c r="O133" s="32" t="str">
        <x:v>38117</x:v>
      </x:c>
      <x:c r="P133" s="32" t="str">
        <x:v>대</x:v>
      </x:c>
      <x:c r="Q133" s="32" t="str">
        <x:v>2020</x:v>
      </x:c>
      <x:c r="R133" s="32" t="str">
        <x:v>Y</x:v>
      </x:c>
      <x:c r="S133" s="32" t="str">
        <x:v>N</x:v>
      </x:c>
      <x:c r="T133" s="32" t="str">
        <x:v>Y</x:v>
      </x:c>
      <x:c r="U133" s="32" t="str">
        <x:v>N</x:v>
      </x:c>
      <x:c r="V133" s="32" t="str">
        <x:v>MCP_NOT_VERIFIABLE</x:v>
      </x:c>
      <x:c r="W133" s="32" t="str">
        <x:v>N/A</x:v>
      </x:c>
      <x:c r="X133" s="32" t="str">
        <x:v>N/A</x:v>
      </x:c>
      <x:c r="Y133" s="32" t="str">
        <x:v>N/A</x:v>
      </x:c>
      <x:c r="Z133" s="32" t="str">
        <x:v>N/A</x:v>
      </x:c>
      <x:c r="AA133" s="32" t="str">
        <x:v>N/A</x:v>
      </x:c>
      <x:c r="AB133" s="32" t="str">
        <x:v>N/A</x:v>
      </x:c>
      <x:c r="AC133" s="32" t="str">
        <x:v>N/A</x:v>
      </x:c>
      <x:c r="AD133" s="32" t="str">
        <x:v>N/A</x:v>
      </x:c>
      <x:c r="AE133" s="32" t="str">
        <x:v>N/A</x:v>
      </x:c>
      <x:c r="AF133" s="32" t="str">
        <x:v>N/A</x:v>
      </x:c>
      <x:c r="AG133" s="32" t="str">
        <x:v>N/A</x:v>
      </x:c>
      <x:c r="AH133" s="32" t="str">
        <x:v>N/A</x:v>
      </x:c>
      <x:c r="AI133" s="32" t="str">
        <x:v>N/A</x:v>
      </x:c>
      <x:c r="AJ133" s="32" t="str">
        <x:v>N/A</x:v>
      </x:c>
      <x:c r="AK133" s="32" t="str">
        <x:v>N/A</x:v>
      </x:c>
      <x:c r="AL133" s="32" t="str">
        <x:v>N/A</x:v>
      </x:c>
      <x:c r="AM133" s="32" t="str">
        <x:v>N/A</x:v>
      </x:c>
      <x:c r="AN133" s="32" t="str">
        <x:v>N/A</x:v>
      </x:c>
      <x:c r="AO133" s="32" t="str">
        <x:v>N/A</x:v>
      </x:c>
      <x:c r="AP133" s="32" t="str">
        <x:v>N/A</x:v>
      </x:c>
      <x:c r="AQ133" s="32" t="str">
        <x:v>판단불가</x:v>
      </x:c>
      <x:c r="AR133" s="32" t="str">
        <x:v>NOT_APPLICABLE</x:v>
      </x:c>
      <x:c r="AS133" s="32" t="str">
        <x:v>MEDIUM</x:v>
      </x:c>
      <x:c r="AT133" s="33" t="str">
        <x:v>기존 자동 범위 판정에서 KOSIS 직접 검증 대상이 아닌 것으로 분류됨.</x:v>
      </x:c>
      <x:c r="AU133" s="32" t="str">
        <x:v>N/A</x:v>
      </x:c>
      <x:c r="AV133" s="32" t="n">
        <x:v>46239.28157407408</x:v>
      </x:c>
      <x:c r="AW133" s="32" t="str">
        <x:v>KOSIS_MCP_AUTO_V3</x:v>
      </x:c>
      <x:c r="AX133" s="32" t="str">
        <x:v>N</x:v>
      </x:c>
    </x:row>
    <x:row r="134">
      <x:c r="A134" s="32" t="str">
        <x:v>A0872-C007</x:v>
      </x:c>
      <x:c r="B134" s="32" t="str">
        <x:v>A0872-C007-m4</x:v>
      </x:c>
      <x:c r="C134" s="32" t="str">
        <x:v>A0872</x:v>
      </x:c>
      <x:c r="D134" s="32" t="str">
        <x:v>픽업트럭 기아 타스만, 불티나게 팔리는 이유</x:v>
      </x:c>
      <x:c r="E134" s="32" t="str">
        <x:v>2025-03-09</x:v>
      </x:c>
      <x:c r="F134" s="32" t="str">
        <x:v>https://www.chosun.com/economy/auto/2025/03/09/7KBLGBFYONHXZBMQOMJWKE275U</x:v>
      </x:c>
      <x:c r="G134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4" s="32" t="str">
        <x:v>2만9567대</x:v>
      </x:c>
      <x:c r="I134" s="32" t="str">
        <x:v>KOSIS_VALUE</x:v>
      </x:c>
      <x:c r="J134" s="32" t="str">
        <x:v>국내공식통계</x:v>
      </x:c>
      <x:c r="K134" s="32" t="str">
        <x:v>hcx</x:v>
      </x:c>
      <x:c r="L134" s="32" t="str">
        <x:v>현재값</x:v>
      </x:c>
      <x:c r="M134" s="32" t="str">
        <x:v>픽업 판매량</x:v>
      </x:c>
      <x:c r="N134" s="32" t="str">
        <x:v>완성차</x:v>
      </x:c>
      <x:c r="O134" s="32" t="str">
        <x:v>29567</x:v>
      </x:c>
      <x:c r="P134" s="32" t="str">
        <x:v>대</x:v>
      </x:c>
      <x:c r="Q134" s="32" t="str">
        <x:v>2021</x:v>
      </x:c>
      <x:c r="R134" s="32" t="str">
        <x:v>Y</x:v>
      </x:c>
      <x:c r="S134" s="32" t="str">
        <x:v>N</x:v>
      </x:c>
      <x:c r="T134" s="32" t="str">
        <x:v>Y</x:v>
      </x:c>
      <x:c r="U134" s="32" t="str">
        <x:v>N</x:v>
      </x:c>
      <x:c r="V134" s="32" t="str">
        <x:v>MCP_NOT_VERIFIABLE</x:v>
      </x:c>
      <x:c r="W134" s="32" t="str">
        <x:v>N/A</x:v>
      </x:c>
      <x:c r="X134" s="32" t="str">
        <x:v>N/A</x:v>
      </x:c>
      <x:c r="Y134" s="32" t="str">
        <x:v>N/A</x:v>
      </x:c>
      <x:c r="Z134" s="32" t="str">
        <x:v>N/A</x:v>
      </x:c>
      <x:c r="AA134" s="32" t="str">
        <x:v>N/A</x:v>
      </x:c>
      <x:c r="AB134" s="32" t="str">
        <x:v>N/A</x:v>
      </x:c>
      <x:c r="AC134" s="32" t="str">
        <x:v>N/A</x:v>
      </x:c>
      <x:c r="AD134" s="32" t="str">
        <x:v>N/A</x:v>
      </x:c>
      <x:c r="AE134" s="32" t="str">
        <x:v>N/A</x:v>
      </x:c>
      <x:c r="AF134" s="32" t="str">
        <x:v>N/A</x:v>
      </x:c>
      <x:c r="AG134" s="32" t="str">
        <x:v>N/A</x:v>
      </x:c>
      <x:c r="AH134" s="32" t="str">
        <x:v>N/A</x:v>
      </x:c>
      <x:c r="AI134" s="32" t="str">
        <x:v>N/A</x:v>
      </x:c>
      <x:c r="AJ134" s="32" t="str">
        <x:v>N/A</x:v>
      </x:c>
      <x:c r="AK134" s="32" t="str">
        <x:v>N/A</x:v>
      </x:c>
      <x:c r="AL134" s="32" t="str">
        <x:v>N/A</x:v>
      </x:c>
      <x:c r="AM134" s="32" t="str">
        <x:v>N/A</x:v>
      </x:c>
      <x:c r="AN134" s="32" t="str">
        <x:v>N/A</x:v>
      </x:c>
      <x:c r="AO134" s="32" t="str">
        <x:v>N/A</x:v>
      </x:c>
      <x:c r="AP134" s="32" t="str">
        <x:v>N/A</x:v>
      </x:c>
      <x:c r="AQ134" s="32" t="str">
        <x:v>판단불가</x:v>
      </x:c>
      <x:c r="AR134" s="32" t="str">
        <x:v>NOT_APPLICABLE</x:v>
      </x:c>
      <x:c r="AS134" s="32" t="str">
        <x:v>MEDIUM</x:v>
      </x:c>
      <x:c r="AT134" s="33" t="str">
        <x:v>기존 자동 범위 판정에서 KOSIS 직접 검증 대상이 아닌 것으로 분류됨.</x:v>
      </x:c>
      <x:c r="AU134" s="32" t="str">
        <x:v>N/A</x:v>
      </x:c>
      <x:c r="AV134" s="32" t="n">
        <x:v>46239.28157407408</x:v>
      </x:c>
      <x:c r="AW134" s="32" t="str">
        <x:v>KOSIS_MCP_AUTO_V3</x:v>
      </x:c>
      <x:c r="AX134" s="32" t="str">
        <x:v>N</x:v>
      </x:c>
    </x:row>
    <x:row r="135">
      <x:c r="A135" s="32" t="str">
        <x:v>A0872-C007</x:v>
      </x:c>
      <x:c r="B135" s="32" t="str">
        <x:v>A0872-C007-m5</x:v>
      </x:c>
      <x:c r="C135" s="32" t="str">
        <x:v>A0872</x:v>
      </x:c>
      <x:c r="D135" s="32" t="str">
        <x:v>픽업트럭 기아 타스만, 불티나게 팔리는 이유</x:v>
      </x:c>
      <x:c r="E135" s="32" t="str">
        <x:v>2025-03-09</x:v>
      </x:c>
      <x:c r="F135" s="32" t="str">
        <x:v>https://www.chosun.com/economy/auto/2025/03/09/7KBLGBFYONHXZBMQOMJWKE275U</x:v>
      </x:c>
      <x:c r="G135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5" s="32" t="str">
        <x:v>2만8753대</x:v>
      </x:c>
      <x:c r="I135" s="32" t="str">
        <x:v>KOSIS_VALUE</x:v>
      </x:c>
      <x:c r="J135" s="32" t="str">
        <x:v>국내공식통계</x:v>
      </x:c>
      <x:c r="K135" s="32" t="str">
        <x:v>hcx</x:v>
      </x:c>
      <x:c r="L135" s="32" t="str">
        <x:v>현재값</x:v>
      </x:c>
      <x:c r="M135" s="32" t="str">
        <x:v>픽업 판매량</x:v>
      </x:c>
      <x:c r="N135" s="32" t="str">
        <x:v>완성차</x:v>
      </x:c>
      <x:c r="O135" s="32" t="str">
        <x:v>28753</x:v>
      </x:c>
      <x:c r="P135" s="32" t="str">
        <x:v>대</x:v>
      </x:c>
      <x:c r="Q135" s="32" t="str">
        <x:v>2022</x:v>
      </x:c>
      <x:c r="R135" s="32" t="str">
        <x:v>Y</x:v>
      </x:c>
      <x:c r="S135" s="32" t="str">
        <x:v>N</x:v>
      </x:c>
      <x:c r="T135" s="32" t="str">
        <x:v>Y</x:v>
      </x:c>
      <x:c r="U135" s="32" t="str">
        <x:v>N</x:v>
      </x:c>
      <x:c r="V135" s="32" t="str">
        <x:v>MCP_NOT_VERIFIABLE</x:v>
      </x:c>
      <x:c r="W135" s="32" t="str">
        <x:v>N/A</x:v>
      </x:c>
      <x:c r="X135" s="32" t="str">
        <x:v>N/A</x:v>
      </x:c>
      <x:c r="Y135" s="32" t="str">
        <x:v>N/A</x:v>
      </x:c>
      <x:c r="Z135" s="32" t="str">
        <x:v>N/A</x:v>
      </x:c>
      <x:c r="AA135" s="32" t="str">
        <x:v>N/A</x:v>
      </x:c>
      <x:c r="AB135" s="32" t="str">
        <x:v>N/A</x:v>
      </x:c>
      <x:c r="AC135" s="32" t="str">
        <x:v>N/A</x:v>
      </x:c>
      <x:c r="AD135" s="32" t="str">
        <x:v>N/A</x:v>
      </x:c>
      <x:c r="AE135" s="32" t="str">
        <x:v>N/A</x:v>
      </x:c>
      <x:c r="AF135" s="32" t="str">
        <x:v>N/A</x:v>
      </x:c>
      <x:c r="AG135" s="32" t="str">
        <x:v>N/A</x:v>
      </x:c>
      <x:c r="AH135" s="32" t="str">
        <x:v>N/A</x:v>
      </x:c>
      <x:c r="AI135" s="32" t="str">
        <x:v>N/A</x:v>
      </x:c>
      <x:c r="AJ135" s="32" t="str">
        <x:v>N/A</x:v>
      </x:c>
      <x:c r="AK135" s="32" t="str">
        <x:v>N/A</x:v>
      </x:c>
      <x:c r="AL135" s="32" t="str">
        <x:v>N/A</x:v>
      </x:c>
      <x:c r="AM135" s="32" t="str">
        <x:v>N/A</x:v>
      </x:c>
      <x:c r="AN135" s="32" t="str">
        <x:v>N/A</x:v>
      </x:c>
      <x:c r="AO135" s="32" t="str">
        <x:v>N/A</x:v>
      </x:c>
      <x:c r="AP135" s="32" t="str">
        <x:v>N/A</x:v>
      </x:c>
      <x:c r="AQ135" s="32" t="str">
        <x:v>판단불가</x:v>
      </x:c>
      <x:c r="AR135" s="32" t="str">
        <x:v>NOT_APPLICABLE</x:v>
      </x:c>
      <x:c r="AS135" s="32" t="str">
        <x:v>MEDIUM</x:v>
      </x:c>
      <x:c r="AT135" s="33" t="str">
        <x:v>기존 자동 범위 판정에서 KOSIS 직접 검증 대상이 아닌 것으로 분류됨.</x:v>
      </x:c>
      <x:c r="AU135" s="32" t="str">
        <x:v>N/A</x:v>
      </x:c>
      <x:c r="AV135" s="32" t="n">
        <x:v>46239.28157407408</x:v>
      </x:c>
      <x:c r="AW135" s="32" t="str">
        <x:v>KOSIS_MCP_AUTO_V3</x:v>
      </x:c>
      <x:c r="AX135" s="32" t="str">
        <x:v>N</x:v>
      </x:c>
    </x:row>
    <x:row r="136">
      <x:c r="A136" s="32" t="str">
        <x:v>A0872-C007</x:v>
      </x:c>
      <x:c r="B136" s="32" t="str">
        <x:v>A0872-C007-m6</x:v>
      </x:c>
      <x:c r="C136" s="32" t="str">
        <x:v>A0872</x:v>
      </x:c>
      <x:c r="D136" s="32" t="str">
        <x:v>픽업트럭 기아 타스만, 불티나게 팔리는 이유</x:v>
      </x:c>
      <x:c r="E136" s="32" t="str">
        <x:v>2025-03-09</x:v>
      </x:c>
      <x:c r="F136" s="32" t="str">
        <x:v>https://www.chosun.com/economy/auto/2025/03/09/7KBLGBFYONHXZBMQOMJWKE275U</x:v>
      </x:c>
      <x:c r="G136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6" s="32" t="str">
        <x:v>1만7455대</x:v>
      </x:c>
      <x:c r="I136" s="32" t="str">
        <x:v>KOSIS_VALUE</x:v>
      </x:c>
      <x:c r="J136" s="32" t="str">
        <x:v>국내공식통계</x:v>
      </x:c>
      <x:c r="K136" s="32" t="str">
        <x:v>hcx</x:v>
      </x:c>
      <x:c r="L136" s="32" t="str">
        <x:v>현재값</x:v>
      </x:c>
      <x:c r="M136" s="32" t="str">
        <x:v>픽업 판매량</x:v>
      </x:c>
      <x:c r="N136" s="32" t="str">
        <x:v>완성차</x:v>
      </x:c>
      <x:c r="O136" s="32" t="str">
        <x:v>17455</x:v>
      </x:c>
      <x:c r="P136" s="32" t="str">
        <x:v>대</x:v>
      </x:c>
      <x:c r="Q136" s="32" t="str">
        <x:v>2023</x:v>
      </x:c>
      <x:c r="R136" s="32" t="str">
        <x:v>Y</x:v>
      </x:c>
      <x:c r="S136" s="32" t="str">
        <x:v>N</x:v>
      </x:c>
      <x:c r="T136" s="32" t="str">
        <x:v>Y</x:v>
      </x:c>
      <x:c r="U136" s="32" t="str">
        <x:v>N</x:v>
      </x:c>
      <x:c r="V136" s="32" t="str">
        <x:v>MCP_NOT_VERIFIABLE</x:v>
      </x:c>
      <x:c r="W136" s="32" t="str">
        <x:v>N/A</x:v>
      </x:c>
      <x:c r="X136" s="32" t="str">
        <x:v>N/A</x:v>
      </x:c>
      <x:c r="Y136" s="32" t="str">
        <x:v>N/A</x:v>
      </x:c>
      <x:c r="Z136" s="32" t="str">
        <x:v>N/A</x:v>
      </x:c>
      <x:c r="AA136" s="32" t="str">
        <x:v>N/A</x:v>
      </x:c>
      <x:c r="AB136" s="32" t="str">
        <x:v>N/A</x:v>
      </x:c>
      <x:c r="AC136" s="32" t="str">
        <x:v>N/A</x:v>
      </x:c>
      <x:c r="AD136" s="32" t="str">
        <x:v>N/A</x:v>
      </x:c>
      <x:c r="AE136" s="32" t="str">
        <x:v>N/A</x:v>
      </x:c>
      <x:c r="AF136" s="32" t="str">
        <x:v>N/A</x:v>
      </x:c>
      <x:c r="AG136" s="32" t="str">
        <x:v>N/A</x:v>
      </x:c>
      <x:c r="AH136" s="32" t="str">
        <x:v>N/A</x:v>
      </x:c>
      <x:c r="AI136" s="32" t="str">
        <x:v>N/A</x:v>
      </x:c>
      <x:c r="AJ136" s="32" t="str">
        <x:v>N/A</x:v>
      </x:c>
      <x:c r="AK136" s="32" t="str">
        <x:v>N/A</x:v>
      </x:c>
      <x:c r="AL136" s="32" t="str">
        <x:v>N/A</x:v>
      </x:c>
      <x:c r="AM136" s="32" t="str">
        <x:v>N/A</x:v>
      </x:c>
      <x:c r="AN136" s="32" t="str">
        <x:v>N/A</x:v>
      </x:c>
      <x:c r="AO136" s="32" t="str">
        <x:v>N/A</x:v>
      </x:c>
      <x:c r="AP136" s="32" t="str">
        <x:v>N/A</x:v>
      </x:c>
      <x:c r="AQ136" s="32" t="str">
        <x:v>판단불가</x:v>
      </x:c>
      <x:c r="AR136" s="32" t="str">
        <x:v>NOT_APPLICABLE</x:v>
      </x:c>
      <x:c r="AS136" s="32" t="str">
        <x:v>MEDIUM</x:v>
      </x:c>
      <x:c r="AT136" s="33" t="str">
        <x:v>기존 자동 범위 판정에서 KOSIS 직접 검증 대상이 아닌 것으로 분류됨.</x:v>
      </x:c>
      <x:c r="AU136" s="32" t="str">
        <x:v>N/A</x:v>
      </x:c>
      <x:c r="AV136" s="32" t="n">
        <x:v>46239.28157407408</x:v>
      </x:c>
      <x:c r="AW136" s="32" t="str">
        <x:v>KOSIS_MCP_AUTO_V3</x:v>
      </x:c>
      <x:c r="AX136" s="32" t="str">
        <x:v>N</x:v>
      </x:c>
    </x:row>
    <x:row r="137">
      <x:c r="A137" s="32" t="str">
        <x:v>A0872-C007</x:v>
      </x:c>
      <x:c r="B137" s="32" t="str">
        <x:v>A0872-C007-m7</x:v>
      </x:c>
      <x:c r="C137" s="32" t="str">
        <x:v>A0872</x:v>
      </x:c>
      <x:c r="D137" s="32" t="str">
        <x:v>픽업트럭 기아 타스만, 불티나게 팔리는 이유</x:v>
      </x:c>
      <x:c r="E137" s="32" t="str">
        <x:v>2025-03-09</x:v>
      </x:c>
      <x:c r="F137" s="32" t="str">
        <x:v>https://www.chosun.com/economy/auto/2025/03/09/7KBLGBFYONHXZBMQOMJWKE275U</x:v>
      </x:c>
      <x:c r="G137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7" s="32" t="str">
        <x:v>1만3475대</x:v>
      </x:c>
      <x:c r="I137" s="32" t="str">
        <x:v>KOSIS_VALUE</x:v>
      </x:c>
      <x:c r="J137" s="32" t="str">
        <x:v>국내공식통계</x:v>
      </x:c>
      <x:c r="K137" s="32" t="str">
        <x:v>hcx</x:v>
      </x:c>
      <x:c r="L137" s="32" t="str">
        <x:v>현재값</x:v>
      </x:c>
      <x:c r="M137" s="32" t="str">
        <x:v>픽업 판매량</x:v>
      </x:c>
      <x:c r="N137" s="32" t="str">
        <x:v>완성차</x:v>
      </x:c>
      <x:c r="O137" s="32" t="str">
        <x:v>13475</x:v>
      </x:c>
      <x:c r="P137" s="32" t="str">
        <x:v>대</x:v>
      </x:c>
      <x:c r="Q137" s="32" t="str">
        <x:v>2024</x:v>
      </x:c>
      <x:c r="R137" s="32" t="str">
        <x:v>Y</x:v>
      </x:c>
      <x:c r="S137" s="32" t="str">
        <x:v>N</x:v>
      </x:c>
      <x:c r="T137" s="32" t="str">
        <x:v>Y</x:v>
      </x:c>
      <x:c r="U137" s="32" t="str">
        <x:v>N</x:v>
      </x:c>
      <x:c r="V137" s="32" t="str">
        <x:v>MCP_NOT_VERIFIABLE</x:v>
      </x:c>
      <x:c r="W137" s="32" t="str">
        <x:v>N/A</x:v>
      </x:c>
      <x:c r="X137" s="32" t="str">
        <x:v>N/A</x:v>
      </x:c>
      <x:c r="Y137" s="32" t="str">
        <x:v>N/A</x:v>
      </x:c>
      <x:c r="Z137" s="32" t="str">
        <x:v>N/A</x:v>
      </x:c>
      <x:c r="AA137" s="32" t="str">
        <x:v>N/A</x:v>
      </x:c>
      <x:c r="AB137" s="32" t="str">
        <x:v>N/A</x:v>
      </x:c>
      <x:c r="AC137" s="32" t="str">
        <x:v>N/A</x:v>
      </x:c>
      <x:c r="AD137" s="32" t="str">
        <x:v>N/A</x:v>
      </x:c>
      <x:c r="AE137" s="32" t="str">
        <x:v>N/A</x:v>
      </x:c>
      <x:c r="AF137" s="32" t="str">
        <x:v>N/A</x:v>
      </x:c>
      <x:c r="AG137" s="32" t="str">
        <x:v>N/A</x:v>
      </x:c>
      <x:c r="AH137" s="32" t="str">
        <x:v>N/A</x:v>
      </x:c>
      <x:c r="AI137" s="32" t="str">
        <x:v>N/A</x:v>
      </x:c>
      <x:c r="AJ137" s="32" t="str">
        <x:v>N/A</x:v>
      </x:c>
      <x:c r="AK137" s="32" t="str">
        <x:v>N/A</x:v>
      </x:c>
      <x:c r="AL137" s="32" t="str">
        <x:v>N/A</x:v>
      </x:c>
      <x:c r="AM137" s="32" t="str">
        <x:v>N/A</x:v>
      </x:c>
      <x:c r="AN137" s="32" t="str">
        <x:v>N/A</x:v>
      </x:c>
      <x:c r="AO137" s="32" t="str">
        <x:v>N/A</x:v>
      </x:c>
      <x:c r="AP137" s="32" t="str">
        <x:v>N/A</x:v>
      </x:c>
      <x:c r="AQ137" s="32" t="str">
        <x:v>판단불가</x:v>
      </x:c>
      <x:c r="AR137" s="32" t="str">
        <x:v>NOT_APPLICABLE</x:v>
      </x:c>
      <x:c r="AS137" s="32" t="str">
        <x:v>MEDIUM</x:v>
      </x:c>
      <x:c r="AT137" s="33" t="str">
        <x:v>기존 자동 범위 판정에서 KOSIS 직접 검증 대상이 아닌 것으로 분류됨.</x:v>
      </x:c>
      <x:c r="AU137" s="32" t="str">
        <x:v>N/A</x:v>
      </x:c>
      <x:c r="AV137" s="32" t="n">
        <x:v>46239.28157407408</x:v>
      </x:c>
      <x:c r="AW137" s="32" t="str">
        <x:v>KOSIS_MCP_AUTO_V3</x:v>
      </x:c>
      <x:c r="AX137" s="32" t="str">
        <x:v>N</x:v>
      </x:c>
    </x:row>
    <x:row r="138">
      <x:c r="A138" s="32" t="str">
        <x:v>A0882-C023</x:v>
      </x:c>
      <x:c r="B138" s="32" t="str">
        <x:v>A0882-C023-m1</x:v>
      </x:c>
      <x:c r="C138" s="32" t="str">
        <x:v>A0882</x:v>
      </x:c>
      <x:c r="D138" s="32" t="str">
        <x:v>일본 따라가네... 중소·벤처 M&amp;A 시장서 독립계 자문사 뜬다</x:v>
      </x:c>
      <x:c r="E138" s="32" t="str">
        <x:v>2025-03-09</x:v>
      </x:c>
      <x:c r="F138" s="32" t="str">
        <x:v>https://www.chosun.com/economy/money/2025/03/09/FQYIFBQP7R6CKAJTG5MV7SQ2XA</x:v>
      </x:c>
      <x:c r="G138" s="33" t="str">
        <x:v>중소벤처기업연구원에 따르면 국내 제조 중소기업 경영자 중 ’60세 이상’ 비중은 2012년 14.1%에서 2022년 33.5%로 증가했다.</x:v>
      </x:c>
      <x:c r="H138" s="32" t="str">
        <x:v>33.50%</x:v>
      </x:c>
      <x:c r="I138" s="32" t="str">
        <x:v>KOSIS_VALUE</x:v>
      </x:c>
      <x:c r="J138" s="32" t="str">
        <x:v>국내공식통계</x:v>
      </x:c>
      <x:c r="K138" s="32" t="str">
        <x:v>hcx</x:v>
      </x:c>
      <x:c r="L138" s="32" t="str">
        <x:v>현재값</x:v>
      </x:c>
      <x:c r="M138" s="32" t="str">
        <x:v>제조 중소기업 경영자의 60세 이상 비중</x:v>
      </x:c>
      <x:c r="N138" s="32" t="str">
        <x:v>-</x:v>
      </x:c>
      <x:c r="O138" s="32" t="str">
        <x:v>33.5</x:v>
      </x:c>
      <x:c r="P138" s="32" t="str">
        <x:v>%</x:v>
      </x:c>
      <x:c r="Q138" s="32" t="str">
        <x:v>2022</x:v>
      </x:c>
      <x:c r="R138" s="32" t="str">
        <x:v>Y</x:v>
      </x:c>
      <x:c r="S138" s="32" t="str">
        <x:v>N</x:v>
      </x:c>
      <x:c r="T138" s="32" t="str">
        <x:v>Y</x:v>
      </x:c>
      <x:c r="U138" s="32" t="str">
        <x:v>N</x:v>
      </x:c>
      <x:c r="V138" s="32" t="str">
        <x:v>MCP_NOT_VERIFIABLE</x:v>
      </x:c>
      <x:c r="W138" s="32" t="str">
        <x:v>N/A</x:v>
      </x:c>
      <x:c r="X138" s="32" t="str">
        <x:v>N/A</x:v>
      </x:c>
      <x:c r="Y138" s="32" t="str">
        <x:v>N/A</x:v>
      </x:c>
      <x:c r="Z138" s="32" t="str">
        <x:v>N/A</x:v>
      </x:c>
      <x:c r="AA138" s="32" t="str">
        <x:v>N/A</x:v>
      </x:c>
      <x:c r="AB138" s="32" t="str">
        <x:v>N/A</x:v>
      </x:c>
      <x:c r="AC138" s="32" t="str">
        <x:v>N/A</x:v>
      </x:c>
      <x:c r="AD138" s="32" t="str">
        <x:v>N/A</x:v>
      </x:c>
      <x:c r="AE138" s="32" t="str">
        <x:v>N/A</x:v>
      </x:c>
      <x:c r="AF138" s="32" t="str">
        <x:v>N/A</x:v>
      </x:c>
      <x:c r="AG138" s="32" t="str">
        <x:v>N/A</x:v>
      </x:c>
      <x:c r="AH138" s="32" t="str">
        <x:v>N/A</x:v>
      </x:c>
      <x:c r="AI138" s="32" t="str">
        <x:v>N/A</x:v>
      </x:c>
      <x:c r="AJ138" s="32" t="str">
        <x:v>N/A</x:v>
      </x:c>
      <x:c r="AK138" s="32" t="str">
        <x:v>N/A</x:v>
      </x:c>
      <x:c r="AL138" s="32" t="str">
        <x:v>N/A</x:v>
      </x:c>
      <x:c r="AM138" s="32" t="str">
        <x:v>N/A</x:v>
      </x:c>
      <x:c r="AN138" s="32" t="str">
        <x:v>N/A</x:v>
      </x:c>
      <x:c r="AO138" s="32" t="str">
        <x:v>N/A</x:v>
      </x:c>
      <x:c r="AP138" s="32" t="str">
        <x:v>N/A</x:v>
      </x:c>
      <x:c r="AQ138" s="32" t="str">
        <x:v>판단불가</x:v>
      </x:c>
      <x:c r="AR138" s="32" t="str">
        <x:v>NOT_APPLICABLE</x:v>
      </x:c>
      <x:c r="AS138" s="32" t="str">
        <x:v>HIGH</x:v>
      </x:c>
      <x:c r="AT138" s="33" t="str">
        <x:v>중소벤처기업연구원 분석값이며 동일 정의의 KOSIS 직접 통계표를 찾지 못함.</x:v>
      </x:c>
      <x:c r="AU138" s="32" t="str">
        <x:v>N/A</x:v>
      </x:c>
      <x:c r="AV138" s="32" t="n">
        <x:v>46239.28157407408</x:v>
      </x:c>
      <x:c r="AW138" s="32" t="str">
        <x:v>KOSIS_MCP_AUTO_V3</x:v>
      </x:c>
      <x:c r="AX138" s="32" t="str">
        <x:v>N</x:v>
      </x:c>
    </x:row>
    <x:row r="139">
      <x:c r="A139" s="32" t="str">
        <x:v>A0898-C012</x:v>
      </x:c>
      <x:c r="B139" s="32" t="str">
        <x:v>A0898-C012-m2</x:v>
      </x:c>
      <x:c r="C139" s="32" t="str">
        <x:v>A0898</x:v>
      </x:c>
      <x:c r="D139" s="32" t="str">
        <x:v>국내 車 생산, 세계 7위로 추락… 멕시코에도 밀렸다</x:v>
      </x:c>
      <x:c r="E139" s="32" t="str">
        <x:v>2025-03-11</x:v>
      </x:c>
      <x:c r="F139" s="32" t="str">
        <x:v>https://www.chosun.com/economy/auto/2025/03/11/BD2YKP6KLNGMHHMTNOZSSXUYTQ</x:v>
      </x:c>
      <x:c r="G139" s="33" t="str">
        <x:v>그러나 반 토막 났던 독일이 회복세를 보이면서 2022년 6위로 밀렸고, 지난해엔 생산량까지 줄며 멕시코(420만대)에도 뒤졌다.</x:v>
      </x:c>
      <x:c r="H139" s="32" t="str">
        <x:v>420만대</x:v>
      </x:c>
      <x:c r="I139" s="32" t="str">
        <x:v>KOSIS_VALUE</x:v>
      </x:c>
      <x:c r="J139" s="32" t="str">
        <x:v>국내공식통계</x:v>
      </x:c>
      <x:c r="K139" s="32" t="str">
        <x:v>hcx</x:v>
      </x:c>
      <x:c r="L139" s="32" t="str">
        <x:v>현재값</x:v>
      </x:c>
      <x:c r="M139" s="32" t="str">
        <x:v>멕시코 자동차 생산량</x:v>
      </x:c>
      <x:c r="N139" s="32" t="str">
        <x:v>자동차</x:v>
      </x:c>
      <x:c r="O139" s="32" t="str">
        <x:v>4200000</x:v>
      </x:c>
      <x:c r="P139" s="32" t="str">
        <x:v>대</x:v>
      </x:c>
      <x:c r="Q139" s="32" t="str">
        <x:v>2022</x:v>
      </x:c>
      <x:c r="R139" s="32" t="str">
        <x:v>Y</x:v>
      </x:c>
      <x:c r="S139" s="32" t="str">
        <x:v>N</x:v>
      </x:c>
      <x:c r="T139" s="32" t="str">
        <x:v>N</x:v>
      </x:c>
      <x:c r="U139" s="32" t="str">
        <x:v>N</x:v>
      </x:c>
      <x:c r="V139" s="32" t="str">
        <x:v>MEASUREMENT_ERROR</x:v>
      </x:c>
      <x:c r="W139" s="32" t="str">
        <x:v>N/A</x:v>
      </x:c>
      <x:c r="X139" s="32" t="str">
        <x:v>N/A</x:v>
      </x:c>
      <x:c r="Y139" s="32" t="str">
        <x:v>N/A</x:v>
      </x:c>
      <x:c r="Z139" s="32" t="str">
        <x:v>N/A</x:v>
      </x:c>
      <x:c r="AA139" s="32" t="str">
        <x:v>N/A</x:v>
      </x:c>
      <x:c r="AB139" s="32" t="str">
        <x:v>N/A</x:v>
      </x:c>
      <x:c r="AC139" s="32" t="str">
        <x:v>N/A</x:v>
      </x:c>
      <x:c r="AD139" s="32" t="str">
        <x:v>N/A</x:v>
      </x:c>
      <x:c r="AE139" s="32" t="str">
        <x:v>N/A</x:v>
      </x:c>
      <x:c r="AF139" s="32" t="str">
        <x:v>N/A</x:v>
      </x:c>
      <x:c r="AG139" s="32" t="str">
        <x:v>N/A</x:v>
      </x:c>
      <x:c r="AH139" s="32" t="str">
        <x:v>N/A</x:v>
      </x:c>
      <x:c r="AI139" s="32" t="str">
        <x:v>N/A</x:v>
      </x:c>
      <x:c r="AJ139" s="32" t="str">
        <x:v>N/A</x:v>
      </x:c>
      <x:c r="AK139" s="32" t="str">
        <x:v>N/A</x:v>
      </x:c>
      <x:c r="AL139" s="32" t="str">
        <x:v>N/A</x:v>
      </x:c>
      <x:c r="AM139" s="32" t="str">
        <x:v>N/A</x:v>
      </x:c>
      <x:c r="AN139" s="32" t="str">
        <x:v>N/A</x:v>
      </x:c>
      <x:c r="AO139" s="32" t="str">
        <x:v>N/A</x:v>
      </x:c>
      <x:c r="AP139" s="32" t="str">
        <x:v>N/A</x:v>
      </x:c>
      <x:c r="AQ139" s="32" t="str">
        <x:v>판단불가</x:v>
      </x:c>
      <x:c r="AR139" s="32" t="str">
        <x:v>NOT_APPLICABLE</x:v>
      </x:c>
      <x:c r="AS139" s="32" t="str">
        <x:v>MEDIUM</x:v>
      </x:c>
      <x:c r="AT139" s="33" t="str">
        <x:v>기존 자동 측정 규칙에서 측정값 추출 오류로 분류되어 KOSIS 골드 좌표를 부여하지 않음.</x:v>
      </x:c>
      <x:c r="AU139" s="32" t="str">
        <x:v>N/A</x:v>
      </x:c>
      <x:c r="AV139" s="32" t="n">
        <x:v>46239.28157407408</x:v>
      </x:c>
      <x:c r="AW139" s="32" t="str">
        <x:v>KOSIS_MCP_AUTO_V3</x:v>
      </x:c>
      <x:c r="AX139" s="32" t="str">
        <x:v>N</x:v>
      </x:c>
    </x:row>
    <x:row r="140">
      <x:c r="A140" s="32" t="str">
        <x:v>A0976-C006</x:v>
      </x:c>
      <x:c r="B140" s="32" t="str">
        <x:v>A0976-C006-m1</x:v>
      </x:c>
      <x:c r="C140" s="32" t="str">
        <x:v>A0976</x:v>
      </x:c>
      <x:c r="D140" s="32" t="str">
        <x:v>제네시스 3대 중 1대 美서 팔린다… 트럼프 관세로 제동 우려</x:v>
      </x:c>
      <x:c r="E140" s="32" t="str">
        <x:v>2025-03-17</x:v>
      </x:c>
      <x:c r="F140" s="32" t="str">
        <x:v>https://www.chosun.com/economy/auto/2025/03/17/QH7A3LKN4ZE47F3HF5Y3FWSDF4</x:v>
      </x:c>
      <x:c r="G140" s="33" t="str">
        <x:v>국내에서는 13만674대(56.9%)를 팔아 한·미 양국이 전체 시장의 89.6%에 달했다.</x:v>
      </x:c>
      <x:c r="H140" s="32" t="str">
        <x:v>13만674대</x:v>
      </x:c>
      <x:c r="I140" s="32" t="str">
        <x:v>KOSIS_VALUE</x:v>
      </x:c>
      <x:c r="J140" s="32" t="str">
        <x:v>국내공식통계</x:v>
      </x:c>
      <x:c r="K140" s="32" t="str">
        <x:v>hcx</x:v>
      </x:c>
      <x:c r="L140" s="32" t="str">
        <x:v>현재값</x:v>
      </x:c>
      <x:c r="M140" s="32" t="str">
        <x:v>제네시스 판매량</x:v>
      </x:c>
      <x:c r="N140" s="32" t="str">
        <x:v>자동차</x:v>
      </x:c>
      <x:c r="O140" s="32" t="str">
        <x:v>130674</x:v>
      </x:c>
      <x:c r="P140" s="32" t="str">
        <x:v>대</x:v>
      </x:c>
      <x:c r="Q140" s="32" t="str">
        <x:v>2024</x:v>
      </x:c>
      <x:c r="R140" s="32" t="str">
        <x:v>Y</x:v>
      </x:c>
      <x:c r="S140" s="32" t="str">
        <x:v>N</x:v>
      </x:c>
      <x:c r="T140" s="32" t="str">
        <x:v>Y</x:v>
      </x:c>
      <x:c r="U140" s="32" t="str">
        <x:v>N</x:v>
      </x:c>
      <x:c r="V140" s="32" t="str">
        <x:v>MCP_NOT_VERIFIABLE</x:v>
      </x:c>
      <x:c r="W140" s="32" t="str">
        <x:v>N/A</x:v>
      </x:c>
      <x:c r="X140" s="32" t="str">
        <x:v>N/A</x:v>
      </x:c>
      <x:c r="Y140" s="32" t="str">
        <x:v>N/A</x:v>
      </x:c>
      <x:c r="Z140" s="32" t="str">
        <x:v>N/A</x:v>
      </x:c>
      <x:c r="AA140" s="32" t="str">
        <x:v>N/A</x:v>
      </x:c>
      <x:c r="AB140" s="32" t="str">
        <x:v>N/A</x:v>
      </x:c>
      <x:c r="AC140" s="32" t="str">
        <x:v>N/A</x:v>
      </x:c>
      <x:c r="AD140" s="32" t="str">
        <x:v>N/A</x:v>
      </x:c>
      <x:c r="AE140" s="32" t="str">
        <x:v>N/A</x:v>
      </x:c>
      <x:c r="AF140" s="32" t="str">
        <x:v>N/A</x:v>
      </x:c>
      <x:c r="AG140" s="32" t="str">
        <x:v>N/A</x:v>
      </x:c>
      <x:c r="AH140" s="32" t="str">
        <x:v>N/A</x:v>
      </x:c>
      <x:c r="AI140" s="32" t="str">
        <x:v>N/A</x:v>
      </x:c>
      <x:c r="AJ140" s="32" t="str">
        <x:v>N/A</x:v>
      </x:c>
      <x:c r="AK140" s="32" t="str">
        <x:v>N/A</x:v>
      </x:c>
      <x:c r="AL140" s="32" t="str">
        <x:v>N/A</x:v>
      </x:c>
      <x:c r="AM140" s="32" t="str">
        <x:v>N/A</x:v>
      </x:c>
      <x:c r="AN140" s="32" t="str">
        <x:v>N/A</x:v>
      </x:c>
      <x:c r="AO140" s="32" t="str">
        <x:v>N/A</x:v>
      </x:c>
      <x:c r="AP140" s="32" t="str">
        <x:v>N/A</x:v>
      </x:c>
      <x:c r="AQ140" s="32" t="str">
        <x:v>판단불가</x:v>
      </x:c>
      <x:c r="AR140" s="32" t="str">
        <x:v>NOT_APPLICABLE</x:v>
      </x:c>
      <x:c r="AS140" s="32" t="str">
        <x:v>MEDIUM</x:v>
      </x:c>
      <x:c r="AT140" s="33" t="str">
        <x:v>기존 자동 범위 판정에서 KOSIS 직접 검증 대상이 아닌 것으로 분류됨.</x:v>
      </x:c>
      <x:c r="AU140" s="32" t="str">
        <x:v>N/A</x:v>
      </x:c>
      <x:c r="AV140" s="32" t="n">
        <x:v>46239.28157407408</x:v>
      </x:c>
      <x:c r="AW140" s="32" t="str">
        <x:v>KOSIS_MCP_AUTO_V3</x:v>
      </x:c>
      <x:c r="AX140" s="32" t="str">
        <x:v>N</x:v>
      </x:c>
    </x:row>
    <x:row r="141">
      <x:c r="A141" s="32" t="str">
        <x:v>A0976-C006</x:v>
      </x:c>
      <x:c r="B141" s="32" t="str">
        <x:v>A0976-C006-m2</x:v>
      </x:c>
      <x:c r="C141" s="32" t="str">
        <x:v>A0976</x:v>
      </x:c>
      <x:c r="D141" s="32" t="str">
        <x:v>제네시스 3대 중 1대 美서 팔린다… 트럼프 관세로 제동 우려</x:v>
      </x:c>
      <x:c r="E141" s="32" t="str">
        <x:v>2025-03-17</x:v>
      </x:c>
      <x:c r="F141" s="32" t="str">
        <x:v>https://www.chosun.com/economy/auto/2025/03/17/QH7A3LKN4ZE47F3HF5Y3FWSDF4</x:v>
      </x:c>
      <x:c r="G141" s="33" t="str">
        <x:v>국내에서는 13만674대(56.9%)를 팔아 한·미 양국이 전체 시장의 89.6%에 달했다.</x:v>
      </x:c>
      <x:c r="H141" s="32" t="str">
        <x:v>56.90%</x:v>
      </x:c>
      <x:c r="I141" s="32" t="str">
        <x:v>KOSIS_VALUE</x:v>
      </x:c>
      <x:c r="J141" s="32" t="str">
        <x:v>국내공식통계</x:v>
      </x:c>
      <x:c r="K141" s="32" t="str">
        <x:v>hcx</x:v>
      </x:c>
      <x:c r="L141" s="32" t="str">
        <x:v>현재값</x:v>
      </x:c>
      <x:c r="M141" s="32" t="str">
        <x:v>국내 판매 비율</x:v>
      </x:c>
      <x:c r="N141" s="32" t="str">
        <x:v>자동차</x:v>
      </x:c>
      <x:c r="O141" s="32" t="str">
        <x:v>56.9</x:v>
      </x:c>
      <x:c r="P141" s="32" t="str">
        <x:v>%</x:v>
      </x:c>
      <x:c r="Q141" s="32" t="str">
        <x:v>2024</x:v>
      </x:c>
      <x:c r="R141" s="32" t="str">
        <x:v>Y</x:v>
      </x:c>
      <x:c r="S141" s="32" t="str">
        <x:v>N</x:v>
      </x:c>
      <x:c r="T141" s="32" t="str">
        <x:v>Y</x:v>
      </x:c>
      <x:c r="U141" s="32" t="str">
        <x:v>N</x:v>
      </x:c>
      <x:c r="V141" s="32" t="str">
        <x:v>MCP_NOT_VERIFIABLE</x:v>
      </x:c>
      <x:c r="W141" s="32" t="str">
        <x:v>N/A</x:v>
      </x:c>
      <x:c r="X141" s="32" t="str">
        <x:v>N/A</x:v>
      </x:c>
      <x:c r="Y141" s="32" t="str">
        <x:v>N/A</x:v>
      </x:c>
      <x:c r="Z141" s="32" t="str">
        <x:v>N/A</x:v>
      </x:c>
      <x:c r="AA141" s="32" t="str">
        <x:v>N/A</x:v>
      </x:c>
      <x:c r="AB141" s="32" t="str">
        <x:v>N/A</x:v>
      </x:c>
      <x:c r="AC141" s="32" t="str">
        <x:v>N/A</x:v>
      </x:c>
      <x:c r="AD141" s="32" t="str">
        <x:v>N/A</x:v>
      </x:c>
      <x:c r="AE141" s="32" t="str">
        <x:v>N/A</x:v>
      </x:c>
      <x:c r="AF141" s="32" t="str">
        <x:v>N/A</x:v>
      </x:c>
      <x:c r="AG141" s="32" t="str">
        <x:v>N/A</x:v>
      </x:c>
      <x:c r="AH141" s="32" t="str">
        <x:v>N/A</x:v>
      </x:c>
      <x:c r="AI141" s="32" t="str">
        <x:v>N/A</x:v>
      </x:c>
      <x:c r="AJ141" s="32" t="str">
        <x:v>N/A</x:v>
      </x:c>
      <x:c r="AK141" s="32" t="str">
        <x:v>N/A</x:v>
      </x:c>
      <x:c r="AL141" s="32" t="str">
        <x:v>N/A</x:v>
      </x:c>
      <x:c r="AM141" s="32" t="str">
        <x:v>N/A</x:v>
      </x:c>
      <x:c r="AN141" s="32" t="str">
        <x:v>N/A</x:v>
      </x:c>
      <x:c r="AO141" s="32" t="str">
        <x:v>N/A</x:v>
      </x:c>
      <x:c r="AP141" s="32" t="str">
        <x:v>N/A</x:v>
      </x:c>
      <x:c r="AQ141" s="32" t="str">
        <x:v>판단불가</x:v>
      </x:c>
      <x:c r="AR141" s="32" t="str">
        <x:v>NOT_APPLICABLE</x:v>
      </x:c>
      <x:c r="AS141" s="32" t="str">
        <x:v>MEDIUM</x:v>
      </x:c>
      <x:c r="AT141" s="33" t="str">
        <x:v>기존 자동 범위 판정에서 KOSIS 직접 검증 대상이 아닌 것으로 분류됨.</x:v>
      </x:c>
      <x:c r="AU141" s="32" t="str">
        <x:v>N/A</x:v>
      </x:c>
      <x:c r="AV141" s="32" t="n">
        <x:v>46239.28157407408</x:v>
      </x:c>
      <x:c r="AW141" s="32" t="str">
        <x:v>KOSIS_MCP_AUTO_V3</x:v>
      </x:c>
      <x:c r="AX141" s="32" t="str">
        <x:v>N</x:v>
      </x:c>
    </x:row>
    <x:row r="142">
      <x:c r="A142" s="32" t="str">
        <x:v>A0976-C006</x:v>
      </x:c>
      <x:c r="B142" s="32" t="str">
        <x:v>A0976-C006-m3</x:v>
      </x:c>
      <x:c r="C142" s="32" t="str">
        <x:v>A0976</x:v>
      </x:c>
      <x:c r="D142" s="32" t="str">
        <x:v>제네시스 3대 중 1대 美서 팔린다… 트럼프 관세로 제동 우려</x:v>
      </x:c>
      <x:c r="E142" s="32" t="str">
        <x:v>2025-03-17</x:v>
      </x:c>
      <x:c r="F142" s="32" t="str">
        <x:v>https://www.chosun.com/economy/auto/2025/03/17/QH7A3LKN4ZE47F3HF5Y3FWSDF4</x:v>
      </x:c>
      <x:c r="G142" s="33" t="str">
        <x:v>국내에서는 13만674대(56.9%)를 팔아 한·미 양국이 전체 시장의 89.6%에 달했다.</x:v>
      </x:c>
      <x:c r="H142" s="32" t="str">
        <x:v>89.60%</x:v>
      </x:c>
      <x:c r="I142" s="32" t="str">
        <x:v>KOSIS_VALUE</x:v>
      </x:c>
      <x:c r="J142" s="32" t="str">
        <x:v>국내공식통계</x:v>
      </x:c>
      <x:c r="K142" s="32" t="str">
        <x:v>hcx</x:v>
      </x:c>
      <x:c r="L142" s="32" t="str">
        <x:v>현재값</x:v>
      </x:c>
      <x:c r="M142" s="32" t="str">
        <x:v>한·미 판매 비율</x:v>
      </x:c>
      <x:c r="N142" s="32" t="str">
        <x:v>자동차</x:v>
      </x:c>
      <x:c r="O142" s="32" t="str">
        <x:v>89.6</x:v>
      </x:c>
      <x:c r="P142" s="32" t="str">
        <x:v>%</x:v>
      </x:c>
      <x:c r="Q142" s="32" t="str">
        <x:v>2024</x:v>
      </x:c>
      <x:c r="R142" s="32" t="str">
        <x:v>Y</x:v>
      </x:c>
      <x:c r="S142" s="32" t="str">
        <x:v>N</x:v>
      </x:c>
      <x:c r="T142" s="32" t="str">
        <x:v>Y</x:v>
      </x:c>
      <x:c r="U142" s="32" t="str">
        <x:v>N</x:v>
      </x:c>
      <x:c r="V142" s="32" t="str">
        <x:v>MCP_NOT_VERIFIABLE</x:v>
      </x:c>
      <x:c r="W142" s="32" t="str">
        <x:v>N/A</x:v>
      </x:c>
      <x:c r="X142" s="32" t="str">
        <x:v>N/A</x:v>
      </x:c>
      <x:c r="Y142" s="32" t="str">
        <x:v>N/A</x:v>
      </x:c>
      <x:c r="Z142" s="32" t="str">
        <x:v>N/A</x:v>
      </x:c>
      <x:c r="AA142" s="32" t="str">
        <x:v>N/A</x:v>
      </x:c>
      <x:c r="AB142" s="32" t="str">
        <x:v>N/A</x:v>
      </x:c>
      <x:c r="AC142" s="32" t="str">
        <x:v>N/A</x:v>
      </x:c>
      <x:c r="AD142" s="32" t="str">
        <x:v>N/A</x:v>
      </x:c>
      <x:c r="AE142" s="32" t="str">
        <x:v>N/A</x:v>
      </x:c>
      <x:c r="AF142" s="32" t="str">
        <x:v>N/A</x:v>
      </x:c>
      <x:c r="AG142" s="32" t="str">
        <x:v>N/A</x:v>
      </x:c>
      <x:c r="AH142" s="32" t="str">
        <x:v>N/A</x:v>
      </x:c>
      <x:c r="AI142" s="32" t="str">
        <x:v>N/A</x:v>
      </x:c>
      <x:c r="AJ142" s="32" t="str">
        <x:v>N/A</x:v>
      </x:c>
      <x:c r="AK142" s="32" t="str">
        <x:v>N/A</x:v>
      </x:c>
      <x:c r="AL142" s="32" t="str">
        <x:v>N/A</x:v>
      </x:c>
      <x:c r="AM142" s="32" t="str">
        <x:v>N/A</x:v>
      </x:c>
      <x:c r="AN142" s="32" t="str">
        <x:v>N/A</x:v>
      </x:c>
      <x:c r="AO142" s="32" t="str">
        <x:v>N/A</x:v>
      </x:c>
      <x:c r="AP142" s="32" t="str">
        <x:v>N/A</x:v>
      </x:c>
      <x:c r="AQ142" s="32" t="str">
        <x:v>판단불가</x:v>
      </x:c>
      <x:c r="AR142" s="32" t="str">
        <x:v>NOT_APPLICABLE</x:v>
      </x:c>
      <x:c r="AS142" s="32" t="str">
        <x:v>MEDIUM</x:v>
      </x:c>
      <x:c r="AT142" s="33" t="str">
        <x:v>기존 자동 범위 판정에서 KOSIS 직접 검증 대상이 아닌 것으로 분류됨.</x:v>
      </x:c>
      <x:c r="AU142" s="32" t="str">
        <x:v>N/A</x:v>
      </x:c>
      <x:c r="AV142" s="32" t="n">
        <x:v>46239.28157407408</x:v>
      </x:c>
      <x:c r="AW142" s="32" t="str">
        <x:v>KOSIS_MCP_AUTO_V3</x:v>
      </x:c>
      <x:c r="AX142" s="32" t="str">
        <x:v>N</x:v>
      </x:c>
    </x:row>
    <x:row r="143">
      <x:c r="A143" s="32" t="str">
        <x:v>A1051-C015</x:v>
      </x:c>
      <x:c r="B143" s="32" t="str">
        <x:v>A1051-C015-m1</x:v>
      </x:c>
      <x:c r="C143" s="32" t="str">
        <x:v>A1051</x:v>
      </x:c>
      <x:c r="D143" s="32" t="str">
        <x:v>[증시한담] 다시 늘어난 주식 보유 기간… 사실은 물려서?</x:v>
      </x:c>
      <x:c r="E143" s="32" t="str">
        <x:v>2025-03-22</x:v>
      </x:c>
      <x:c r="F143" s="32" t="str">
        <x:v>https://www.chosun.com/economy/money/2025/03/22/O5455JDSR7DFZT47VQV3STI7BQ</x:v>
      </x:c>
      <x:c r="G143" s="33" t="str">
        <x:v>한국예탁결제원에 따르면 삼성전자 주식 소유자 수는 지난해 말 기준 567만명입니다.</x:v>
      </x:c>
      <x:c r="H143" s="32" t="str">
        <x:v>567만명</x:v>
      </x:c>
      <x:c r="I143" s="32" t="str">
        <x:v>KOSIS_VALUE</x:v>
      </x:c>
      <x:c r="J143" s="32" t="str">
        <x:v>국내공식통계</x:v>
      </x:c>
      <x:c r="K143" s="32" t="str">
        <x:v>hcx</x:v>
      </x:c>
      <x:c r="L143" s="32" t="str">
        <x:v>현재값</x:v>
      </x:c>
      <x:c r="M143" s="32" t="str">
        <x:v>주식 소유자 수</x:v>
      </x:c>
      <x:c r="N143" s="32" t="str">
        <x:v>삼성전자</x:v>
      </x:c>
      <x:c r="O143" s="32" t="str">
        <x:v>5670000</x:v>
      </x:c>
      <x:c r="P143" s="32" t="str">
        <x:v>명</x:v>
      </x:c>
      <x:c r="Q143" s="32" t="str">
        <x:v>2024말</x:v>
      </x:c>
      <x:c r="R143" s="32" t="str">
        <x:v>Y</x:v>
      </x:c>
      <x:c r="S143" s="32" t="str">
        <x:v>N</x:v>
      </x:c>
      <x:c r="T143" s="32" t="str">
        <x:v>Y</x:v>
      </x:c>
      <x:c r="U143" s="32" t="str">
        <x:v>N</x:v>
      </x:c>
      <x:c r="V143" s="32" t="str">
        <x:v>MCP_NOT_VERIFIABLE</x:v>
      </x:c>
      <x:c r="W143" s="32" t="str">
        <x:v>N/A</x:v>
      </x:c>
      <x:c r="X143" s="32" t="str">
        <x:v>N/A</x:v>
      </x:c>
      <x:c r="Y143" s="32" t="str">
        <x:v>N/A</x:v>
      </x:c>
      <x:c r="Z143" s="32" t="str">
        <x:v>N/A</x:v>
      </x:c>
      <x:c r="AA143" s="32" t="str">
        <x:v>N/A</x:v>
      </x:c>
      <x:c r="AB143" s="32" t="str">
        <x:v>N/A</x:v>
      </x:c>
      <x:c r="AC143" s="32" t="str">
        <x:v>N/A</x:v>
      </x:c>
      <x:c r="AD143" s="32" t="str">
        <x:v>N/A</x:v>
      </x:c>
      <x:c r="AE143" s="32" t="str">
        <x:v>N/A</x:v>
      </x:c>
      <x:c r="AF143" s="32" t="str">
        <x:v>N/A</x:v>
      </x:c>
      <x:c r="AG143" s="32" t="str">
        <x:v>N/A</x:v>
      </x:c>
      <x:c r="AH143" s="32" t="str">
        <x:v>N/A</x:v>
      </x:c>
      <x:c r="AI143" s="32" t="str">
        <x:v>N/A</x:v>
      </x:c>
      <x:c r="AJ143" s="32" t="str">
        <x:v>N/A</x:v>
      </x:c>
      <x:c r="AK143" s="32" t="str">
        <x:v>N/A</x:v>
      </x:c>
      <x:c r="AL143" s="32" t="str">
        <x:v>N/A</x:v>
      </x:c>
      <x:c r="AM143" s="32" t="str">
        <x:v>N/A</x:v>
      </x:c>
      <x:c r="AN143" s="32" t="str">
        <x:v>N/A</x:v>
      </x:c>
      <x:c r="AO143" s="32" t="str">
        <x:v>N/A</x:v>
      </x:c>
      <x:c r="AP143" s="32" t="str">
        <x:v>N/A</x:v>
      </x:c>
      <x:c r="AQ143" s="32" t="str">
        <x:v>판단불가</x:v>
      </x:c>
      <x:c r="AR143" s="32" t="str">
        <x:v>NOT_APPLICABLE</x:v>
      </x:c>
      <x:c r="AS143" s="32" t="str">
        <x:v>MEDIUM</x:v>
      </x:c>
      <x:c r="AT143" s="33" t="str">
        <x:v>기존 자동 범위 판정에서 KOSIS 직접 검증 대상이 아닌 것으로 분류됨.</x:v>
      </x:c>
      <x:c r="AU143" s="32" t="str">
        <x:v>N/A</x:v>
      </x:c>
      <x:c r="AV143" s="32" t="n">
        <x:v>46239.28157407408</x:v>
      </x:c>
      <x:c r="AW143" s="32" t="str">
        <x:v>KOSIS_MCP_AUTO_V3</x:v>
      </x:c>
      <x:c r="AX143" s="32" t="str">
        <x:v>N</x:v>
      </x:c>
    </x:row>
    <x:row r="144">
      <x:c r="A144" s="32" t="str">
        <x:v>A1085-C008</x:v>
      </x:c>
      <x:c r="B144" s="32" t="str">
        <x:v>A1085-C008-m1</x:v>
      </x:c>
      <x:c r="C144" s="32" t="str">
        <x:v>A1085</x:v>
      </x:c>
      <x:c r="D144" s="32" t="str">
        <x:v>비대면진료 전면 허용 1년, 환자도 의사도 이용 급증</x:v>
      </x:c>
      <x:c r="E144" s="32" t="str">
        <x:v>2025-03-25</x:v>
      </x:c>
      <x:c r="F144" s="32" t="str">
        <x:v>https://www.chosun.com/economy/economy_general/2025/03/25/3PQ25G3OGFHIVFH467K6W3M63I</x:v>
      </x:c>
      <x:c r="G144" s="33" t="str">
        <x:v>올해 1~2월 닥터나우의 비대면 진료 중 감기, 몸살, 부인과, 소아과 등 경증 질환이 71%에 달하는 것으로 집계됐다.</x:v>
      </x:c>
      <x:c r="H144" s="32" t="str">
        <x:v>71%</x:v>
      </x:c>
      <x:c r="I144" s="32" t="str">
        <x:v>KOSIS_VALUE</x:v>
      </x:c>
      <x:c r="J144" s="32" t="str">
        <x:v>국내공식통계</x:v>
      </x:c>
      <x:c r="K144" s="32" t="str">
        <x:v>hcx</x:v>
      </x:c>
      <x:c r="L144" s="32" t="str">
        <x:v>현재값</x:v>
      </x:c>
      <x:c r="M144" s="32" t="str">
        <x:v>경증 질환 비율</x:v>
      </x:c>
      <x:c r="N144" s="32" t="str">
        <x:v>-</x:v>
      </x:c>
      <x:c r="O144" s="32" t="str">
        <x:v>71</x:v>
      </x:c>
      <x:c r="P144" s="32" t="str">
        <x:v>%</x:v>
      </x:c>
      <x:c r="Q144" s="32" t="str">
        <x:v>202503</x:v>
      </x:c>
      <x:c r="R144" s="32" t="str">
        <x:v>M</x:v>
      </x:c>
      <x:c r="S144" s="32" t="str">
        <x:v>N</x:v>
      </x:c>
      <x:c r="T144" s="32" t="str">
        <x:v>N</x:v>
      </x:c>
      <x:c r="U144" s="32" t="str">
        <x:v>N</x:v>
      </x:c>
      <x:c r="V144" s="32" t="str">
        <x:v>MEASUREMENT_ERROR</x:v>
      </x:c>
      <x:c r="W144" s="32" t="str">
        <x:v>N/A</x:v>
      </x:c>
      <x:c r="X144" s="32" t="str">
        <x:v>N/A</x:v>
      </x:c>
      <x:c r="Y144" s="32" t="str">
        <x:v>N/A</x:v>
      </x:c>
      <x:c r="Z144" s="32" t="str">
        <x:v>N/A</x:v>
      </x:c>
      <x:c r="AA144" s="32" t="str">
        <x:v>N/A</x:v>
      </x:c>
      <x:c r="AB144" s="32" t="str">
        <x:v>N/A</x:v>
      </x:c>
      <x:c r="AC144" s="32" t="str">
        <x:v>N/A</x:v>
      </x:c>
      <x:c r="AD144" s="32" t="str">
        <x:v>N/A</x:v>
      </x:c>
      <x:c r="AE144" s="32" t="str">
        <x:v>N/A</x:v>
      </x:c>
      <x:c r="AF144" s="32" t="str">
        <x:v>N/A</x:v>
      </x:c>
      <x:c r="AG144" s="32" t="str">
        <x:v>N/A</x:v>
      </x:c>
      <x:c r="AH144" s="32" t="str">
        <x:v>N/A</x:v>
      </x:c>
      <x:c r="AI144" s="32" t="str">
        <x:v>N/A</x:v>
      </x:c>
      <x:c r="AJ144" s="32" t="str">
        <x:v>N/A</x:v>
      </x:c>
      <x:c r="AK144" s="32" t="str">
        <x:v>N/A</x:v>
      </x:c>
      <x:c r="AL144" s="32" t="str">
        <x:v>N/A</x:v>
      </x:c>
      <x:c r="AM144" s="32" t="str">
        <x:v>N/A</x:v>
      </x:c>
      <x:c r="AN144" s="32" t="str">
        <x:v>N/A</x:v>
      </x:c>
      <x:c r="AO144" s="32" t="str">
        <x:v>N/A</x:v>
      </x:c>
      <x:c r="AP144" s="32" t="str">
        <x:v>N/A</x:v>
      </x:c>
      <x:c r="AQ144" s="32" t="str">
        <x:v>판단불가</x:v>
      </x:c>
      <x:c r="AR144" s="32" t="str">
        <x:v>NOT_APPLICABLE</x:v>
      </x:c>
      <x:c r="AS144" s="32" t="str">
        <x:v>MEDIUM</x:v>
      </x:c>
      <x:c r="AT144" s="33" t="str">
        <x:v>기존 자동 측정 규칙에서 측정값 추출 오류로 분류되어 KOSIS 골드 좌표를 부여하지 않음.</x:v>
      </x:c>
      <x:c r="AU144" s="32" t="str">
        <x:v>N/A</x:v>
      </x:c>
      <x:c r="AV144" s="32" t="n">
        <x:v>46239.28157407408</x:v>
      </x:c>
      <x:c r="AW144" s="32" t="str">
        <x:v>KOSIS_MCP_AUTO_V3</x:v>
      </x:c>
      <x:c r="AX144" s="32" t="str">
        <x:v>N</x:v>
      </x:c>
    </x:row>
    <x:row r="145">
      <x:c r="A145" s="32" t="str">
        <x:v>A1119-C017</x:v>
      </x:c>
      <x:c r="B145" s="32" t="str">
        <x:v>A1119-C017-m1</x:v>
      </x:c>
      <x:c r="C145" s="32" t="str">
        <x:v>A1119</x:v>
      </x:c>
      <x:c r="D145" s="32" t="str">
        <x:v>120만대 ‘메이드 인 USA’ 첫발… “4월 2일 이후가 중요”</x:v>
      </x:c>
      <x:c r="E145" s="32" t="str">
        <x:v>2025-03-28</x:v>
      </x:c>
      <x:c r="F145" s="32" t="str">
        <x:v>https://www.chosun.com/economy/auto/2025/03/28/CB3WOT3O4JEZTLLQRNXBHYA3SU</x:v>
      </x:c>
      <x:c r="G145" s="33" t="str">
        <x:v>현대차그룹은 지난해 미국 전기차 시장에서 12만대를 팔며 테슬라(63만대)에 이어 2위를 나타냈다.</x:v>
      </x:c>
      <x:c r="H145" s="32" t="str">
        <x:v>12만대</x:v>
      </x:c>
      <x:c r="I145" s="32" t="str">
        <x:v>KOSIS_VALUE</x:v>
      </x:c>
      <x:c r="J145" s="32" t="str">
        <x:v>국내공식통계</x:v>
      </x:c>
      <x:c r="K145" s="32" t="str">
        <x:v>hcx</x:v>
      </x:c>
      <x:c r="L145" s="32" t="str">
        <x:v>현재값</x:v>
      </x:c>
      <x:c r="M145" s="32" t="str">
        <x:v>전기차 판매량</x:v>
      </x:c>
      <x:c r="N145" s="32" t="str">
        <x:v>현대차그룹</x:v>
      </x:c>
      <x:c r="O145" s="32" t="str">
        <x:v>120000</x:v>
      </x:c>
      <x:c r="P145" s="32" t="str">
        <x:v>대</x:v>
      </x:c>
      <x:c r="Q145" s="32" t="str">
        <x:v>2025</x:v>
      </x:c>
      <x:c r="R145" s="32" t="str">
        <x:v>Y</x:v>
      </x:c>
      <x:c r="S145" s="32" t="str">
        <x:v>N</x:v>
      </x:c>
      <x:c r="T145" s="32" t="str">
        <x:v>N</x:v>
      </x:c>
      <x:c r="U145" s="32" t="str">
        <x:v>N</x:v>
      </x:c>
      <x:c r="V145" s="32" t="str">
        <x:v>MEASUREMENT_ERROR</x:v>
      </x:c>
      <x:c r="W145" s="32" t="str">
        <x:v>N/A</x:v>
      </x:c>
      <x:c r="X145" s="32" t="str">
        <x:v>N/A</x:v>
      </x:c>
      <x:c r="Y145" s="32" t="str">
        <x:v>N/A</x:v>
      </x:c>
      <x:c r="Z145" s="32" t="str">
        <x:v>N/A</x:v>
      </x:c>
      <x:c r="AA145" s="32" t="str">
        <x:v>N/A</x:v>
      </x:c>
      <x:c r="AB145" s="32" t="str">
        <x:v>N/A</x:v>
      </x:c>
      <x:c r="AC145" s="32" t="str">
        <x:v>N/A</x:v>
      </x:c>
      <x:c r="AD145" s="32" t="str">
        <x:v>N/A</x:v>
      </x:c>
      <x:c r="AE145" s="32" t="str">
        <x:v>N/A</x:v>
      </x:c>
      <x:c r="AF145" s="32" t="str">
        <x:v>N/A</x:v>
      </x:c>
      <x:c r="AG145" s="32" t="str">
        <x:v>N/A</x:v>
      </x:c>
      <x:c r="AH145" s="32" t="str">
        <x:v>N/A</x:v>
      </x:c>
      <x:c r="AI145" s="32" t="str">
        <x:v>N/A</x:v>
      </x:c>
      <x:c r="AJ145" s="32" t="str">
        <x:v>N/A</x:v>
      </x:c>
      <x:c r="AK145" s="32" t="str">
        <x:v>N/A</x:v>
      </x:c>
      <x:c r="AL145" s="32" t="str">
        <x:v>N/A</x:v>
      </x:c>
      <x:c r="AM145" s="32" t="str">
        <x:v>N/A</x:v>
      </x:c>
      <x:c r="AN145" s="32" t="str">
        <x:v>N/A</x:v>
      </x:c>
      <x:c r="AO145" s="32" t="str">
        <x:v>N/A</x:v>
      </x:c>
      <x:c r="AP145" s="32" t="str">
        <x:v>N/A</x:v>
      </x:c>
      <x:c r="AQ145" s="32" t="str">
        <x:v>판단불가</x:v>
      </x:c>
      <x:c r="AR145" s="32" t="str">
        <x:v>NOT_APPLICABLE</x:v>
      </x:c>
      <x:c r="AS145" s="32" t="str">
        <x:v>MEDIUM</x:v>
      </x:c>
      <x:c r="AT145" s="33" t="str">
        <x:v>기존 자동 측정 규칙에서 측정값 추출 오류로 분류되어 KOSIS 골드 좌표를 부여하지 않음.</x:v>
      </x:c>
      <x:c r="AU145" s="32" t="str">
        <x:v>N/A</x:v>
      </x:c>
      <x:c r="AV145" s="32" t="n">
        <x:v>46239.28157407408</x:v>
      </x:c>
      <x:c r="AW145" s="32" t="str">
        <x:v>KOSIS_MCP_AUTO_V3</x:v>
      </x:c>
      <x:c r="AX145" s="32" t="str">
        <x:v>N</x:v>
      </x:c>
    </x:row>
    <x:row r="146">
      <x:c r="A146" s="32" t="str">
        <x:v>A1119-C017</x:v>
      </x:c>
      <x:c r="B146" s="32" t="str">
        <x:v>A1119-C017-m2</x:v>
      </x:c>
      <x:c r="C146" s="32" t="str">
        <x:v>A1119</x:v>
      </x:c>
      <x:c r="D146" s="32" t="str">
        <x:v>120만대 ‘메이드 인 USA’ 첫발… “4월 2일 이후가 중요”</x:v>
      </x:c>
      <x:c r="E146" s="32" t="str">
        <x:v>2025-03-28</x:v>
      </x:c>
      <x:c r="F146" s="32" t="str">
        <x:v>https://www.chosun.com/economy/auto/2025/03/28/CB3WOT3O4JEZTLLQRNXBHYA3SU</x:v>
      </x:c>
      <x:c r="G146" s="33" t="str">
        <x:v>현대차그룹은 지난해 미국 전기차 시장에서 12만대를 팔며 테슬라(63만대)에 이어 2위를 나타냈다.</x:v>
      </x:c>
      <x:c r="H146" s="32" t="str">
        <x:v>63만대</x:v>
      </x:c>
      <x:c r="I146" s="32" t="str">
        <x:v>KOSIS_VALUE</x:v>
      </x:c>
      <x:c r="J146" s="32" t="str">
        <x:v>국내공식통계</x:v>
      </x:c>
      <x:c r="K146" s="32" t="str">
        <x:v>hcx</x:v>
      </x:c>
      <x:c r="L146" s="32" t="str">
        <x:v>현재값</x:v>
      </x:c>
      <x:c r="M146" s="32" t="str">
        <x:v>전기차 판매량</x:v>
      </x:c>
      <x:c r="N146" s="32" t="str">
        <x:v>테슬라</x:v>
      </x:c>
      <x:c r="O146" s="32" t="str">
        <x:v>630000</x:v>
      </x:c>
      <x:c r="P146" s="32" t="str">
        <x:v>대</x:v>
      </x:c>
      <x:c r="Q146" s="32" t="str">
        <x:v>2025</x:v>
      </x:c>
      <x:c r="R146" s="32" t="str">
        <x:v>Y</x:v>
      </x:c>
      <x:c r="S146" s="32" t="str">
        <x:v>N</x:v>
      </x:c>
      <x:c r="T146" s="32" t="str">
        <x:v>N</x:v>
      </x:c>
      <x:c r="U146" s="32" t="str">
        <x:v>N</x:v>
      </x:c>
      <x:c r="V146" s="32" t="str">
        <x:v>MEASUREMENT_ERROR</x:v>
      </x:c>
      <x:c r="W146" s="32" t="str">
        <x:v>N/A</x:v>
      </x:c>
      <x:c r="X146" s="32" t="str">
        <x:v>N/A</x:v>
      </x:c>
      <x:c r="Y146" s="32" t="str">
        <x:v>N/A</x:v>
      </x:c>
      <x:c r="Z146" s="32" t="str">
        <x:v>N/A</x:v>
      </x:c>
      <x:c r="AA146" s="32" t="str">
        <x:v>N/A</x:v>
      </x:c>
      <x:c r="AB146" s="32" t="str">
        <x:v>N/A</x:v>
      </x:c>
      <x:c r="AC146" s="32" t="str">
        <x:v>N/A</x:v>
      </x:c>
      <x:c r="AD146" s="32" t="str">
        <x:v>N/A</x:v>
      </x:c>
      <x:c r="AE146" s="32" t="str">
        <x:v>N/A</x:v>
      </x:c>
      <x:c r="AF146" s="32" t="str">
        <x:v>N/A</x:v>
      </x:c>
      <x:c r="AG146" s="32" t="str">
        <x:v>N/A</x:v>
      </x:c>
      <x:c r="AH146" s="32" t="str">
        <x:v>N/A</x:v>
      </x:c>
      <x:c r="AI146" s="32" t="str">
        <x:v>N/A</x:v>
      </x:c>
      <x:c r="AJ146" s="32" t="str">
        <x:v>N/A</x:v>
      </x:c>
      <x:c r="AK146" s="32" t="str">
        <x:v>N/A</x:v>
      </x:c>
      <x:c r="AL146" s="32" t="str">
        <x:v>N/A</x:v>
      </x:c>
      <x:c r="AM146" s="32" t="str">
        <x:v>N/A</x:v>
      </x:c>
      <x:c r="AN146" s="32" t="str">
        <x:v>N/A</x:v>
      </x:c>
      <x:c r="AO146" s="32" t="str">
        <x:v>N/A</x:v>
      </x:c>
      <x:c r="AP146" s="32" t="str">
        <x:v>N/A</x:v>
      </x:c>
      <x:c r="AQ146" s="32" t="str">
        <x:v>판단불가</x:v>
      </x:c>
      <x:c r="AR146" s="32" t="str">
        <x:v>NOT_APPLICABLE</x:v>
      </x:c>
      <x:c r="AS146" s="32" t="str">
        <x:v>MEDIUM</x:v>
      </x:c>
      <x:c r="AT146" s="33" t="str">
        <x:v>기존 자동 측정 규칙에서 측정값 추출 오류로 분류되어 KOSIS 골드 좌표를 부여하지 않음.</x:v>
      </x:c>
      <x:c r="AU146" s="32" t="str">
        <x:v>N/A</x:v>
      </x:c>
      <x:c r="AV146" s="32" t="n">
        <x:v>46239.28157407408</x:v>
      </x:c>
      <x:c r="AW146" s="32" t="str">
        <x:v>KOSIS_MCP_AUTO_V3</x:v>
      </x:c>
      <x:c r="AX146" s="32" t="str">
        <x:v>N</x:v>
      </x:c>
    </x:row>
    <x:row r="147">
      <x:c r="A147" s="32" t="str">
        <x:v>A1122-C024</x:v>
      </x:c>
      <x:c r="B147" s="32" t="str">
        <x:v>A1122-C024-m1</x:v>
      </x:c>
      <x:c r="C147" s="32" t="str">
        <x:v>A1122</x:v>
      </x:c>
      <x:c r="D147" s="32" t="str">
        <x:v>양양, 관광객이 주민의 28배… 인구감소지역 살리는 외부인</x:v>
      </x:c>
      <x:c r="E147" s="32" t="str">
        <x:v>2025-03-28</x:v>
      </x:c>
      <x:c r="F147" s="32" t="str">
        <x:v>https://www.chosun.com/economy/economy_general/2025/03/28/ECG25DYMGVGYDFA2RBNNGCAAVY</x:v>
      </x:c>
      <x:c r="G147" s="33" t="str">
        <x:v>예컨대 작년 8월 강원도 인구 감소 지역의 체류 인구 가운데 29%는 관광 목적으로 방문한 4일 이하 ‘단기 숙박객’이었지만, 수도권은 이 비율이 6.5%에 그쳤다.</x:v>
      </x:c>
      <x:c r="H147" s="32" t="str">
        <x:v>29%</x:v>
      </x:c>
      <x:c r="I147" s="32" t="str">
        <x:v>KOSIS_VALUE</x:v>
      </x:c>
      <x:c r="J147" s="32" t="str">
        <x:v>국내공식통계</x:v>
      </x:c>
      <x:c r="K147" s="32" t="str">
        <x:v>hcx</x:v>
      </x:c>
      <x:c r="L147" s="32" t="str">
        <x:v>현재값</x:v>
      </x:c>
      <x:c r="M147" s="32" t="str">
        <x:v>관광 목적 단기 숙박객 비율</x:v>
      </x:c>
      <x:c r="N147" s="32" t="str">
        <x:v>-</x:v>
      </x:c>
      <x:c r="O147" s="32" t="str">
        <x:v>29</x:v>
      </x:c>
      <x:c r="P147" s="32" t="str">
        <x:v>%</x:v>
      </x:c>
      <x:c r="Q147" s="32" t="str">
        <x:v>2024</x:v>
      </x:c>
      <x:c r="R147" s="32" t="str">
        <x:v>M</x:v>
      </x:c>
      <x:c r="S147" s="32" t="str">
        <x:v>N</x:v>
      </x:c>
      <x:c r="T147" s="32" t="str">
        <x:v>Y</x:v>
      </x:c>
      <x:c r="U147" s="32" t="str">
        <x:v>N</x:v>
      </x:c>
      <x:c r="V147" s="32" t="str">
        <x:v>MCP_NOT_VERIFIABLE</x:v>
      </x:c>
      <x:c r="W147" s="32" t="str">
        <x:v>N/A</x:v>
      </x:c>
      <x:c r="X147" s="32" t="str">
        <x:v>N/A</x:v>
      </x:c>
      <x:c r="Y147" s="32" t="str">
        <x:v>N/A</x:v>
      </x:c>
      <x:c r="Z147" s="32" t="str">
        <x:v>N/A</x:v>
      </x:c>
      <x:c r="AA147" s="32" t="str">
        <x:v>N/A</x:v>
      </x:c>
      <x:c r="AB147" s="32" t="str">
        <x:v>N/A</x:v>
      </x:c>
      <x:c r="AC147" s="32" t="str">
        <x:v>N/A</x:v>
      </x:c>
      <x:c r="AD147" s="32" t="str">
        <x:v>N/A</x:v>
      </x:c>
      <x:c r="AE147" s="32" t="str">
        <x:v>N/A</x:v>
      </x:c>
      <x:c r="AF147" s="32" t="str">
        <x:v>N/A</x:v>
      </x:c>
      <x:c r="AG147" s="32" t="str">
        <x:v>N/A</x:v>
      </x:c>
      <x:c r="AH147" s="32" t="str">
        <x:v>N/A</x:v>
      </x:c>
      <x:c r="AI147" s="32" t="str">
        <x:v>N/A</x:v>
      </x:c>
      <x:c r="AJ147" s="32" t="str">
        <x:v>N/A</x:v>
      </x:c>
      <x:c r="AK147" s="32" t="str">
        <x:v>N/A</x:v>
      </x:c>
      <x:c r="AL147" s="32" t="str">
        <x:v>N/A</x:v>
      </x:c>
      <x:c r="AM147" s="32" t="str">
        <x:v>N/A</x:v>
      </x:c>
      <x:c r="AN147" s="32" t="str">
        <x:v>N/A</x:v>
      </x:c>
      <x:c r="AO147" s="32" t="str">
        <x:v>N/A</x:v>
      </x:c>
      <x:c r="AP147" s="32" t="str">
        <x:v>N/A</x:v>
      </x:c>
      <x:c r="AQ147" s="32" t="str">
        <x:v>판단불가</x:v>
      </x:c>
      <x:c r="AR147" s="32" t="str">
        <x:v>NOT_APPLICABLE</x:v>
      </x:c>
      <x:c r="AS147" s="32" t="str">
        <x:v>HIGH</x:v>
      </x:c>
      <x:c r="AT147" s="33" t="str">
        <x:v>생활인구 중 관광 목적 단기 숙박객 비율은 맞춤형 결합지표로 KOSIS 직접 좌표가 아님.</x:v>
      </x:c>
      <x:c r="AU147" s="32" t="str">
        <x:v>N/A</x:v>
      </x:c>
      <x:c r="AV147" s="32" t="n">
        <x:v>46239.28157407408</x:v>
      </x:c>
      <x:c r="AW147" s="32" t="str">
        <x:v>KOSIS_MCP_AUTO_V3</x:v>
      </x:c>
      <x:c r="AX147" s="32" t="str">
        <x:v>N</x:v>
      </x:c>
    </x:row>
    <x:row r="148">
      <x:c r="A148" s="32" t="str">
        <x:v>A1122-C024</x:v>
      </x:c>
      <x:c r="B148" s="32" t="str">
        <x:v>A1122-C024-m2</x:v>
      </x:c>
      <x:c r="C148" s="32" t="str">
        <x:v>A1122</x:v>
      </x:c>
      <x:c r="D148" s="32" t="str">
        <x:v>양양, 관광객이 주민의 28배… 인구감소지역 살리는 외부인</x:v>
      </x:c>
      <x:c r="E148" s="32" t="str">
        <x:v>2025-03-28</x:v>
      </x:c>
      <x:c r="F148" s="32" t="str">
        <x:v>https://www.chosun.com/economy/economy_general/2025/03/28/ECG25DYMGVGYDFA2RBNNGCAAVY</x:v>
      </x:c>
      <x:c r="G148" s="33" t="str">
        <x:v>예컨대 작년 8월 강원도 인구 감소 지역의 체류 인구 가운데 29%는 관광 목적으로 방문한 4일 이하 ‘단기 숙박객’이었지만, 수도권은 이 비율이 6.5%에 그쳤다.</x:v>
      </x:c>
      <x:c r="H148" s="32" t="str">
        <x:v>6.50%</x:v>
      </x:c>
      <x:c r="I148" s="32" t="str">
        <x:v>KOSIS_VALUE</x:v>
      </x:c>
      <x:c r="J148" s="32" t="str">
        <x:v>국내공식통계</x:v>
      </x:c>
      <x:c r="K148" s="32" t="str">
        <x:v>hcx</x:v>
      </x:c>
      <x:c r="L148" s="32" t="str">
        <x:v>현재값</x:v>
      </x:c>
      <x:c r="M148" s="32" t="str">
        <x:v>관광 목적 단기 숙박객 비율</x:v>
      </x:c>
      <x:c r="N148" s="32" t="str">
        <x:v>-</x:v>
      </x:c>
      <x:c r="O148" s="32" t="str">
        <x:v>6.5</x:v>
      </x:c>
      <x:c r="P148" s="32" t="str">
        <x:v>%</x:v>
      </x:c>
      <x:c r="Q148" s="32" t="str">
        <x:v>2024</x:v>
      </x:c>
      <x:c r="R148" s="32" t="str">
        <x:v>M</x:v>
      </x:c>
      <x:c r="S148" s="32" t="str">
        <x:v>N</x:v>
      </x:c>
      <x:c r="T148" s="32" t="str">
        <x:v>Y</x:v>
      </x:c>
      <x:c r="U148" s="32" t="str">
        <x:v>N</x:v>
      </x:c>
      <x:c r="V148" s="32" t="str">
        <x:v>MCP_NOT_VERIFIABLE</x:v>
      </x:c>
      <x:c r="W148" s="32" t="str">
        <x:v>N/A</x:v>
      </x:c>
      <x:c r="X148" s="32" t="str">
        <x:v>N/A</x:v>
      </x:c>
      <x:c r="Y148" s="32" t="str">
        <x:v>N/A</x:v>
      </x:c>
      <x:c r="Z148" s="32" t="str">
        <x:v>N/A</x:v>
      </x:c>
      <x:c r="AA148" s="32" t="str">
        <x:v>N/A</x:v>
      </x:c>
      <x:c r="AB148" s="32" t="str">
        <x:v>N/A</x:v>
      </x:c>
      <x:c r="AC148" s="32" t="str">
        <x:v>N/A</x:v>
      </x:c>
      <x:c r="AD148" s="32" t="str">
        <x:v>N/A</x:v>
      </x:c>
      <x:c r="AE148" s="32" t="str">
        <x:v>N/A</x:v>
      </x:c>
      <x:c r="AF148" s="32" t="str">
        <x:v>N/A</x:v>
      </x:c>
      <x:c r="AG148" s="32" t="str">
        <x:v>N/A</x:v>
      </x:c>
      <x:c r="AH148" s="32" t="str">
        <x:v>N/A</x:v>
      </x:c>
      <x:c r="AI148" s="32" t="str">
        <x:v>N/A</x:v>
      </x:c>
      <x:c r="AJ148" s="32" t="str">
        <x:v>N/A</x:v>
      </x:c>
      <x:c r="AK148" s="32" t="str">
        <x:v>N/A</x:v>
      </x:c>
      <x:c r="AL148" s="32" t="str">
        <x:v>N/A</x:v>
      </x:c>
      <x:c r="AM148" s="32" t="str">
        <x:v>N/A</x:v>
      </x:c>
      <x:c r="AN148" s="32" t="str">
        <x:v>N/A</x:v>
      </x:c>
      <x:c r="AO148" s="32" t="str">
        <x:v>N/A</x:v>
      </x:c>
      <x:c r="AP148" s="32" t="str">
        <x:v>N/A</x:v>
      </x:c>
      <x:c r="AQ148" s="32" t="str">
        <x:v>판단불가</x:v>
      </x:c>
      <x:c r="AR148" s="32" t="str">
        <x:v>NOT_APPLICABLE</x:v>
      </x:c>
      <x:c r="AS148" s="32" t="str">
        <x:v>HIGH</x:v>
      </x:c>
      <x:c r="AT148" s="33" t="str">
        <x:v>생활인구 중 관광 목적 단기 숙박객 비율은 맞춤형 결합지표로 KOSIS 직접 좌표가 아님.</x:v>
      </x:c>
      <x:c r="AU148" s="32" t="str">
        <x:v>N/A</x:v>
      </x:c>
      <x:c r="AV148" s="32" t="n">
        <x:v>46239.28157407408</x:v>
      </x:c>
      <x:c r="AW148" s="32" t="str">
        <x:v>KOSIS_MCP_AUTO_V3</x:v>
      </x:c>
      <x:c r="AX148" s="32" t="str">
        <x:v>N</x:v>
      </x:c>
    </x:row>
    <x:row r="149">
      <x:c r="A149" s="32" t="str">
        <x:v>A1123-C004</x:v>
      </x:c>
      <x:c r="B149" s="32" t="str">
        <x:v>A1123-C004-m1</x:v>
      </x:c>
      <x:c r="C149" s="32" t="str">
        <x:v>A1123</x:v>
      </x:c>
      <x:c r="D149" s="32" t="str">
        <x:v>女 대졸 이상 비율, 80년대생부터 男 앞서</x:v>
      </x:c>
      <x:c r="E149" s="32" t="str">
        <x:v>2025-03-28</x:v>
      </x:c>
      <x:c r="F149" s="32" t="str">
        <x:v>https://www.chosun.com/economy/economy_general/2025/03/28/FV56ZTW6QJB45D7N322ZPHFHYU</x:v>
      </x:c>
      <x:c r="G149" s="33" t="str">
        <x:v>보고서에 따르면, 1970~1974년생 남성의 고학력자 비율은 53.5%로 여성(45.8%)보다 7.7%포인트 높았다.</x:v>
      </x:c>
      <x:c r="H149" s="32" t="str">
        <x:v>53.50%</x:v>
      </x:c>
      <x:c r="I149" s="32" t="str">
        <x:v>KOSIS_VALUE</x:v>
      </x:c>
      <x:c r="J149" s="32" t="str">
        <x:v>국내공식통계</x:v>
      </x:c>
      <x:c r="K149" s="32" t="str">
        <x:v>hcx</x:v>
      </x:c>
      <x:c r="L149" s="32" t="str">
        <x:v>현재값</x:v>
      </x:c>
      <x:c r="M149" s="32" t="str">
        <x:v>남성 고학력자 비율</x:v>
      </x:c>
      <x:c r="N149" s="32" t="str">
        <x:v>-</x:v>
      </x:c>
      <x:c r="O149" s="32" t="str">
        <x:v>53.5</x:v>
      </x:c>
      <x:c r="P149" s="32" t="str">
        <x:v>%</x:v>
      </x:c>
      <x:c r="Q149" s="32" t="str">
        <x:v>1974</x:v>
      </x:c>
      <x:c r="R149" s="32" t="str">
        <x:v>Y</x:v>
      </x:c>
      <x:c r="S149" s="32" t="str">
        <x:v>N</x:v>
      </x:c>
      <x:c r="T149" s="32" t="str">
        <x:v>N</x:v>
      </x:c>
      <x:c r="U149" s="32" t="str">
        <x:v>N</x:v>
      </x:c>
      <x:c r="V149" s="32" t="str">
        <x:v>MEASUREMENT_ERROR</x:v>
      </x:c>
      <x:c r="W149" s="32" t="str">
        <x:v>N/A</x:v>
      </x:c>
      <x:c r="X149" s="32" t="str">
        <x:v>N/A</x:v>
      </x:c>
      <x:c r="Y149" s="32" t="str">
        <x:v>N/A</x:v>
      </x:c>
      <x:c r="Z149" s="32" t="str">
        <x:v>N/A</x:v>
      </x:c>
      <x:c r="AA149" s="32" t="str">
        <x:v>N/A</x:v>
      </x:c>
      <x:c r="AB149" s="32" t="str">
        <x:v>N/A</x:v>
      </x:c>
      <x:c r="AC149" s="32" t="str">
        <x:v>N/A</x:v>
      </x:c>
      <x:c r="AD149" s="32" t="str">
        <x:v>N/A</x:v>
      </x:c>
      <x:c r="AE149" s="32" t="str">
        <x:v>N/A</x:v>
      </x:c>
      <x:c r="AF149" s="32" t="str">
        <x:v>N/A</x:v>
      </x:c>
      <x:c r="AG149" s="32" t="str">
        <x:v>N/A</x:v>
      </x:c>
      <x:c r="AH149" s="32" t="str">
        <x:v>N/A</x:v>
      </x:c>
      <x:c r="AI149" s="32" t="str">
        <x:v>N/A</x:v>
      </x:c>
      <x:c r="AJ149" s="32" t="str">
        <x:v>N/A</x:v>
      </x:c>
      <x:c r="AK149" s="32" t="str">
        <x:v>N/A</x:v>
      </x:c>
      <x:c r="AL149" s="32" t="str">
        <x:v>N/A</x:v>
      </x:c>
      <x:c r="AM149" s="32" t="str">
        <x:v>N/A</x:v>
      </x:c>
      <x:c r="AN149" s="32" t="str">
        <x:v>N/A</x:v>
      </x:c>
      <x:c r="AO149" s="32" t="str">
        <x:v>N/A</x:v>
      </x:c>
      <x:c r="AP149" s="32" t="str">
        <x:v>N/A</x:v>
      </x:c>
      <x:c r="AQ149" s="32" t="str">
        <x:v>판단불가</x:v>
      </x:c>
      <x:c r="AR149" s="32" t="str">
        <x:v>NOT_APPLICABLE</x:v>
      </x:c>
      <x:c r="AS149" s="32" t="str">
        <x:v>MEDIUM</x:v>
      </x:c>
      <x:c r="AT149" s="33" t="str">
        <x:v>기존 자동 측정 규칙에서 측정값 추출 오류로 분류되어 KOSIS 골드 좌표를 부여하지 않음.</x:v>
      </x:c>
      <x:c r="AU149" s="32" t="str">
        <x:v>N/A</x:v>
      </x:c>
      <x:c r="AV149" s="32" t="n">
        <x:v>46239.28157407408</x:v>
      </x:c>
      <x:c r="AW149" s="32" t="str">
        <x:v>KOSIS_MCP_AUTO_V3</x:v>
      </x:c>
      <x:c r="AX149" s="32" t="str">
        <x:v>N</x:v>
      </x:c>
    </x:row>
    <x:row r="150">
      <x:c r="A150" s="32" t="str">
        <x:v>A1123-C005</x:v>
      </x:c>
      <x:c r="B150" s="32" t="str">
        <x:v>A1123-C005-m1</x:v>
      </x:c>
      <x:c r="C150" s="32" t="str">
        <x:v>A1123</x:v>
      </x:c>
      <x:c r="D150" s="32" t="str">
        <x:v>女 대졸 이상 비율, 80년대생부터 男 앞서</x:v>
      </x:c>
      <x:c r="E150" s="32" t="str">
        <x:v>2025-03-28</x:v>
      </x:c>
      <x:c r="F150" s="32" t="str">
        <x:v>https://www.chosun.com/economy/economy_general/2025/03/28/FV56ZTW6QJB45D7N322ZPHFHYU</x:v>
      </x:c>
      <x:c r="G150" s="33" t="str">
        <x:v>1975~1976년생도 남성의 고학력 비율(62.9%)이 여성(60.2%)보다 높다.</x:v>
      </x:c>
      <x:c r="H150" s="32" t="str">
        <x:v>62.90%</x:v>
      </x:c>
      <x:c r="I150" s="32" t="str">
        <x:v>KOSIS_VALUE</x:v>
      </x:c>
      <x:c r="J150" s="32" t="str">
        <x:v>국내공식통계</x:v>
      </x:c>
      <x:c r="K150" s="32" t="str">
        <x:v>hcx</x:v>
      </x:c>
      <x:c r="L150" s="32" t="str">
        <x:v>현재값</x:v>
      </x:c>
      <x:c r="M150" s="32" t="str">
        <x:v>남성 고학력자 비율</x:v>
      </x:c>
      <x:c r="N150" s="32" t="str">
        <x:v>1975~1976년생</x:v>
      </x:c>
      <x:c r="O150" s="32" t="str">
        <x:v>62.9</x:v>
      </x:c>
      <x:c r="P150" s="32" t="str">
        <x:v>%</x:v>
      </x:c>
      <x:c r="Q150" s="32" t="str">
        <x:v>1976</x:v>
      </x:c>
      <x:c r="R150" s="32" t="str">
        <x:v>Y</x:v>
      </x:c>
      <x:c r="S150" s="32" t="str">
        <x:v>N</x:v>
      </x:c>
      <x:c r="T150" s="32" t="str">
        <x:v>Y</x:v>
      </x:c>
      <x:c r="U150" s="32" t="str">
        <x:v>N</x:v>
      </x:c>
      <x:c r="V150" s="32" t="str">
        <x:v>MCP_NOT_VERIFIABLE</x:v>
      </x:c>
      <x:c r="W150" s="32" t="str">
        <x:v>N/A</x:v>
      </x:c>
      <x:c r="X150" s="32" t="str">
        <x:v>N/A</x:v>
      </x:c>
      <x:c r="Y150" s="32" t="str">
        <x:v>N/A</x:v>
      </x:c>
      <x:c r="Z150" s="32" t="str">
        <x:v>N/A</x:v>
      </x:c>
      <x:c r="AA150" s="32" t="str">
        <x:v>N/A</x:v>
      </x:c>
      <x:c r="AB150" s="32" t="str">
        <x:v>N/A</x:v>
      </x:c>
      <x:c r="AC150" s="32" t="str">
        <x:v>N/A</x:v>
      </x:c>
      <x:c r="AD150" s="32" t="str">
        <x:v>N/A</x:v>
      </x:c>
      <x:c r="AE150" s="32" t="str">
        <x:v>N/A</x:v>
      </x:c>
      <x:c r="AF150" s="32" t="str">
        <x:v>N/A</x:v>
      </x:c>
      <x:c r="AG150" s="32" t="str">
        <x:v>N/A</x:v>
      </x:c>
      <x:c r="AH150" s="32" t="str">
        <x:v>N/A</x:v>
      </x:c>
      <x:c r="AI150" s="32" t="str">
        <x:v>N/A</x:v>
      </x:c>
      <x:c r="AJ150" s="32" t="str">
        <x:v>N/A</x:v>
      </x:c>
      <x:c r="AK150" s="32" t="str">
        <x:v>N/A</x:v>
      </x:c>
      <x:c r="AL150" s="32" t="str">
        <x:v>N/A</x:v>
      </x:c>
      <x:c r="AM150" s="32" t="str">
        <x:v>N/A</x:v>
      </x:c>
      <x:c r="AN150" s="32" t="str">
        <x:v>N/A</x:v>
      </x:c>
      <x:c r="AO150" s="32" t="str">
        <x:v>N/A</x:v>
      </x:c>
      <x:c r="AP150" s="32" t="str">
        <x:v>N/A</x:v>
      </x:c>
      <x:c r="AQ150" s="32" t="str">
        <x:v>판단불가</x:v>
      </x:c>
      <x:c r="AR150" s="32" t="str">
        <x:v>NOT_APPLICABLE</x:v>
      </x:c>
      <x:c r="AS150" s="32" t="str">
        <x:v>HIGH</x:v>
      </x:c>
      <x:c r="AT150" s="33" t="str">
        <x:v>1975~1976년생 남성의 학력 비율은 출생코호트 재집계값으로 단일 KOSIS 좌표가 아님.</x:v>
      </x:c>
      <x:c r="AU150" s="32" t="str">
        <x:v>N/A</x:v>
      </x:c>
      <x:c r="AV150" s="32" t="n">
        <x:v>46239.28157407408</x:v>
      </x:c>
      <x:c r="AW150" s="32" t="str">
        <x:v>KOSIS_MCP_AUTO_V3</x:v>
      </x:c>
      <x:c r="AX150" s="32" t="str">
        <x:v>N</x:v>
      </x:c>
    </x:row>
    <x:row r="151">
      <x:c r="A151" s="32" t="str">
        <x:v>A1183-C016</x:v>
      </x:c>
      <x:c r="B151" s="32" t="str">
        <x:v>A1183-C016-m1</x:v>
      </x:c>
      <x:c r="C151" s="32" t="str">
        <x:v>A1183</x:v>
      </x:c>
      <x:c r="D151" s="32" t="str">
        <x:v>한은·통계청의 경제 지표 활용, 노후 위한 투자 밑그림 그리세요</x:v>
      </x:c>
      <x:c r="E151" s="32" t="str">
        <x:v>2025-04-02</x:v>
      </x:c>
      <x:c r="F151" s="32" t="str">
        <x:v>https://www.chosun.com/economy/money/2025/04/02/KL276AIILNHP5L6JJNYFSJU3XE</x:v>
      </x:c>
      <x:c r="G151" s="33" t="str">
        <x:v>과거 30년간 우리나라 경제성장률이 올해 전망치인 1.5%보다 낮았던 때는 1998년 외환 위기, 2009년 글로벌 금융 위기, 2020년 코로나 팬데믹 위기 등이다.</x:v>
      </x:c>
      <x:c r="H151" s="32" t="str">
        <x:v>1.50%</x:v>
      </x:c>
      <x:c r="I151" s="32" t="str">
        <x:v>KOSIS_VALUE</x:v>
      </x:c>
      <x:c r="J151" s="32" t="str">
        <x:v>국내공식통계</x:v>
      </x:c>
      <x:c r="K151" s="32" t="str">
        <x:v>hcx</x:v>
      </x:c>
      <x:c r="L151" s="32" t="str">
        <x:v>현재값</x:v>
      </x:c>
      <x:c r="M151" s="32" t="str">
        <x:v>경제성장률</x:v>
      </x:c>
      <x:c r="N151" s="32" t="str">
        <x:v>-</x:v>
      </x:c>
      <x:c r="O151" s="32" t="str">
        <x:v>1.5</x:v>
      </x:c>
      <x:c r="P151" s="32" t="str">
        <x:v>%</x:v>
      </x:c>
      <x:c r="Q151" s="32" t="str">
        <x:v>2025</x:v>
      </x:c>
      <x:c r="R151" s="32" t="str">
        <x:v>Y</x:v>
      </x:c>
      <x:c r="S151" s="32" t="str">
        <x:v>N</x:v>
      </x:c>
      <x:c r="T151" s="32" t="str">
        <x:v>Y</x:v>
      </x:c>
      <x:c r="U151" s="32" t="str">
        <x:v>N</x:v>
      </x:c>
      <x:c r="V151" s="32" t="str">
        <x:v>MCP_NOT_VERIFIABLE</x:v>
      </x:c>
      <x:c r="W151" s="32" t="str">
        <x:v>N/A</x:v>
      </x:c>
      <x:c r="X151" s="32" t="str">
        <x:v>N/A</x:v>
      </x:c>
      <x:c r="Y151" s="32" t="str">
        <x:v>N/A</x:v>
      </x:c>
      <x:c r="Z151" s="32" t="str">
        <x:v>N/A</x:v>
      </x:c>
      <x:c r="AA151" s="32" t="str">
        <x:v>N/A</x:v>
      </x:c>
      <x:c r="AB151" s="32" t="str">
        <x:v>N/A</x:v>
      </x:c>
      <x:c r="AC151" s="32" t="str">
        <x:v>N/A</x:v>
      </x:c>
      <x:c r="AD151" s="32" t="str">
        <x:v>N/A</x:v>
      </x:c>
      <x:c r="AE151" s="32" t="str">
        <x:v>N/A</x:v>
      </x:c>
      <x:c r="AF151" s="32" t="str">
        <x:v>N/A</x:v>
      </x:c>
      <x:c r="AG151" s="32" t="str">
        <x:v>N/A</x:v>
      </x:c>
      <x:c r="AH151" s="32" t="str">
        <x:v>N/A</x:v>
      </x:c>
      <x:c r="AI151" s="32" t="str">
        <x:v>N/A</x:v>
      </x:c>
      <x:c r="AJ151" s="32" t="str">
        <x:v>N/A</x:v>
      </x:c>
      <x:c r="AK151" s="32" t="str">
        <x:v>N/A</x:v>
      </x:c>
      <x:c r="AL151" s="32" t="str">
        <x:v>N/A</x:v>
      </x:c>
      <x:c r="AM151" s="32" t="str">
        <x:v>N/A</x:v>
      </x:c>
      <x:c r="AN151" s="32" t="str">
        <x:v>N/A</x:v>
      </x:c>
      <x:c r="AO151" s="32" t="str">
        <x:v>N/A</x:v>
      </x:c>
      <x:c r="AP151" s="32" t="str">
        <x:v>N/A</x:v>
      </x:c>
      <x:c r="AQ151" s="32" t="str">
        <x:v>판단불가</x:v>
      </x:c>
      <x:c r="AR151" s="32" t="str">
        <x:v>NOT_APPLICABLE</x:v>
      </x:c>
      <x:c r="AS151" s="32" t="str">
        <x:v>HIGH</x:v>
      </x:c>
      <x:c r="AT151" s="33" t="str">
        <x:v>2025년 경제성장률 1.5%는 전망치여서 확정 실적 KOSIS 골드로 사용할 수 없음.</x:v>
      </x:c>
      <x:c r="AU151" s="32" t="str">
        <x:v>N/A</x:v>
      </x:c>
      <x:c r="AV151" s="32" t="n">
        <x:v>46239.28157407408</x:v>
      </x:c>
      <x:c r="AW151" s="32" t="str">
        <x:v>KOSIS_MCP_AUTO_V3</x:v>
      </x:c>
      <x:c r="AX151" s="32" t="str">
        <x:v>N</x:v>
      </x:c>
    </x:row>
    <x:row r="152">
      <x:c r="A152" s="32" t="str">
        <x:v>A1191-C011</x:v>
      </x:c>
      <x:c r="B152" s="32" t="str">
        <x:v>A1191-C011-m1</x:v>
      </x:c>
      <x:c r="C152" s="32" t="str">
        <x:v>A1191</x:v>
      </x:c>
      <x:c r="D152" s="32" t="str">
        <x:v>“작년 역대 최고 고용 달성? 외국인·노인 고용 늘어난 통계적인 착시에 불과”</x:v>
      </x:c>
      <x:c r="E152" s="32" t="str">
        <x:v>2025-04-02</x:v>
      </x:c>
      <x:c r="F152" s="32" t="str">
        <x:v>https://www.chosun.com/economy/economy_general/2025/04/02/NE2LONUUMBEZVI5DDJRPBMDR7U</x:v>
      </x:c>
      <x:c r="G152" s="33" t="str">
        <x:v>같은 방식으로 비교했을 때 2023년까지만 해도 외국인과 노인 일자리 참여자 증가 규모는 11만8000명으로, 전체 취업자 증가 폭(32만7000명)보다 적었다.</x:v>
      </x:c>
      <x:c r="H152" s="32" t="str">
        <x:v>11만8000명</x:v>
      </x:c>
      <x:c r="I152" s="32" t="str">
        <x:v>KOSIS_VALUE</x:v>
      </x:c>
      <x:c r="J152" s="32" t="str">
        <x:v>국내공식통계</x:v>
      </x:c>
      <x:c r="K152" s="32" t="str">
        <x:v>hcx</x:v>
      </x:c>
      <x:c r="L152" s="32" t="str">
        <x:v>현재값</x:v>
      </x:c>
      <x:c r="M152" s="32" t="str">
        <x:v>외국인과 노인 일자리 참여자 증가 규모</x:v>
      </x:c>
      <x:c r="N152" s="32" t="str">
        <x:v>-</x:v>
      </x:c>
      <x:c r="O152" s="32" t="str">
        <x:v>118000</x:v>
      </x:c>
      <x:c r="P152" s="32" t="str">
        <x:v>명</x:v>
      </x:c>
      <x:c r="Q152" s="32" t="str">
        <x:v>2023</x:v>
      </x:c>
      <x:c r="R152" s="32" t="str">
        <x:v>Y</x:v>
      </x:c>
      <x:c r="S152" s="32" t="str">
        <x:v>N</x:v>
      </x:c>
      <x:c r="T152" s="32" t="str">
        <x:v>Y</x:v>
      </x:c>
      <x:c r="U152" s="32" t="str">
        <x:v>N</x:v>
      </x:c>
      <x:c r="V152" s="32" t="str">
        <x:v>MCP_NOT_VERIFIABLE</x:v>
      </x:c>
      <x:c r="W152" s="32" t="str">
        <x:v>N/A</x:v>
      </x:c>
      <x:c r="X152" s="32" t="str">
        <x:v>N/A</x:v>
      </x:c>
      <x:c r="Y152" s="32" t="str">
        <x:v>N/A</x:v>
      </x:c>
      <x:c r="Z152" s="32" t="str">
        <x:v>N/A</x:v>
      </x:c>
      <x:c r="AA152" s="32" t="str">
        <x:v>N/A</x:v>
      </x:c>
      <x:c r="AB152" s="32" t="str">
        <x:v>N/A</x:v>
      </x:c>
      <x:c r="AC152" s="32" t="str">
        <x:v>N/A</x:v>
      </x:c>
      <x:c r="AD152" s="32" t="str">
        <x:v>N/A</x:v>
      </x:c>
      <x:c r="AE152" s="32" t="str">
        <x:v>N/A</x:v>
      </x:c>
      <x:c r="AF152" s="32" t="str">
        <x:v>N/A</x:v>
      </x:c>
      <x:c r="AG152" s="32" t="str">
        <x:v>N/A</x:v>
      </x:c>
      <x:c r="AH152" s="32" t="str">
        <x:v>N/A</x:v>
      </x:c>
      <x:c r="AI152" s="32" t="str">
        <x:v>N/A</x:v>
      </x:c>
      <x:c r="AJ152" s="32" t="str">
        <x:v>N/A</x:v>
      </x:c>
      <x:c r="AK152" s="32" t="str">
        <x:v>N/A</x:v>
      </x:c>
      <x:c r="AL152" s="32" t="str">
        <x:v>N/A</x:v>
      </x:c>
      <x:c r="AM152" s="32" t="str">
        <x:v>N/A</x:v>
      </x:c>
      <x:c r="AN152" s="32" t="str">
        <x:v>N/A</x:v>
      </x:c>
      <x:c r="AO152" s="32" t="str">
        <x:v>N/A</x:v>
      </x:c>
      <x:c r="AP152" s="32" t="str">
        <x:v>N/A</x:v>
      </x:c>
      <x:c r="AQ152" s="32" t="str">
        <x:v>판단불가</x:v>
      </x:c>
      <x:c r="AR152" s="32" t="str">
        <x:v>NOT_APPLICABLE</x:v>
      </x:c>
      <x:c r="AS152" s="32" t="str">
        <x:v>HIGH</x:v>
      </x:c>
      <x:c r="AT152" s="33" t="str">
        <x:v>외국인과 노인 일자리 참여자 증가 규모는 복수 집단을 재구성한 기사 파생값임.</x:v>
      </x:c>
      <x:c r="AU152" s="32" t="str">
        <x:v>N/A</x:v>
      </x:c>
      <x:c r="AV152" s="32" t="n">
        <x:v>46239.28157407408</x:v>
      </x:c>
      <x:c r="AW152" s="32" t="str">
        <x:v>KOSIS_MCP_AUTO_V3</x:v>
      </x:c>
      <x:c r="AX152" s="32" t="str">
        <x:v>N</x:v>
      </x:c>
    </x:row>
    <x:row r="153">
      <x:c r="A153" s="32" t="str">
        <x:v>A1191-C011</x:v>
      </x:c>
      <x:c r="B153" s="32" t="str">
        <x:v>A1191-C011-m2</x:v>
      </x:c>
      <x:c r="C153" s="32" t="str">
        <x:v>A1191</x:v>
      </x:c>
      <x:c r="D153" s="32" t="str">
        <x:v>“작년 역대 최고 고용 달성? 외국인·노인 고용 늘어난 통계적인 착시에 불과”</x:v>
      </x:c>
      <x:c r="E153" s="32" t="str">
        <x:v>2025-04-02</x:v>
      </x:c>
      <x:c r="F153" s="32" t="str">
        <x:v>https://www.chosun.com/economy/economy_general/2025/04/02/NE2LONUUMBEZVI5DDJRPBMDR7U</x:v>
      </x:c>
      <x:c r="G153" s="33" t="str">
        <x:v>같은 방식으로 비교했을 때 2023년까지만 해도 외국인과 노인 일자리 참여자 증가 규모는 11만8000명으로, 전체 취업자 증가 폭(32만7000명)보다 적었다.</x:v>
      </x:c>
      <x:c r="H153" s="32" t="str">
        <x:v>32만7000명</x:v>
      </x:c>
      <x:c r="I153" s="32" t="str">
        <x:v>KOSIS_VALUE</x:v>
      </x:c>
      <x:c r="J153" s="32" t="str">
        <x:v>국내공식통계</x:v>
      </x:c>
      <x:c r="K153" s="32" t="str">
        <x:v>hcx</x:v>
      </x:c>
      <x:c r="L153" s="32" t="str">
        <x:v>현재값</x:v>
      </x:c>
      <x:c r="M153" s="32" t="str">
        <x:v>전체 취업자 증가 폭</x:v>
      </x:c>
      <x:c r="N153" s="32" t="str">
        <x:v>-</x:v>
      </x:c>
      <x:c r="O153" s="32" t="str">
        <x:v>327000</x:v>
      </x:c>
      <x:c r="P153" s="32" t="str">
        <x:v>명</x:v>
      </x:c>
      <x:c r="Q153" s="32" t="str">
        <x:v>2023</x:v>
      </x:c>
      <x:c r="R153" s="32" t="str">
        <x:v>Y</x:v>
      </x:c>
      <x:c r="S153" s="32" t="str">
        <x:v>Y</x:v>
      </x:c>
      <x:c r="T153" s="32" t="str">
        <x:v>Y</x:v>
      </x:c>
      <x:c r="U153" s="32" t="str">
        <x:v>Y</x:v>
      </x:c>
      <x:c r="V153" s="32" t="str">
        <x:v>FULL_KOSIS</x:v>
      </x:c>
      <x:c r="W153" s="32" t="str">
        <x:v>101</x:v>
      </x:c>
      <x:c r="X153" s="32" t="str">
        <x:v>DT_1DA7001S</x:v>
      </x:c>
      <x:c r="Y153" s="32" t="str">
        <x:v>성별 경제활동인구 총괄</x:v>
      </x:c>
      <x:c r="Z153" s="32" t="str">
        <x:v>T30</x:v>
      </x:c>
      <x:c r="AA153" s="32" t="str">
        <x:v>취업자</x:v>
      </x:c>
      <x:c r="AB153" s="32" t="str">
        <x:v>0</x:v>
      </x:c>
      <x:c r="AC153" s="32" t="str">
        <x:v>계</x:v>
      </x:c>
      <x:c r="AD153" s="32" t="str">
        <x:v>Y</x:v>
      </x:c>
      <x:c r="AE153" s="32" t="str">
        <x:v>2023</x:v>
      </x:c>
      <x:c r="AF153" s="32" t="str">
        <x:v>2022</x:v>
      </x:c>
      <x:c r="AG153" s="32" t="str">
        <x:v>증감량</x:v>
      </x:c>
      <x:c r="AH153" s="32" t="str">
        <x:v>DIFF_FROM_LEVEL</x:v>
      </x:c>
      <x:c r="AI153" s="32" t="str">
        <x:v>천명</x:v>
      </x:c>
      <x:c r="AJ153" s="32" t="str">
        <x:v>28416.3</x:v>
      </x:c>
      <x:c r="AK153" s="32" t="str">
        <x:v>28089.1</x:v>
      </x:c>
      <x:c r="AL153" s="32" t="str">
        <x:v>327200</x:v>
      </x:c>
      <x:c r="AM153" s="32" t="str">
        <x:v>327000</x:v>
      </x:c>
      <x:c r="AN153" s="32" t="str">
        <x:v>200</x:v>
      </x:c>
      <x:c r="AO153" s="32" t="str">
        <x:v>0.06116207951070336</x:v>
      </x:c>
      <x:c r="AP153" s="32" t="str">
        <x:v>relative_error&lt;=0.5%</x:v>
      </x:c>
      <x:c r="AQ153" s="32" t="str">
        <x:v>일치</x:v>
      </x:c>
      <x:c r="AR153" s="32" t="str">
        <x:v>UNIQUE</x:v>
      </x:c>
      <x:c r="AS153" s="32" t="str">
        <x:v>HIGH</x:v>
      </x:c>
      <x:c r="AT153" s="33" t="str">
        <x:v>2022년과 2023년 전체 취업자 차이를 천명에서 명으로 환산함.</x:v>
      </x:c>
      <x:c r="AU153" s="32" t="str">
        <x:v>https://kosis.kr/statHtml/statHtml.do?orgId=101&amp;tblId=DT_1DA7001S&amp;vw_cd=MT_ZTITLE</x:v>
      </x:c>
      <x:c r="AV153" s="32" t="n">
        <x:v>46239.28157407408</x:v>
      </x:c>
      <x:c r="AW153" s="32" t="str">
        <x:v>KOSIS_MCP_AUTO_V3</x:v>
      </x:c>
      <x:c r="AX153" s="32" t="str">
        <x:v>N</x:v>
      </x:c>
    </x:row>
    <x:row r="154">
      <x:c r="A154" s="32" t="str">
        <x:v>A1218-C001</x:v>
      </x:c>
      <x:c r="B154" s="32" t="str">
        <x:v>A1218-C001-m1</x:v>
      </x:c>
      <x:c r="C154" s="32" t="str">
        <x:v>A1218</x:v>
      </x:c>
      <x:c r="D154" s="32" t="str">
        <x:v>트럼프 관세 여파로 외국인 직접투자액 1분기 9.2% 줄어</x:v>
      </x:c>
      <x:c r="E154" s="32" t="str">
        <x:v>2025-04-04</x:v>
      </x:c>
      <x:c r="F154" s="32" t="str">
        <x:v>https://www.chosun.com/economy/industry-company/2025/04/04/HWJVCRJQ5FDRPI7DW3X5AERARI</x:v>
      </x:c>
      <x:c r="G154" s="33" t="str">
        <x:v>올해 1분기(1~3월) 우리나라로 들어온 외국인 직접투자(FDI)가 작년 같은 기간 대비 9.2% 줄었다.</x:v>
      </x:c>
      <x:c r="H154" s="32" t="str">
        <x:v>9.20%</x:v>
      </x:c>
      <x:c r="I154" s="32" t="str">
        <x:v>KOSIS_VALUE</x:v>
      </x:c>
      <x:c r="J154" s="32" t="str">
        <x:v>국내공식통계</x:v>
      </x:c>
      <x:c r="K154" s="32" t="str">
        <x:v>hcx</x:v>
      </x:c>
      <x:c r="L154" s="32" t="str">
        <x:v>증감률</x:v>
      </x:c>
      <x:c r="M154" s="32" t="str">
        <x:v>외국인직접투자액</x:v>
      </x:c>
      <x:c r="N154" s="32" t="str">
        <x:v>-</x:v>
      </x:c>
      <x:c r="O154" s="32" t="str">
        <x:v>9.2</x:v>
      </x:c>
      <x:c r="P154" s="32" t="str">
        <x:v>%</x:v>
      </x:c>
      <x:c r="Q154" s="32" t="str">
        <x:v>2025Q1</x:v>
      </x:c>
      <x:c r="R154" s="32" t="str">
        <x:v>Q</x:v>
      </x:c>
      <x:c r="S154" s="32" t="str">
        <x:v>N</x:v>
      </x:c>
      <x:c r="T154" s="32" t="str">
        <x:v>Y</x:v>
      </x:c>
      <x:c r="U154" s="32" t="str">
        <x:v>N</x:v>
      </x:c>
      <x:c r="V154" s="32" t="str">
        <x:v>MCP_NOT_VERIFIABLE</x:v>
      </x:c>
      <x:c r="W154" s="32" t="str">
        <x:v>N/A</x:v>
      </x:c>
      <x:c r="X154" s="32" t="str">
        <x:v>N/A</x:v>
      </x:c>
      <x:c r="Y154" s="32" t="str">
        <x:v>N/A</x:v>
      </x:c>
      <x:c r="Z154" s="32" t="str">
        <x:v>N/A</x:v>
      </x:c>
      <x:c r="AA154" s="32" t="str">
        <x:v>N/A</x:v>
      </x:c>
      <x:c r="AB154" s="32" t="str">
        <x:v>N/A</x:v>
      </x:c>
      <x:c r="AC154" s="32" t="str">
        <x:v>N/A</x:v>
      </x:c>
      <x:c r="AD154" s="32" t="str">
        <x:v>N/A</x:v>
      </x:c>
      <x:c r="AE154" s="32" t="str">
        <x:v>N/A</x:v>
      </x:c>
      <x:c r="AF154" s="32" t="str">
        <x:v>N/A</x:v>
      </x:c>
      <x:c r="AG154" s="32" t="str">
        <x:v>N/A</x:v>
      </x:c>
      <x:c r="AH154" s="32" t="str">
        <x:v>N/A</x:v>
      </x:c>
      <x:c r="AI154" s="32" t="str">
        <x:v>N/A</x:v>
      </x:c>
      <x:c r="AJ154" s="32" t="str">
        <x:v>N/A</x:v>
      </x:c>
      <x:c r="AK154" s="32" t="str">
        <x:v>N/A</x:v>
      </x:c>
      <x:c r="AL154" s="32" t="str">
        <x:v>N/A</x:v>
      </x:c>
      <x:c r="AM154" s="32" t="str">
        <x:v>N/A</x:v>
      </x:c>
      <x:c r="AN154" s="32" t="str">
        <x:v>N/A</x:v>
      </x:c>
      <x:c r="AO154" s="32" t="str">
        <x:v>N/A</x:v>
      </x:c>
      <x:c r="AP154" s="32" t="str">
        <x:v>N/A</x:v>
      </x:c>
      <x:c r="AQ154" s="32" t="str">
        <x:v>판단불가</x:v>
      </x:c>
      <x:c r="AR154" s="32" t="str">
        <x:v>NOT_APPLICABLE</x:v>
      </x:c>
      <x:c r="AS154" s="32" t="str">
        <x:v>HIGH</x:v>
      </x:c>
      <x:c r="AT154" s="33" t="str">
        <x:v>국내 유입 외국인직접투자 분기 증감률에 대응하는 KOSIS 좌표를 찾지 못함.</x:v>
      </x:c>
      <x:c r="AU154" s="32" t="str">
        <x:v>N/A</x:v>
      </x:c>
      <x:c r="AV154" s="32" t="n">
        <x:v>46239.28157407408</x:v>
      </x:c>
      <x:c r="AW154" s="32" t="str">
        <x:v>KOSIS_MCP_AUTO_V3</x:v>
      </x:c>
      <x:c r="AX154" s="32" t="str">
        <x:v>N</x:v>
      </x:c>
    </x:row>
    <x:row r="155">
      <x:c r="A155" s="32" t="str">
        <x:v>A1246-C009</x:v>
      </x:c>
      <x:c r="B155" s="32" t="str">
        <x:v>A1246-C009-m2</x:v>
      </x:c>
      <x:c r="C155" s="32" t="str">
        <x:v>A1246</x:v>
      </x:c>
      <x:c r="D155" s="32" t="str">
        <x:v>‘손해율 악화·보험료 인하’에… 지난해 자동차보험 4년만에 적자 전환</x:v>
      </x:c>
      <x:c r="E155" s="32" t="str">
        <x:v>2025-04-06</x:v>
      </x:c>
      <x:c r="F155" s="32" t="str">
        <x:v>https://www.chosun.com/economy/money/2025/04/06/GHN72KKRIIV76NNEUBN74VJ32A</x:v>
      </x:c>
      <x:c r="G155" s="33" t="str">
        <x:v>지난해 자동차부문 보험손익 합산비율(손해율+사업비율)은 손익분기점인 100%를 초과해 97억원 적자를 기록했다.</x:v>
      </x:c>
      <x:c r="H155" s="32" t="str">
        <x:v>97억원</x:v>
      </x:c>
      <x:c r="I155" s="32" t="str">
        <x:v>KOSIS_VALUE</x:v>
      </x:c>
      <x:c r="J155" s="32" t="str">
        <x:v>국내공식통계</x:v>
      </x:c>
      <x:c r="K155" s="32" t="str">
        <x:v>hcx</x:v>
      </x:c>
      <x:c r="L155" s="32" t="str">
        <x:v>현재값</x:v>
      </x:c>
      <x:c r="M155" s="32" t="str">
        <x:v>적자</x:v>
      </x:c>
      <x:c r="N155" s="32" t="str">
        <x:v>-</x:v>
      </x:c>
      <x:c r="O155" s="32" t="str">
        <x:v>9700000000</x:v>
      </x:c>
      <x:c r="P155" s="32" t="str">
        <x:v>원</x:v>
      </x:c>
      <x:c r="Q155" s="32" t="str">
        <x:v>2024</x:v>
      </x:c>
      <x:c r="R155" s="32" t="str">
        <x:v>Y</x:v>
      </x:c>
      <x:c r="S155" s="32" t="str">
        <x:v>N</x:v>
      </x:c>
      <x:c r="T155" s="32" t="str">
        <x:v>Y</x:v>
      </x:c>
      <x:c r="U155" s="32" t="str">
        <x:v>N</x:v>
      </x:c>
      <x:c r="V155" s="32" t="str">
        <x:v>MCP_NOT_VERIFIABLE</x:v>
      </x:c>
      <x:c r="W155" s="32" t="str">
        <x:v>N/A</x:v>
      </x:c>
      <x:c r="X155" s="32" t="str">
        <x:v>N/A</x:v>
      </x:c>
      <x:c r="Y155" s="32" t="str">
        <x:v>N/A</x:v>
      </x:c>
      <x:c r="Z155" s="32" t="str">
        <x:v>N/A</x:v>
      </x:c>
      <x:c r="AA155" s="32" t="str">
        <x:v>N/A</x:v>
      </x:c>
      <x:c r="AB155" s="32" t="str">
        <x:v>N/A</x:v>
      </x:c>
      <x:c r="AC155" s="32" t="str">
        <x:v>N/A</x:v>
      </x:c>
      <x:c r="AD155" s="32" t="str">
        <x:v>N/A</x:v>
      </x:c>
      <x:c r="AE155" s="32" t="str">
        <x:v>N/A</x:v>
      </x:c>
      <x:c r="AF155" s="32" t="str">
        <x:v>N/A</x:v>
      </x:c>
      <x:c r="AG155" s="32" t="str">
        <x:v>N/A</x:v>
      </x:c>
      <x:c r="AH155" s="32" t="str">
        <x:v>N/A</x:v>
      </x:c>
      <x:c r="AI155" s="32" t="str">
        <x:v>N/A</x:v>
      </x:c>
      <x:c r="AJ155" s="32" t="str">
        <x:v>N/A</x:v>
      </x:c>
      <x:c r="AK155" s="32" t="str">
        <x:v>N/A</x:v>
      </x:c>
      <x:c r="AL155" s="32" t="str">
        <x:v>N/A</x:v>
      </x:c>
      <x:c r="AM155" s="32" t="str">
        <x:v>N/A</x:v>
      </x:c>
      <x:c r="AN155" s="32" t="str">
        <x:v>N/A</x:v>
      </x:c>
      <x:c r="AO155" s="32" t="str">
        <x:v>N/A</x:v>
      </x:c>
      <x:c r="AP155" s="32" t="str">
        <x:v>N/A</x:v>
      </x:c>
      <x:c r="AQ155" s="32" t="str">
        <x:v>판단불가</x:v>
      </x:c>
      <x:c r="AR155" s="32" t="str">
        <x:v>NOT_APPLICABLE</x:v>
      </x:c>
      <x:c r="AS155" s="32" t="str">
        <x:v>HIGH</x:v>
      </x:c>
      <x:c r="AT155" s="33" t="str">
        <x:v>자동차보험 부문 손익은 금융감독 자료로 동일 정의의 KOSIS 통계표를 찾지 못함.</x:v>
      </x:c>
      <x:c r="AU155" s="32" t="str">
        <x:v>N/A</x:v>
      </x:c>
      <x:c r="AV155" s="32" t="n">
        <x:v>46239.28157407408</x:v>
      </x:c>
      <x:c r="AW155" s="32" t="str">
        <x:v>KOSIS_MCP_AUTO_V3</x:v>
      </x:c>
      <x:c r="AX155" s="32" t="str">
        <x:v>N</x:v>
      </x:c>
    </x:row>
    <x:row r="156">
      <x:c r="A156" s="32" t="str">
        <x:v>A1253-C009</x:v>
      </x:c>
      <x:c r="B156" s="32" t="str">
        <x:v>A1253-C009-m2</x:v>
      </x:c>
      <x:c r="C156" s="32" t="str">
        <x:v>A1253</x:v>
      </x:c>
      <x:c r="D156" s="32" t="str">
        <x:v>‘관세 전쟁’ 반영 안 했는데도… 올 한국 성장률 1.4%로 내려</x:v>
      </x:c>
      <x:c r="E156" s="32" t="str">
        <x:v>2025-04-07</x:v>
      </x:c>
      <x:c r="F156" s="32" t="str">
        <x:v>https://www.chosun.com/economy/economy_general/2025/04/07/VVA56JEZHRGWBM24Z4F4FHUU5E</x:v>
      </x:c>
      <x:c r="G156" s="33" t="str">
        <x:v>앞서 한국은행은 지난 2월 올해 성장률 전망을 기존 1.9%에서 1.5%로 내렸고, 관세 전쟁이 격화하는 경우 1.4% 성장으로 둔화할 것으로 봤다.</x:v>
      </x:c>
      <x:c r="H156" s="32" t="str">
        <x:v>1.50%</x:v>
      </x:c>
      <x:c r="I156" s="32" t="str">
        <x:v>KOSIS_VALUE</x:v>
      </x:c>
      <x:c r="J156" s="32" t="str">
        <x:v>국내공식통계</x:v>
      </x:c>
      <x:c r="K156" s="32" t="str">
        <x:v>hcx</x:v>
      </x:c>
      <x:c r="L156" s="32" t="str">
        <x:v>현재값</x:v>
      </x:c>
      <x:c r="M156" s="32" t="str">
        <x:v>경제성장률</x:v>
      </x:c>
      <x:c r="N156" s="32" t="str">
        <x:v>-</x:v>
      </x:c>
      <x:c r="O156" s="32" t="str">
        <x:v>1.5</x:v>
      </x:c>
      <x:c r="P156" s="32" t="str">
        <x:v>%</x:v>
      </x:c>
      <x:c r="Q156" s="32" t="str">
        <x:v>2025</x:v>
      </x:c>
      <x:c r="R156" s="32" t="str">
        <x:v>Y</x:v>
      </x:c>
      <x:c r="S156" s="32" t="str">
        <x:v>N</x:v>
      </x:c>
      <x:c r="T156" s="32" t="str">
        <x:v>Y</x:v>
      </x:c>
      <x:c r="U156" s="32" t="str">
        <x:v>N</x:v>
      </x:c>
      <x:c r="V156" s="32" t="str">
        <x:v>MCP_NOT_VERIFIABLE</x:v>
      </x:c>
      <x:c r="W156" s="32" t="str">
        <x:v>N/A</x:v>
      </x:c>
      <x:c r="X156" s="32" t="str">
        <x:v>N/A</x:v>
      </x:c>
      <x:c r="Y156" s="32" t="str">
        <x:v>N/A</x:v>
      </x:c>
      <x:c r="Z156" s="32" t="str">
        <x:v>N/A</x:v>
      </x:c>
      <x:c r="AA156" s="32" t="str">
        <x:v>N/A</x:v>
      </x:c>
      <x:c r="AB156" s="32" t="str">
        <x:v>N/A</x:v>
      </x:c>
      <x:c r="AC156" s="32" t="str">
        <x:v>N/A</x:v>
      </x:c>
      <x:c r="AD156" s="32" t="str">
        <x:v>N/A</x:v>
      </x:c>
      <x:c r="AE156" s="32" t="str">
        <x:v>N/A</x:v>
      </x:c>
      <x:c r="AF156" s="32" t="str">
        <x:v>N/A</x:v>
      </x:c>
      <x:c r="AG156" s="32" t="str">
        <x:v>N/A</x:v>
      </x:c>
      <x:c r="AH156" s="32" t="str">
        <x:v>N/A</x:v>
      </x:c>
      <x:c r="AI156" s="32" t="str">
        <x:v>N/A</x:v>
      </x:c>
      <x:c r="AJ156" s="32" t="str">
        <x:v>N/A</x:v>
      </x:c>
      <x:c r="AK156" s="32" t="str">
        <x:v>N/A</x:v>
      </x:c>
      <x:c r="AL156" s="32" t="str">
        <x:v>N/A</x:v>
      </x:c>
      <x:c r="AM156" s="32" t="str">
        <x:v>N/A</x:v>
      </x:c>
      <x:c r="AN156" s="32" t="str">
        <x:v>N/A</x:v>
      </x:c>
      <x:c r="AO156" s="32" t="str">
        <x:v>N/A</x:v>
      </x:c>
      <x:c r="AP156" s="32" t="str">
        <x:v>N/A</x:v>
      </x:c>
      <x:c r="AQ156" s="32" t="str">
        <x:v>판단불가</x:v>
      </x:c>
      <x:c r="AR156" s="32" t="str">
        <x:v>NOT_APPLICABLE</x:v>
      </x:c>
      <x:c r="AS156" s="32" t="str">
        <x:v>MEDIUM</x:v>
      </x:c>
      <x:c r="AT156" s="33" t="str">
        <x:v>기존 자동 범위 판정에서 KOSIS 직접 검증 대상이 아닌 것으로 분류됨.</x:v>
      </x:c>
      <x:c r="AU156" s="32" t="str">
        <x:v>N/A</x:v>
      </x:c>
      <x:c r="AV156" s="32" t="n">
        <x:v>46239.28157407408</x:v>
      </x:c>
      <x:c r="AW156" s="32" t="str">
        <x:v>KOSIS_MCP_AUTO_V3</x:v>
      </x:c>
      <x:c r="AX156" s="32" t="str">
        <x:v>N</x:v>
      </x:c>
    </x:row>
    <x:row r="157">
      <x:c r="A157" s="32" t="str">
        <x:v>A1253-C009</x:v>
      </x:c>
      <x:c r="B157" s="32" t="str">
        <x:v>A1253-C009-m3</x:v>
      </x:c>
      <x:c r="C157" s="32" t="str">
        <x:v>A1253</x:v>
      </x:c>
      <x:c r="D157" s="32" t="str">
        <x:v>‘관세 전쟁’ 반영 안 했는데도… 올 한국 성장률 1.4%로 내려</x:v>
      </x:c>
      <x:c r="E157" s="32" t="str">
        <x:v>2025-04-07</x:v>
      </x:c>
      <x:c r="F157" s="32" t="str">
        <x:v>https://www.chosun.com/economy/economy_general/2025/04/07/VVA56JEZHRGWBM24Z4F4FHUU5E</x:v>
      </x:c>
      <x:c r="G157" s="33" t="str">
        <x:v>앞서 한국은행은 지난 2월 올해 성장률 전망을 기존 1.9%에서 1.5%로 내렸고, 관세 전쟁이 격화하는 경우 1.4% 성장으로 둔화할 것으로 봤다.</x:v>
      </x:c>
      <x:c r="H157" s="32" t="str">
        <x:v>1.40%</x:v>
      </x:c>
      <x:c r="I157" s="32" t="str">
        <x:v>KOSIS_VALUE</x:v>
      </x:c>
      <x:c r="J157" s="32" t="str">
        <x:v>국내공식통계</x:v>
      </x:c>
      <x:c r="K157" s="32" t="str">
        <x:v>hcx</x:v>
      </x:c>
      <x:c r="L157" s="32" t="str">
        <x:v>증감률</x:v>
      </x:c>
      <x:c r="M157" s="32" t="str">
        <x:v>경제성장률</x:v>
      </x:c>
      <x:c r="N157" s="32" t="str">
        <x:v>-</x:v>
      </x:c>
      <x:c r="O157" s="32" t="str">
        <x:v>1.4</x:v>
      </x:c>
      <x:c r="P157" s="32" t="str">
        <x:v>%</x:v>
      </x:c>
      <x:c r="Q157" s="32" t="str">
        <x:v>2025</x:v>
      </x:c>
      <x:c r="R157" s="32" t="str">
        <x:v>Y</x:v>
      </x:c>
      <x:c r="S157" s="32" t="str">
        <x:v>N</x:v>
      </x:c>
      <x:c r="T157" s="32" t="str">
        <x:v>N</x:v>
      </x:c>
      <x:c r="U157" s="32" t="str">
        <x:v>N</x:v>
      </x:c>
      <x:c r="V157" s="32" t="str">
        <x:v>MEASUREMENT_ERROR</x:v>
      </x:c>
      <x:c r="W157" s="32" t="str">
        <x:v>N/A</x:v>
      </x:c>
      <x:c r="X157" s="32" t="str">
        <x:v>N/A</x:v>
      </x:c>
      <x:c r="Y157" s="32" t="str">
        <x:v>N/A</x:v>
      </x:c>
      <x:c r="Z157" s="32" t="str">
        <x:v>N/A</x:v>
      </x:c>
      <x:c r="AA157" s="32" t="str">
        <x:v>N/A</x:v>
      </x:c>
      <x:c r="AB157" s="32" t="str">
        <x:v>N/A</x:v>
      </x:c>
      <x:c r="AC157" s="32" t="str">
        <x:v>N/A</x:v>
      </x:c>
      <x:c r="AD157" s="32" t="str">
        <x:v>N/A</x:v>
      </x:c>
      <x:c r="AE157" s="32" t="str">
        <x:v>N/A</x:v>
      </x:c>
      <x:c r="AF157" s="32" t="str">
        <x:v>N/A</x:v>
      </x:c>
      <x:c r="AG157" s="32" t="str">
        <x:v>N/A</x:v>
      </x:c>
      <x:c r="AH157" s="32" t="str">
        <x:v>N/A</x:v>
      </x:c>
      <x:c r="AI157" s="32" t="str">
        <x:v>N/A</x:v>
      </x:c>
      <x:c r="AJ157" s="32" t="str">
        <x:v>N/A</x:v>
      </x:c>
      <x:c r="AK157" s="32" t="str">
        <x:v>N/A</x:v>
      </x:c>
      <x:c r="AL157" s="32" t="str">
        <x:v>N/A</x:v>
      </x:c>
      <x:c r="AM157" s="32" t="str">
        <x:v>N/A</x:v>
      </x:c>
      <x:c r="AN157" s="32" t="str">
        <x:v>N/A</x:v>
      </x:c>
      <x:c r="AO157" s="32" t="str">
        <x:v>N/A</x:v>
      </x:c>
      <x:c r="AP157" s="32" t="str">
        <x:v>N/A</x:v>
      </x:c>
      <x:c r="AQ157" s="32" t="str">
        <x:v>판단불가</x:v>
      </x:c>
      <x:c r="AR157" s="32" t="str">
        <x:v>NOT_APPLICABLE</x:v>
      </x:c>
      <x:c r="AS157" s="32" t="str">
        <x:v>MEDIUM</x:v>
      </x:c>
      <x:c r="AT157" s="33" t="str">
        <x:v>기존 자동 측정 규칙에서 측정값 추출 오류로 분류되어 KOSIS 골드 좌표를 부여하지 않음.</x:v>
      </x:c>
      <x:c r="AU157" s="32" t="str">
        <x:v>N/A</x:v>
      </x:c>
      <x:c r="AV157" s="32" t="n">
        <x:v>46239.28157407408</x:v>
      </x:c>
      <x:c r="AW157" s="32" t="str">
        <x:v>KOSIS_MCP_AUTO_V3</x:v>
      </x:c>
      <x:c r="AX157" s="32" t="str">
        <x:v>N</x:v>
      </x:c>
    </x:row>
    <x:row r="158">
      <x:c r="A158" s="32" t="str">
        <x:v>A1356-C021</x:v>
      </x:c>
      <x:c r="B158" s="32" t="str">
        <x:v>A1356-C021-m1</x:v>
      </x:c>
      <x:c r="C158" s="32" t="str">
        <x:v>A1356</x:v>
      </x:c>
      <x:c r="D158" s="32" t="str">
        <x:v>3040은 생활비, 60대 이상은 팬클럽 활동에 ‘모임 통장’ 쓴다</x:v>
      </x:c>
      <x:c r="E158" s="32" t="str">
        <x:v>2025-04-15</x:v>
      </x:c>
      <x:c r="F158" s="32" t="str">
        <x:v>https://www.chosun.com/economy/economy_general/2025/04/15/KNSLCZWTCZCXDIAF2VXAAVSXKM</x:v>
      </x:c>
      <x:c r="G158" s="33" t="str">
        <x:v>모임 통장 이용자 중 1.5%(2020년)에 불과했던 60대 이상 비율은 작년 말 6.9%로 4년 만에 4.6배로 뛰었다.</x:v>
      </x:c>
      <x:c r="H158" s="32" t="str">
        <x:v>6.90%</x:v>
      </x:c>
      <x:c r="I158" s="32" t="str">
        <x:v>KOSIS_VALUE</x:v>
      </x:c>
      <x:c r="J158" s="32" t="str">
        <x:v>국내공식통계</x:v>
      </x:c>
      <x:c r="K158" s="32" t="str">
        <x:v>hcx</x:v>
      </x:c>
      <x:c r="L158" s="32" t="str">
        <x:v>현재값</x:v>
      </x:c>
      <x:c r="M158" s="32" t="str">
        <x:v>모임 통장 이용자 비율</x:v>
      </x:c>
      <x:c r="N158" s="32" t="str">
        <x:v>60대 이상</x:v>
      </x:c>
      <x:c r="O158" s="32" t="str">
        <x:v>6.9</x:v>
      </x:c>
      <x:c r="P158" s="32" t="str">
        <x:v>%</x:v>
      </x:c>
      <x:c r="Q158" s="32" t="str">
        <x:v>2024</x:v>
      </x:c>
      <x:c r="R158" s="32" t="str">
        <x:v>Y</x:v>
      </x:c>
      <x:c r="S158" s="32" t="str">
        <x:v>N</x:v>
      </x:c>
      <x:c r="T158" s="32" t="str">
        <x:v>Y</x:v>
      </x:c>
      <x:c r="U158" s="32" t="str">
        <x:v>N</x:v>
      </x:c>
      <x:c r="V158" s="32" t="str">
        <x:v>MCP_NOT_VERIFIABLE</x:v>
      </x:c>
      <x:c r="W158" s="32" t="str">
        <x:v>N/A</x:v>
      </x:c>
      <x:c r="X158" s="32" t="str">
        <x:v>N/A</x:v>
      </x:c>
      <x:c r="Y158" s="32" t="str">
        <x:v>N/A</x:v>
      </x:c>
      <x:c r="Z158" s="32" t="str">
        <x:v>N/A</x:v>
      </x:c>
      <x:c r="AA158" s="32" t="str">
        <x:v>N/A</x:v>
      </x:c>
      <x:c r="AB158" s="32" t="str">
        <x:v>N/A</x:v>
      </x:c>
      <x:c r="AC158" s="32" t="str">
        <x:v>N/A</x:v>
      </x:c>
      <x:c r="AD158" s="32" t="str">
        <x:v>N/A</x:v>
      </x:c>
      <x:c r="AE158" s="32" t="str">
        <x:v>N/A</x:v>
      </x:c>
      <x:c r="AF158" s="32" t="str">
        <x:v>N/A</x:v>
      </x:c>
      <x:c r="AG158" s="32" t="str">
        <x:v>N/A</x:v>
      </x:c>
      <x:c r="AH158" s="32" t="str">
        <x:v>N/A</x:v>
      </x:c>
      <x:c r="AI158" s="32" t="str">
        <x:v>N/A</x:v>
      </x:c>
      <x:c r="AJ158" s="32" t="str">
        <x:v>N/A</x:v>
      </x:c>
      <x:c r="AK158" s="32" t="str">
        <x:v>N/A</x:v>
      </x:c>
      <x:c r="AL158" s="32" t="str">
        <x:v>N/A</x:v>
      </x:c>
      <x:c r="AM158" s="32" t="str">
        <x:v>N/A</x:v>
      </x:c>
      <x:c r="AN158" s="32" t="str">
        <x:v>N/A</x:v>
      </x:c>
      <x:c r="AO158" s="32" t="str">
        <x:v>N/A</x:v>
      </x:c>
      <x:c r="AP158" s="32" t="str">
        <x:v>N/A</x:v>
      </x:c>
      <x:c r="AQ158" s="32" t="str">
        <x:v>판단불가</x:v>
      </x:c>
      <x:c r="AR158" s="32" t="str">
        <x:v>NOT_APPLICABLE</x:v>
      </x:c>
      <x:c r="AS158" s="32" t="str">
        <x:v>MEDIUM</x:v>
      </x:c>
      <x:c r="AT158" s="33" t="str">
        <x:v>기존 자동 범위 판정에서 KOSIS 직접 검증 대상이 아닌 것으로 분류됨.</x:v>
      </x:c>
      <x:c r="AU158" s="32" t="str">
        <x:v>N/A</x:v>
      </x:c>
      <x:c r="AV158" s="32" t="n">
        <x:v>46239.28157407408</x:v>
      </x:c>
      <x:c r="AW158" s="32" t="str">
        <x:v>KOSIS_MCP_AUTO_V3</x:v>
      </x:c>
      <x:c r="AX158" s="32" t="str">
        <x:v>N</x:v>
      </x:c>
    </x:row>
    <x:row r="159">
      <x:c r="A159" s="32" t="str">
        <x:v>A1383-C003</x:v>
      </x:c>
      <x:c r="B159" s="32" t="str">
        <x:v>A1383-C003-m1</x:v>
      </x:c>
      <x:c r="C159" s="32" t="str">
        <x:v>A1383</x:v>
      </x:c>
      <x:c r="D159" s="32" t="str">
        <x:v>가파른 농촌 소멸의 현실... 작년 농가 수 97만가구, 1년새 2.5% 줄어</x:v>
      </x:c>
      <x:c r="E159" s="32" t="str">
        <x:v>2025-04-17</x:v>
      </x:c>
      <x:c r="F159" s="32" t="str">
        <x:v>https://www.chosun.com/economy/economy_general/2025/04/17/3OPFBMB5FND7LKAFGEU5LNCDGA</x:v>
      </x:c>
      <x:c r="G159" s="33" t="str">
        <x:v>농가에서 65세 이상 고령 인구가 차지하는 비율도 지난해 기준 55.8%로 해마다 계속 상승하면서 농촌 소멸 우려가 현실화되고 있다는 분석이 나온다.</x:v>
      </x:c>
      <x:c r="H159" s="32" t="str">
        <x:v>55.80%</x:v>
      </x:c>
      <x:c r="I159" s="32" t="str">
        <x:v>KOSIS_VALUE</x:v>
      </x:c>
      <x:c r="J159" s="32" t="str">
        <x:v>국내공식통계</x:v>
      </x:c>
      <x:c r="K159" s="32" t="str">
        <x:v>hcx</x:v>
      </x:c>
      <x:c r="L159" s="32" t="str">
        <x:v>현재값</x:v>
      </x:c>
      <x:c r="M159" s="32" t="str">
        <x:v>농가에서 65세 이상 고령 인구가 차지하는 비율</x:v>
      </x:c>
      <x:c r="N159" s="32" t="str">
        <x:v>-</x:v>
      </x:c>
      <x:c r="O159" s="32" t="str">
        <x:v>55.8</x:v>
      </x:c>
      <x:c r="P159" s="32" t="str">
        <x:v>%</x:v>
      </x:c>
      <x:c r="Q159" s="32" t="str">
        <x:v>2024</x:v>
      </x:c>
      <x:c r="R159" s="32" t="str">
        <x:v>Y</x:v>
      </x:c>
      <x:c r="S159" s="32" t="str">
        <x:v>Y</x:v>
      </x:c>
      <x:c r="T159" s="32" t="str">
        <x:v>Y</x:v>
      </x:c>
      <x:c r="U159" s="32" t="str">
        <x:v>Y</x:v>
      </x:c>
      <x:c r="V159" s="32" t="str">
        <x:v>FULL_KOSIS</x:v>
      </x:c>
      <x:c r="W159" s="32" t="str">
        <x:v>101</x:v>
      </x:c>
      <x:c r="X159" s="32" t="str">
        <x:v>DT_1EA1040</x:v>
      </x:c>
      <x:c r="Y159" s="32" t="str">
        <x:v>연령 및 성별 농가인구</x:v>
      </x:c>
      <x:c r="Z159" s="32" t="str">
        <x:v>T00</x:v>
      </x:c>
      <x:c r="AA159" s="32" t="str">
        <x:v>농가인구</x:v>
      </x:c>
      <x:c r="AB159" s="32" t="str">
        <x:v>000; objL2=E14,E15,E16,E17</x:v>
      </x:c>
      <x:c r="AC159" s="32" t="str">
        <x:v>전국; 65~69세,70~74세,75~79세,80세 이상</x:v>
      </x:c>
      <x:c r="AD159" s="32" t="str">
        <x:v>Y</x:v>
      </x:c>
      <x:c r="AE159" s="32" t="str">
        <x:v>2024</x:v>
      </x:c>
      <x:c r="AF159" s="32" t="str">
        <x:v>N/A</x:v>
      </x:c>
      <x:c r="AG159" s="32" t="str">
        <x:v>구성비</x:v>
      </x:c>
      <x:c r="AH159" s="32" t="str">
        <x:v>SUM_AGE_GROUPS_DIV_TOTAL</x:v>
      </x:c>
      <x:c r="AI159" s="32" t="str">
        <x:v>명</x:v>
      </x:c>
      <x:c r="AJ159" s="32" t="str">
        <x:v>1117944</x:v>
      </x:c>
      <x:c r="AK159" s="32" t="str">
        <x:v>N/A</x:v>
      </x:c>
      <x:c r="AL159" s="32" t="str">
        <x:v>55.7989937709631</x:v>
      </x:c>
      <x:c r="AM159" s="32" t="str">
        <x:v>55.8</x:v>
      </x:c>
      <x:c r="AN159" s="32" t="str">
        <x:v>0.0010062290368964</x:v>
      </x:c>
      <x:c r="AO159" s="32" t="str">
        <x:v>0.0018032778439003585</x:v>
      </x:c>
      <x:c r="AP159" s="32" t="str">
        <x:v>absolute_error&lt;=0.1%p</x:v>
      </x:c>
      <x:c r="AQ159" s="32" t="str">
        <x:v>일치</x:v>
      </x:c>
      <x:c r="AR159" s="32" t="str">
        <x:v>UNIQUE</x:v>
      </x:c>
      <x:c r="AS159" s="32" t="str">
        <x:v>HIGH</x:v>
      </x:c>
      <x:c r="AT159" s="33" t="str">
        <x:v>65세 이상 네 연령대 농가인구 합계를 전체 농가인구 2,003,520명으로 나눔.</x:v>
      </x:c>
      <x:c r="AU159" s="32" t="str">
        <x:v>https://kosis.kr/statHtml/statHtml.do?orgId=101&amp;tblId=DT_1EA1040&amp;vw_cd=MT_ZTITLE</x:v>
      </x:c>
      <x:c r="AV159" s="32" t="n">
        <x:v>46239.28157407408</x:v>
      </x:c>
      <x:c r="AW159" s="32" t="str">
        <x:v>KOSIS_MCP_AUTO_V3</x:v>
      </x:c>
      <x:c r="AX159" s="32" t="str">
        <x:v>N</x:v>
      </x:c>
    </x:row>
    <x:row r="160">
      <x:c r="A160" s="32" t="str">
        <x:v>A1436-C005</x:v>
      </x:c>
      <x:c r="B160" s="32" t="str">
        <x:v>A1436-C005-m1</x:v>
      </x:c>
      <x:c r="C160" s="32" t="str">
        <x:v>A1436</x:v>
      </x:c>
      <x:c r="D160" s="32" t="str">
        <x:v>사상 첫 ‘4분기 연속 0.1% 이하 성장’ 쇼크 오나</x:v>
      </x:c>
      <x:c r="E160" s="32" t="str">
        <x:v>2025-04-21</x:v>
      </x:c>
      <x:c r="F160" s="32" t="str">
        <x:v>https://www.chosun.com/economy/economy_general/2025/04/21/IJL2AD4SB5ETLABUQTFBKVHC7I</x:v>
      </x:c>
      <x:c r="G160" s="33" t="str">
        <x:v>◇‘4개 분기 연속 제로 성장’ 쇼크 한국은행은 지난 17일 ‘올해 1분기(1~3월) 및 향후 성장 흐름 평가’ 보고서에서 “1분기 우리나라 성장률이 지난 2월에 내놓은 전망치인 0.2%보다 더 낮으며, 마이너스(-) 성장 가능성도 배제할 수 없는 상황”이라고 했다.</x:v>
      </x:c>
      <x:c r="H160" s="32" t="str">
        <x:v>4개</x:v>
      </x:c>
      <x:c r="I160" s="32" t="str">
        <x:v>KOSIS_VALUE</x:v>
      </x:c>
      <x:c r="J160" s="32" t="str">
        <x:v>국내공식통계</x:v>
      </x:c>
      <x:c r="K160" s="32" t="str">
        <x:v>hcx</x:v>
      </x:c>
      <x:c r="L160" s="32" t="str">
        <x:v>현재값</x:v>
      </x:c>
      <x:c r="M160" s="32" t="str">
        <x:v>분기 연속 성장</x:v>
      </x:c>
      <x:c r="N160" s="32" t="str">
        <x:v>-</x:v>
      </x:c>
      <x:c r="O160" s="32" t="str">
        <x:v>4</x:v>
      </x:c>
      <x:c r="P160" s="32" t="str">
        <x:v>개</x:v>
      </x:c>
      <x:c r="Q160" s="32" t="str">
        <x:v>2025Q1</x:v>
      </x:c>
      <x:c r="R160" s="32" t="str">
        <x:v>Q</x:v>
      </x:c>
      <x:c r="S160" s="32" t="str">
        <x:v>N</x:v>
      </x:c>
      <x:c r="T160" s="32" t="str">
        <x:v>N</x:v>
      </x:c>
      <x:c r="U160" s="32" t="str">
        <x:v>N</x:v>
      </x:c>
      <x:c r="V160" s="32" t="str">
        <x:v>MEASUREMENT_ERROR</x:v>
      </x:c>
      <x:c r="W160" s="32" t="str">
        <x:v>N/A</x:v>
      </x:c>
      <x:c r="X160" s="32" t="str">
        <x:v>N/A</x:v>
      </x:c>
      <x:c r="Y160" s="32" t="str">
        <x:v>N/A</x:v>
      </x:c>
      <x:c r="Z160" s="32" t="str">
        <x:v>N/A</x:v>
      </x:c>
      <x:c r="AA160" s="32" t="str">
        <x:v>N/A</x:v>
      </x:c>
      <x:c r="AB160" s="32" t="str">
        <x:v>N/A</x:v>
      </x:c>
      <x:c r="AC160" s="32" t="str">
        <x:v>N/A</x:v>
      </x:c>
      <x:c r="AD160" s="32" t="str">
        <x:v>N/A</x:v>
      </x:c>
      <x:c r="AE160" s="32" t="str">
        <x:v>N/A</x:v>
      </x:c>
      <x:c r="AF160" s="32" t="str">
        <x:v>N/A</x:v>
      </x:c>
      <x:c r="AG160" s="32" t="str">
        <x:v>N/A</x:v>
      </x:c>
      <x:c r="AH160" s="32" t="str">
        <x:v>N/A</x:v>
      </x:c>
      <x:c r="AI160" s="32" t="str">
        <x:v>N/A</x:v>
      </x:c>
      <x:c r="AJ160" s="32" t="str">
        <x:v>N/A</x:v>
      </x:c>
      <x:c r="AK160" s="32" t="str">
        <x:v>N/A</x:v>
      </x:c>
      <x:c r="AL160" s="32" t="str">
        <x:v>N/A</x:v>
      </x:c>
      <x:c r="AM160" s="32" t="str">
        <x:v>N/A</x:v>
      </x:c>
      <x:c r="AN160" s="32" t="str">
        <x:v>N/A</x:v>
      </x:c>
      <x:c r="AO160" s="32" t="str">
        <x:v>N/A</x:v>
      </x:c>
      <x:c r="AP160" s="32" t="str">
        <x:v>N/A</x:v>
      </x:c>
      <x:c r="AQ160" s="32" t="str">
        <x:v>판단불가</x:v>
      </x:c>
      <x:c r="AR160" s="32" t="str">
        <x:v>NOT_APPLICABLE</x:v>
      </x:c>
      <x:c r="AS160" s="32" t="str">
        <x:v>HIGH</x:v>
      </x:c>
      <x:c r="AT160" s="33" t="str">
        <x:v>'4개 분기 연속'은 시계열 조건의 횟수이며 단일 통계 측정값이 아님.</x:v>
      </x:c>
      <x:c r="AU160" s="32" t="str">
        <x:v>N/A</x:v>
      </x:c>
      <x:c r="AV160" s="32" t="n">
        <x:v>46239.28157407408</x:v>
      </x:c>
      <x:c r="AW160" s="32" t="str">
        <x:v>KOSIS_MCP_AUTO_V3</x:v>
      </x:c>
      <x:c r="AX160" s="32" t="str">
        <x:v>N</x:v>
      </x:c>
    </x:row>
    <x:row r="161">
      <x:c r="A161" s="32" t="str">
        <x:v>A1436-C005</x:v>
      </x:c>
      <x:c r="B161" s="32" t="str">
        <x:v>A1436-C005-m2</x:v>
      </x:c>
      <x:c r="C161" s="32" t="str">
        <x:v>A1436</x:v>
      </x:c>
      <x:c r="D161" s="32" t="str">
        <x:v>사상 첫 ‘4분기 연속 0.1% 이하 성장’ 쇼크 오나</x:v>
      </x:c>
      <x:c r="E161" s="32" t="str">
        <x:v>2025-04-21</x:v>
      </x:c>
      <x:c r="F161" s="32" t="str">
        <x:v>https://www.chosun.com/economy/economy_general/2025/04/21/IJL2AD4SB5ETLABUQTFBKVHC7I</x:v>
      </x:c>
      <x:c r="G161" s="33" t="str">
        <x:v>◇‘4개 분기 연속 제로 성장’ 쇼크 한국은행은 지난 17일 ‘올해 1분기(1~3월) 및 향후 성장 흐름 평가’ 보고서에서 “1분기 우리나라 성장률이 지난 2월에 내놓은 전망치인 0.2%보다 더 낮으며, 마이너스(-) 성장 가능성도 배제할 수 없는 상황”이라고 했다.</x:v>
      </x:c>
      <x:c r="H161" s="32" t="str">
        <x:v>0.20%</x:v>
      </x:c>
      <x:c r="I161" s="32" t="str">
        <x:v>KOSIS_VALUE</x:v>
      </x:c>
      <x:c r="J161" s="32" t="str">
        <x:v>국내공식통계</x:v>
      </x:c>
      <x:c r="K161" s="32" t="str">
        <x:v>hcx</x:v>
      </x:c>
      <x:c r="L161" s="32" t="str">
        <x:v>현재값</x:v>
      </x:c>
      <x:c r="M161" s="32" t="str">
        <x:v>경제성장률</x:v>
      </x:c>
      <x:c r="N161" s="32" t="str">
        <x:v>-</x:v>
      </x:c>
      <x:c r="O161" s="32" t="str">
        <x:v>0.2</x:v>
      </x:c>
      <x:c r="P161" s="32" t="str">
        <x:v>%</x:v>
      </x:c>
      <x:c r="Q161" s="32" t="str">
        <x:v>2025Q1</x:v>
      </x:c>
      <x:c r="R161" s="32" t="str">
        <x:v>Q</x:v>
      </x:c>
      <x:c r="S161" s="32" t="str">
        <x:v>N</x:v>
      </x:c>
      <x:c r="T161" s="32" t="str">
        <x:v>Y</x:v>
      </x:c>
      <x:c r="U161" s="32" t="str">
        <x:v>N</x:v>
      </x:c>
      <x:c r="V161" s="32" t="str">
        <x:v>MCP_NOT_VERIFIABLE</x:v>
      </x:c>
      <x:c r="W161" s="32" t="str">
        <x:v>N/A</x:v>
      </x:c>
      <x:c r="X161" s="32" t="str">
        <x:v>N/A</x:v>
      </x:c>
      <x:c r="Y161" s="32" t="str">
        <x:v>N/A</x:v>
      </x:c>
      <x:c r="Z161" s="32" t="str">
        <x:v>N/A</x:v>
      </x:c>
      <x:c r="AA161" s="32" t="str">
        <x:v>N/A</x:v>
      </x:c>
      <x:c r="AB161" s="32" t="str">
        <x:v>N/A</x:v>
      </x:c>
      <x:c r="AC161" s="32" t="str">
        <x:v>N/A</x:v>
      </x:c>
      <x:c r="AD161" s="32" t="str">
        <x:v>N/A</x:v>
      </x:c>
      <x:c r="AE161" s="32" t="str">
        <x:v>N/A</x:v>
      </x:c>
      <x:c r="AF161" s="32" t="str">
        <x:v>N/A</x:v>
      </x:c>
      <x:c r="AG161" s="32" t="str">
        <x:v>N/A</x:v>
      </x:c>
      <x:c r="AH161" s="32" t="str">
        <x:v>N/A</x:v>
      </x:c>
      <x:c r="AI161" s="32" t="str">
        <x:v>N/A</x:v>
      </x:c>
      <x:c r="AJ161" s="32" t="str">
        <x:v>N/A</x:v>
      </x:c>
      <x:c r="AK161" s="32" t="str">
        <x:v>N/A</x:v>
      </x:c>
      <x:c r="AL161" s="32" t="str">
        <x:v>N/A</x:v>
      </x:c>
      <x:c r="AM161" s="32" t="str">
        <x:v>N/A</x:v>
      </x:c>
      <x:c r="AN161" s="32" t="str">
        <x:v>N/A</x:v>
      </x:c>
      <x:c r="AO161" s="32" t="str">
        <x:v>N/A</x:v>
      </x:c>
      <x:c r="AP161" s="32" t="str">
        <x:v>N/A</x:v>
      </x:c>
      <x:c r="AQ161" s="32" t="str">
        <x:v>판단불가</x:v>
      </x:c>
      <x:c r="AR161" s="32" t="str">
        <x:v>NOT_APPLICABLE</x:v>
      </x:c>
      <x:c r="AS161" s="32" t="str">
        <x:v>HIGH</x:v>
      </x:c>
      <x:c r="AT161" s="33" t="str">
        <x:v>0.2%는 당시 한국은행 전망치로 확정 실적 KOSIS 골드가 아님.</x:v>
      </x:c>
      <x:c r="AU161" s="32" t="str">
        <x:v>N/A</x:v>
      </x:c>
      <x:c r="AV161" s="32" t="n">
        <x:v>46239.28157407408</x:v>
      </x:c>
      <x:c r="AW161" s="32" t="str">
        <x:v>KOSIS_MCP_AUTO_V3</x:v>
      </x:c>
      <x:c r="AX161" s="32" t="str">
        <x:v>N</x:v>
      </x:c>
    </x:row>
    <x:row r="162">
      <x:c r="A162" s="32" t="str">
        <x:v>A1478-C003</x:v>
      </x:c>
      <x:c r="B162" s="32" t="str">
        <x:v>A1478-C003-m2</x:v>
      </x:c>
      <x:c r="C162" s="32" t="str">
        <x:v>A1478</x:v>
      </x:c>
      <x:c r="D162" s="32" t="str">
        <x:v>한국 1분기 -0.2% 역성장 쇼크... 1년간 성장 멈췄다</x:v>
      </x:c>
      <x:c r="E162" s="32" t="str">
        <x:v>2025-04-24</x:v>
      </x:c>
      <x:c r="F162" s="32" t="str">
        <x:v>https://www.chosun.com/economy/economy_general/2025/04/24/RYSYX6BORRBE5GFWM4X74Z3QLA</x:v>
      </x:c>
      <x:c r="G162" s="33" t="str">
        <x:v>성장률이 4개 분기 연속으로 0.1% 이하를 기록한 것은 과거 대형 경제 위기 때도 없었다.</x:v>
      </x:c>
      <x:c r="H162" s="32" t="str">
        <x:v>4개</x:v>
      </x:c>
      <x:c r="I162" s="32" t="str">
        <x:v>KOSIS_VALUE</x:v>
      </x:c>
      <x:c r="J162" s="32" t="str">
        <x:v>국내공식통계</x:v>
      </x:c>
      <x:c r="K162" s="32" t="str">
        <x:v>hcx</x:v>
      </x:c>
      <x:c r="L162" s="32" t="str">
        <x:v>현재값</x:v>
      </x:c>
      <x:c r="M162" s="32" t="str">
        <x:v>분기 수</x:v>
      </x:c>
      <x:c r="N162" s="32" t="str">
        <x:v>-</x:v>
      </x:c>
      <x:c r="O162" s="32" t="str">
        <x:v>4</x:v>
      </x:c>
      <x:c r="P162" s="32" t="str">
        <x:v>개</x:v>
      </x:c>
      <x:c r="Q162" s="32" t="str">
        <x:v>2025Q1</x:v>
      </x:c>
      <x:c r="R162" s="32" t="str">
        <x:v>Q</x:v>
      </x:c>
      <x:c r="S162" s="32" t="str">
        <x:v>N</x:v>
      </x:c>
      <x:c r="T162" s="32" t="str">
        <x:v>N</x:v>
      </x:c>
      <x:c r="U162" s="32" t="str">
        <x:v>N</x:v>
      </x:c>
      <x:c r="V162" s="32" t="str">
        <x:v>MEASUREMENT_ERROR</x:v>
      </x:c>
      <x:c r="W162" s="32" t="str">
        <x:v>N/A</x:v>
      </x:c>
      <x:c r="X162" s="32" t="str">
        <x:v>N/A</x:v>
      </x:c>
      <x:c r="Y162" s="32" t="str">
        <x:v>N/A</x:v>
      </x:c>
      <x:c r="Z162" s="32" t="str">
        <x:v>N/A</x:v>
      </x:c>
      <x:c r="AA162" s="32" t="str">
        <x:v>N/A</x:v>
      </x:c>
      <x:c r="AB162" s="32" t="str">
        <x:v>N/A</x:v>
      </x:c>
      <x:c r="AC162" s="32" t="str">
        <x:v>N/A</x:v>
      </x:c>
      <x:c r="AD162" s="32" t="str">
        <x:v>N/A</x:v>
      </x:c>
      <x:c r="AE162" s="32" t="str">
        <x:v>N/A</x:v>
      </x:c>
      <x:c r="AF162" s="32" t="str">
        <x:v>N/A</x:v>
      </x:c>
      <x:c r="AG162" s="32" t="str">
        <x:v>N/A</x:v>
      </x:c>
      <x:c r="AH162" s="32" t="str">
        <x:v>N/A</x:v>
      </x:c>
      <x:c r="AI162" s="32" t="str">
        <x:v>N/A</x:v>
      </x:c>
      <x:c r="AJ162" s="32" t="str">
        <x:v>N/A</x:v>
      </x:c>
      <x:c r="AK162" s="32" t="str">
        <x:v>N/A</x:v>
      </x:c>
      <x:c r="AL162" s="32" t="str">
        <x:v>N/A</x:v>
      </x:c>
      <x:c r="AM162" s="32" t="str">
        <x:v>N/A</x:v>
      </x:c>
      <x:c r="AN162" s="32" t="str">
        <x:v>N/A</x:v>
      </x:c>
      <x:c r="AO162" s="32" t="str">
        <x:v>N/A</x:v>
      </x:c>
      <x:c r="AP162" s="32" t="str">
        <x:v>N/A</x:v>
      </x:c>
      <x:c r="AQ162" s="32" t="str">
        <x:v>판단불가</x:v>
      </x:c>
      <x:c r="AR162" s="32" t="str">
        <x:v>NOT_APPLICABLE</x:v>
      </x:c>
      <x:c r="AS162" s="32" t="str">
        <x:v>HIGH</x:v>
      </x:c>
      <x:c r="AT162" s="33" t="str">
        <x:v>'4개 분기'는 연속 조건을 세어 만든 문맥값으로 직접 통계 측정값이 아님.</x:v>
      </x:c>
      <x:c r="AU162" s="32" t="str">
        <x:v>N/A</x:v>
      </x:c>
      <x:c r="AV162" s="32" t="n">
        <x:v>46239.28157407408</x:v>
      </x:c>
      <x:c r="AW162" s="32" t="str">
        <x:v>KOSIS_MCP_AUTO_V3</x:v>
      </x:c>
      <x:c r="AX162" s="32" t="str">
        <x:v>N</x:v>
      </x:c>
    </x:row>
    <x:row r="163">
      <x:c r="A163" s="32" t="str">
        <x:v>A1612-C002</x:v>
      </x:c>
      <x:c r="B163" s="32" t="str">
        <x:v>A1612-C002-m2</x:v>
      </x:c>
      <x:c r="C163" s="32" t="str">
        <x:v>A1612</x:v>
      </x:c>
      <x:c r="D163" s="32" t="str">
        <x:v>올해 국산차 ‘톱3’ 기아 RV가 독식</x:v>
      </x:c>
      <x:c r="E163" s="32" t="str">
        <x:v>2025-05-05</x:v>
      </x:c>
      <x:c r="F163" s="32" t="str">
        <x:v>https://www.chosun.com/economy/auto/2025/05/05/6ZESVWJNCNHHFNZXJM56H3P5SA</x:v>
      </x:c>
      <x:c r="G163" s="33" t="str">
        <x:v>5일 국내 완성차 5사에 따르면, 쏘렌토(3만5472대)가 올 1~4월 가장 많이 판매된 국산차로 집계됐다.</x:v>
      </x:c>
      <x:c r="H163" s="32" t="str">
        <x:v>3만5472대</x:v>
      </x:c>
      <x:c r="I163" s="32" t="str">
        <x:v>KOSIS_VALUE</x:v>
      </x:c>
      <x:c r="J163" s="32" t="str">
        <x:v>국내공식통계</x:v>
      </x:c>
      <x:c r="K163" s="32" t="str">
        <x:v>hcx</x:v>
      </x:c>
      <x:c r="L163" s="32" t="str">
        <x:v>현재값</x:v>
      </x:c>
      <x:c r="M163" s="32" t="str">
        <x:v>쏘렌토 판매량</x:v>
      </x:c>
      <x:c r="N163" s="32" t="str">
        <x:v>쏘렌토</x:v>
      </x:c>
      <x:c r="O163" s="32" t="str">
        <x:v>35472</x:v>
      </x:c>
      <x:c r="P163" s="32" t="str">
        <x:v>대</x:v>
      </x:c>
      <x:c r="Q163" s="32" t="str">
        <x:v>2025</x:v>
      </x:c>
      <x:c r="R163" s="32" t="str">
        <x:v>Y</x:v>
      </x:c>
      <x:c r="S163" s="32" t="str">
        <x:v>N</x:v>
      </x:c>
      <x:c r="T163" s="32" t="str">
        <x:v>Y</x:v>
      </x:c>
      <x:c r="U163" s="32" t="str">
        <x:v>N</x:v>
      </x:c>
      <x:c r="V163" s="32" t="str">
        <x:v>MCP_NOT_VERIFIABLE</x:v>
      </x:c>
      <x:c r="W163" s="32" t="str">
        <x:v>N/A</x:v>
      </x:c>
      <x:c r="X163" s="32" t="str">
        <x:v>N/A</x:v>
      </x:c>
      <x:c r="Y163" s="32" t="str">
        <x:v>N/A</x:v>
      </x:c>
      <x:c r="Z163" s="32" t="str">
        <x:v>N/A</x:v>
      </x:c>
      <x:c r="AA163" s="32" t="str">
        <x:v>N/A</x:v>
      </x:c>
      <x:c r="AB163" s="32" t="str">
        <x:v>N/A</x:v>
      </x:c>
      <x:c r="AC163" s="32" t="str">
        <x:v>N/A</x:v>
      </x:c>
      <x:c r="AD163" s="32" t="str">
        <x:v>N/A</x:v>
      </x:c>
      <x:c r="AE163" s="32" t="str">
        <x:v>N/A</x:v>
      </x:c>
      <x:c r="AF163" s="32" t="str">
        <x:v>N/A</x:v>
      </x:c>
      <x:c r="AG163" s="32" t="str">
        <x:v>N/A</x:v>
      </x:c>
      <x:c r="AH163" s="32" t="str">
        <x:v>N/A</x:v>
      </x:c>
      <x:c r="AI163" s="32" t="str">
        <x:v>N/A</x:v>
      </x:c>
      <x:c r="AJ163" s="32" t="str">
        <x:v>N/A</x:v>
      </x:c>
      <x:c r="AK163" s="32" t="str">
        <x:v>N/A</x:v>
      </x:c>
      <x:c r="AL163" s="32" t="str">
        <x:v>N/A</x:v>
      </x:c>
      <x:c r="AM163" s="32" t="str">
        <x:v>N/A</x:v>
      </x:c>
      <x:c r="AN163" s="32" t="str">
        <x:v>N/A</x:v>
      </x:c>
      <x:c r="AO163" s="32" t="str">
        <x:v>N/A</x:v>
      </x:c>
      <x:c r="AP163" s="32" t="str">
        <x:v>N/A</x:v>
      </x:c>
      <x:c r="AQ163" s="32" t="str">
        <x:v>판단불가</x:v>
      </x:c>
      <x:c r="AR163" s="32" t="str">
        <x:v>NOT_APPLICABLE</x:v>
      </x:c>
      <x:c r="AS163" s="32" t="str">
        <x:v>MEDIUM</x:v>
      </x:c>
      <x:c r="AT163" s="33" t="str">
        <x:v>기존 자동 범위 판정에서 KOSIS 직접 검증 대상이 아닌 것으로 분류됨.</x:v>
      </x:c>
      <x:c r="AU163" s="32" t="str">
        <x:v>N/A</x:v>
      </x:c>
      <x:c r="AV163" s="32" t="n">
        <x:v>46239.28157407408</x:v>
      </x:c>
      <x:c r="AW163" s="32" t="str">
        <x:v>KOSIS_MCP_AUTO_V3</x:v>
      </x:c>
      <x:c r="AX163" s="32" t="str">
        <x:v>N</x:v>
      </x:c>
    </x:row>
    <x:row r="164">
      <x:c r="A164" s="32" t="str">
        <x:v>A1719-C020</x:v>
      </x:c>
      <x:c r="B164" s="32" t="str">
        <x:v>A1719-C020-m2</x:v>
      </x:c>
      <x:c r="C164" s="32" t="str">
        <x:v>A1719</x:v>
      </x:c>
      <x:c r="D164" s="32" t="str">
        <x:v>옥석 못 가리는 ‘기술 특례 상장’… 기업 76% 공모가 밑돌아</x:v>
      </x:c>
      <x:c r="E164" s="32" t="str">
        <x:v>2025-05-13</x:v>
      </x:c>
      <x:c r="F164" s="32" t="str">
        <x:v>https://www.chosun.com/economy/economy_general/2025/05/13/DRKQY2SMOJGKDBJZP2ZPYBDBXI</x:v>
      </x:c>
      <x:c r="G164" s="33" t="str">
        <x:v>기술 특례 상장 기업의 경우 상장 후 5년간 매출 요건이 유예되는데, 2019년 10월~2020년 9월 사이 상장한 기업들은 올해부터 매출액 30억원을 넘겨야 한다.</x:v>
      </x:c>
      <x:c r="H164" s="32" t="str">
        <x:v>30억원</x:v>
      </x:c>
      <x:c r="I164" s="32" t="str">
        <x:v>KOSIS_VALUE</x:v>
      </x:c>
      <x:c r="J164" s="32" t="str">
        <x:v>국내공식통계</x:v>
      </x:c>
      <x:c r="K164" s="32" t="str">
        <x:v>hcx</x:v>
      </x:c>
      <x:c r="L164" s="32" t="str">
        <x:v>현재값</x:v>
      </x:c>
      <x:c r="M164" s="32" t="str">
        <x:v>관리종목 지정 기준 매출액</x:v>
      </x:c>
      <x:c r="N164" s="32" t="str">
        <x:v>-</x:v>
      </x:c>
      <x:c r="O164" s="32" t="str">
        <x:v>3000000000</x:v>
      </x:c>
      <x:c r="P164" s="32" t="str">
        <x:v>원</x:v>
      </x:c>
      <x:c r="Q164" s="32" t="str">
        <x:v>2025</x:v>
      </x:c>
      <x:c r="R164" s="32" t="str">
        <x:v>Y</x:v>
      </x:c>
      <x:c r="S164" s="32" t="str">
        <x:v>N</x:v>
      </x:c>
      <x:c r="T164" s="32" t="str">
        <x:v>N</x:v>
      </x:c>
      <x:c r="U164" s="32" t="str">
        <x:v>N</x:v>
      </x:c>
      <x:c r="V164" s="32" t="str">
        <x:v>MEASUREMENT_ERROR</x:v>
      </x:c>
      <x:c r="W164" s="32" t="str">
        <x:v>N/A</x:v>
      </x:c>
      <x:c r="X164" s="32" t="str">
        <x:v>N/A</x:v>
      </x:c>
      <x:c r="Y164" s="32" t="str">
        <x:v>N/A</x:v>
      </x:c>
      <x:c r="Z164" s="32" t="str">
        <x:v>N/A</x:v>
      </x:c>
      <x:c r="AA164" s="32" t="str">
        <x:v>N/A</x:v>
      </x:c>
      <x:c r="AB164" s="32" t="str">
        <x:v>N/A</x:v>
      </x:c>
      <x:c r="AC164" s="32" t="str">
        <x:v>N/A</x:v>
      </x:c>
      <x:c r="AD164" s="32" t="str">
        <x:v>N/A</x:v>
      </x:c>
      <x:c r="AE164" s="32" t="str">
        <x:v>N/A</x:v>
      </x:c>
      <x:c r="AF164" s="32" t="str">
        <x:v>N/A</x:v>
      </x:c>
      <x:c r="AG164" s="32" t="str">
        <x:v>N/A</x:v>
      </x:c>
      <x:c r="AH164" s="32" t="str">
        <x:v>N/A</x:v>
      </x:c>
      <x:c r="AI164" s="32" t="str">
        <x:v>N/A</x:v>
      </x:c>
      <x:c r="AJ164" s="32" t="str">
        <x:v>N/A</x:v>
      </x:c>
      <x:c r="AK164" s="32" t="str">
        <x:v>N/A</x:v>
      </x:c>
      <x:c r="AL164" s="32" t="str">
        <x:v>N/A</x:v>
      </x:c>
      <x:c r="AM164" s="32" t="str">
        <x:v>N/A</x:v>
      </x:c>
      <x:c r="AN164" s="32" t="str">
        <x:v>N/A</x:v>
      </x:c>
      <x:c r="AO164" s="32" t="str">
        <x:v>N/A</x:v>
      </x:c>
      <x:c r="AP164" s="32" t="str">
        <x:v>N/A</x:v>
      </x:c>
      <x:c r="AQ164" s="32" t="str">
        <x:v>판단불가</x:v>
      </x:c>
      <x:c r="AR164" s="32" t="str">
        <x:v>NOT_APPLICABLE</x:v>
      </x:c>
      <x:c r="AS164" s="32" t="str">
        <x:v>MEDIUM</x:v>
      </x:c>
      <x:c r="AT164" s="33" t="str">
        <x:v>기존 자동 측정 규칙에서 측정값 추출 오류로 분류되어 KOSIS 골드 좌표를 부여하지 않음.</x:v>
      </x:c>
      <x:c r="AU164" s="32" t="str">
        <x:v>N/A</x:v>
      </x:c>
      <x:c r="AV164" s="32" t="n">
        <x:v>46239.28157407408</x:v>
      </x:c>
      <x:c r="AW164" s="32" t="str">
        <x:v>KOSIS_MCP_AUTO_V3</x:v>
      </x:c>
      <x:c r="AX164" s="32" t="str">
        <x:v>N</x:v>
      </x:c>
    </x:row>
    <x:row r="165">
      <x:c r="A165" s="32" t="str">
        <x:v>A1730-C009</x:v>
      </x:c>
      <x:c r="B165" s="32" t="str">
        <x:v>A1730-C009-m1</x:v>
      </x:c>
      <x:c r="C165" s="32" t="str">
        <x:v>A1730</x:v>
      </x:c>
      <x:c r="D165" s="32" t="str">
        <x:v>주담대 연체율도 두 달 연속 최고치</x:v>
      </x:c>
      <x:c r="E165" s="32" t="str">
        <x:v>2025-05-14</x:v>
      </x:c>
      <x:c r="F165" s="32" t="str">
        <x:v>https://www.chosun.com/economy/economy_general/2025/05/14/7NSJI2LCGFEVLORPOGD5NAGVJU</x:v>
      </x:c>
      <x:c r="G165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5" s="32" t="str">
        <x:v>1.20%</x:v>
      </x:c>
      <x:c r="I165" s="32" t="str">
        <x:v>KOSIS_VALUE</x:v>
      </x:c>
      <x:c r="J165" s="32" t="str">
        <x:v>국내공식통계</x:v>
      </x:c>
      <x:c r="K165" s="32" t="str">
        <x:v>hcx</x:v>
      </x:c>
      <x:c r="L165" s="32" t="str">
        <x:v>증감률</x:v>
      </x:c>
      <x:c r="M165" s="32" t="str">
        <x:v>이자 비용 증감률</x:v>
      </x:c>
      <x:c r="N165" s="32" t="str">
        <x:v>-</x:v>
      </x:c>
      <x:c r="O165" s="32" t="str">
        <x:v>1.2</x:v>
      </x:c>
      <x:c r="P165" s="32" t="str">
        <x:v>%</x:v>
      </x:c>
      <x:c r="Q165" s="32" t="str">
        <x:v>2024Q4</x:v>
      </x:c>
      <x:c r="R165" s="32" t="str">
        <x:v>Q</x:v>
      </x:c>
      <x:c r="S165" s="32" t="str">
        <x:v>N</x:v>
      </x:c>
      <x:c r="T165" s="32" t="str">
        <x:v>Y</x:v>
      </x:c>
      <x:c r="U165" s="32" t="str">
        <x:v>N</x:v>
      </x:c>
      <x:c r="V165" s="32" t="str">
        <x:v>MCP_NOT_VERIFIABLE</x:v>
      </x:c>
      <x:c r="W165" s="32" t="str">
        <x:v>N/A</x:v>
      </x:c>
      <x:c r="X165" s="32" t="str">
        <x:v>N/A</x:v>
      </x:c>
      <x:c r="Y165" s="32" t="str">
        <x:v>N/A</x:v>
      </x:c>
      <x:c r="Z165" s="32" t="str">
        <x:v>N/A</x:v>
      </x:c>
      <x:c r="AA165" s="32" t="str">
        <x:v>N/A</x:v>
      </x:c>
      <x:c r="AB165" s="32" t="str">
        <x:v>N/A</x:v>
      </x:c>
      <x:c r="AC165" s="32" t="str">
        <x:v>N/A</x:v>
      </x:c>
      <x:c r="AD165" s="32" t="str">
        <x:v>N/A</x:v>
      </x:c>
      <x:c r="AE165" s="32" t="str">
        <x:v>N/A</x:v>
      </x:c>
      <x:c r="AF165" s="32" t="str">
        <x:v>N/A</x:v>
      </x:c>
      <x:c r="AG165" s="32" t="str">
        <x:v>N/A</x:v>
      </x:c>
      <x:c r="AH165" s="32" t="str">
        <x:v>N/A</x:v>
      </x:c>
      <x:c r="AI165" s="32" t="str">
        <x:v>N/A</x:v>
      </x:c>
      <x:c r="AJ165" s="32" t="str">
        <x:v>N/A</x:v>
      </x:c>
      <x:c r="AK165" s="32" t="str">
        <x:v>N/A</x:v>
      </x:c>
      <x:c r="AL165" s="32" t="str">
        <x:v>N/A</x:v>
      </x:c>
      <x:c r="AM165" s="32" t="str">
        <x:v>N/A</x:v>
      </x:c>
      <x:c r="AN165" s="32" t="str">
        <x:v>N/A</x:v>
      </x:c>
      <x:c r="AO165" s="32" t="str">
        <x:v>N/A</x:v>
      </x:c>
      <x:c r="AP165" s="32" t="str">
        <x:v>N/A</x:v>
      </x:c>
      <x:c r="AQ165" s="32" t="str">
        <x:v>판단불가</x:v>
      </x:c>
      <x:c r="AR165" s="32" t="str">
        <x:v>NOT_APPLICABLE</x:v>
      </x:c>
      <x:c r="AS165" s="32" t="str">
        <x:v>MEDIUM</x:v>
      </x:c>
      <x:c r="AT165" s="33" t="str">
        <x:v>기존 자동 범위 판정에서 KOSIS 직접 검증 대상이 아닌 것으로 분류됨.</x:v>
      </x:c>
      <x:c r="AU165" s="32" t="str">
        <x:v>N/A</x:v>
      </x:c>
      <x:c r="AV165" s="32" t="n">
        <x:v>46239.28157407408</x:v>
      </x:c>
      <x:c r="AW165" s="32" t="str">
        <x:v>KOSIS_MCP_AUTO_V3</x:v>
      </x:c>
      <x:c r="AX165" s="32" t="str">
        <x:v>N</x:v>
      </x:c>
    </x:row>
    <x:row r="166">
      <x:c r="A166" s="32" t="str">
        <x:v>A1730-C009</x:v>
      </x:c>
      <x:c r="B166" s="32" t="str">
        <x:v>A1730-C009-m2</x:v>
      </x:c>
      <x:c r="C166" s="32" t="str">
        <x:v>A1730</x:v>
      </x:c>
      <x:c r="D166" s="32" t="str">
        <x:v>주담대 연체율도 두 달 연속 최고치</x:v>
      </x:c>
      <x:c r="E166" s="32" t="str">
        <x:v>2025-05-14</x:v>
      </x:c>
      <x:c r="F166" s="32" t="str">
        <x:v>https://www.chosun.com/economy/economy_general/2025/05/14/7NSJI2LCGFEVLORPOGD5NAGVJU</x:v>
      </x:c>
      <x:c r="G166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6" s="32" t="str">
        <x:v>10만8000원</x:v>
      </x:c>
      <x:c r="I166" s="32" t="str">
        <x:v>KOSIS_VALUE</x:v>
      </x:c>
      <x:c r="J166" s="32" t="str">
        <x:v>국내공식통계</x:v>
      </x:c>
      <x:c r="K166" s="32" t="str">
        <x:v>hcx</x:v>
      </x:c>
      <x:c r="L166" s="32" t="str">
        <x:v>현재값</x:v>
      </x:c>
      <x:c r="M166" s="32" t="str">
        <x:v>이자 비용</x:v>
      </x:c>
      <x:c r="N166" s="32" t="str">
        <x:v>-</x:v>
      </x:c>
      <x:c r="O166" s="32" t="str">
        <x:v>108000</x:v>
      </x:c>
      <x:c r="P166" s="32" t="str">
        <x:v>원</x:v>
      </x:c>
      <x:c r="Q166" s="32" t="str">
        <x:v>2024Q4</x:v>
      </x:c>
      <x:c r="R166" s="32" t="str">
        <x:v>Q</x:v>
      </x:c>
      <x:c r="S166" s="32" t="str">
        <x:v>N</x:v>
      </x:c>
      <x:c r="T166" s="32" t="str">
        <x:v>Y</x:v>
      </x:c>
      <x:c r="U166" s="32" t="str">
        <x:v>N</x:v>
      </x:c>
      <x:c r="V166" s="32" t="str">
        <x:v>MCP_NOT_VERIFIABLE</x:v>
      </x:c>
      <x:c r="W166" s="32" t="str">
        <x:v>N/A</x:v>
      </x:c>
      <x:c r="X166" s="32" t="str">
        <x:v>N/A</x:v>
      </x:c>
      <x:c r="Y166" s="32" t="str">
        <x:v>N/A</x:v>
      </x:c>
      <x:c r="Z166" s="32" t="str">
        <x:v>N/A</x:v>
      </x:c>
      <x:c r="AA166" s="32" t="str">
        <x:v>N/A</x:v>
      </x:c>
      <x:c r="AB166" s="32" t="str">
        <x:v>N/A</x:v>
      </x:c>
      <x:c r="AC166" s="32" t="str">
        <x:v>N/A</x:v>
      </x:c>
      <x:c r="AD166" s="32" t="str">
        <x:v>N/A</x:v>
      </x:c>
      <x:c r="AE166" s="32" t="str">
        <x:v>N/A</x:v>
      </x:c>
      <x:c r="AF166" s="32" t="str">
        <x:v>N/A</x:v>
      </x:c>
      <x:c r="AG166" s="32" t="str">
        <x:v>N/A</x:v>
      </x:c>
      <x:c r="AH166" s="32" t="str">
        <x:v>N/A</x:v>
      </x:c>
      <x:c r="AI166" s="32" t="str">
        <x:v>N/A</x:v>
      </x:c>
      <x:c r="AJ166" s="32" t="str">
        <x:v>N/A</x:v>
      </x:c>
      <x:c r="AK166" s="32" t="str">
        <x:v>N/A</x:v>
      </x:c>
      <x:c r="AL166" s="32" t="str">
        <x:v>N/A</x:v>
      </x:c>
      <x:c r="AM166" s="32" t="str">
        <x:v>N/A</x:v>
      </x:c>
      <x:c r="AN166" s="32" t="str">
        <x:v>N/A</x:v>
      </x:c>
      <x:c r="AO166" s="32" t="str">
        <x:v>N/A</x:v>
      </x:c>
      <x:c r="AP166" s="32" t="str">
        <x:v>N/A</x:v>
      </x:c>
      <x:c r="AQ166" s="32" t="str">
        <x:v>판단불가</x:v>
      </x:c>
      <x:c r="AR166" s="32" t="str">
        <x:v>NOT_APPLICABLE</x:v>
      </x:c>
      <x:c r="AS166" s="32" t="str">
        <x:v>MEDIUM</x:v>
      </x:c>
      <x:c r="AT166" s="33" t="str">
        <x:v>기존 자동 범위 판정에서 KOSIS 직접 검증 대상이 아닌 것으로 분류됨.</x:v>
      </x:c>
      <x:c r="AU166" s="32" t="str">
        <x:v>N/A</x:v>
      </x:c>
      <x:c r="AV166" s="32" t="n">
        <x:v>46239.28157407408</x:v>
      </x:c>
      <x:c r="AW166" s="32" t="str">
        <x:v>KOSIS_MCP_AUTO_V3</x:v>
      </x:c>
      <x:c r="AX166" s="32" t="str">
        <x:v>N</x:v>
      </x:c>
    </x:row>
    <x:row r="167">
      <x:c r="A167" s="32" t="str">
        <x:v>A1730-C009</x:v>
      </x:c>
      <x:c r="B167" s="32" t="str">
        <x:v>A1730-C009-m3</x:v>
      </x:c>
      <x:c r="C167" s="32" t="str">
        <x:v>A1730</x:v>
      </x:c>
      <x:c r="D167" s="32" t="str">
        <x:v>주담대 연체율도 두 달 연속 최고치</x:v>
      </x:c>
      <x:c r="E167" s="32" t="str">
        <x:v>2025-05-14</x:v>
      </x:c>
      <x:c r="F167" s="32" t="str">
        <x:v>https://www.chosun.com/economy/economy_general/2025/05/14/7NSJI2LCGFEVLORPOGD5NAGVJU</x:v>
      </x:c>
      <x:c r="G167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7" s="32" t="str">
        <x:v>4개</x:v>
      </x:c>
      <x:c r="I167" s="32" t="str">
        <x:v>KOSIS_VALUE</x:v>
      </x:c>
      <x:c r="J167" s="32" t="str">
        <x:v>국내공식통계</x:v>
      </x:c>
      <x:c r="K167" s="32" t="str">
        <x:v>hcx</x:v>
      </x:c>
      <x:c r="L167" s="32" t="str">
        <x:v>현재값</x:v>
      </x:c>
      <x:c r="M167" s="32" t="str">
        <x:v>분기</x:v>
      </x:c>
      <x:c r="N167" s="32" t="str">
        <x:v>-</x:v>
      </x:c>
      <x:c r="O167" s="32" t="str">
        <x:v>4</x:v>
      </x:c>
      <x:c r="P167" s="32" t="str">
        <x:v>개</x:v>
      </x:c>
      <x:c r="Q167" s="32" t="str">
        <x:v>2024Q4</x:v>
      </x:c>
      <x:c r="R167" s="32" t="str">
        <x:v>Q</x:v>
      </x:c>
      <x:c r="S167" s="32" t="str">
        <x:v>N</x:v>
      </x:c>
      <x:c r="T167" s="32" t="str">
        <x:v>Y</x:v>
      </x:c>
      <x:c r="U167" s="32" t="str">
        <x:v>N</x:v>
      </x:c>
      <x:c r="V167" s="32" t="str">
        <x:v>MCP_NOT_VERIFIABLE</x:v>
      </x:c>
      <x:c r="W167" s="32" t="str">
        <x:v>N/A</x:v>
      </x:c>
      <x:c r="X167" s="32" t="str">
        <x:v>N/A</x:v>
      </x:c>
      <x:c r="Y167" s="32" t="str">
        <x:v>N/A</x:v>
      </x:c>
      <x:c r="Z167" s="32" t="str">
        <x:v>N/A</x:v>
      </x:c>
      <x:c r="AA167" s="32" t="str">
        <x:v>N/A</x:v>
      </x:c>
      <x:c r="AB167" s="32" t="str">
        <x:v>N/A</x:v>
      </x:c>
      <x:c r="AC167" s="32" t="str">
        <x:v>N/A</x:v>
      </x:c>
      <x:c r="AD167" s="32" t="str">
        <x:v>N/A</x:v>
      </x:c>
      <x:c r="AE167" s="32" t="str">
        <x:v>N/A</x:v>
      </x:c>
      <x:c r="AF167" s="32" t="str">
        <x:v>N/A</x:v>
      </x:c>
      <x:c r="AG167" s="32" t="str">
        <x:v>N/A</x:v>
      </x:c>
      <x:c r="AH167" s="32" t="str">
        <x:v>N/A</x:v>
      </x:c>
      <x:c r="AI167" s="32" t="str">
        <x:v>N/A</x:v>
      </x:c>
      <x:c r="AJ167" s="32" t="str">
        <x:v>N/A</x:v>
      </x:c>
      <x:c r="AK167" s="32" t="str">
        <x:v>N/A</x:v>
      </x:c>
      <x:c r="AL167" s="32" t="str">
        <x:v>N/A</x:v>
      </x:c>
      <x:c r="AM167" s="32" t="str">
        <x:v>N/A</x:v>
      </x:c>
      <x:c r="AN167" s="32" t="str">
        <x:v>N/A</x:v>
      </x:c>
      <x:c r="AO167" s="32" t="str">
        <x:v>N/A</x:v>
      </x:c>
      <x:c r="AP167" s="32" t="str">
        <x:v>N/A</x:v>
      </x:c>
      <x:c r="AQ167" s="32" t="str">
        <x:v>판단불가</x:v>
      </x:c>
      <x:c r="AR167" s="32" t="str">
        <x:v>NOT_APPLICABLE</x:v>
      </x:c>
      <x:c r="AS167" s="32" t="str">
        <x:v>MEDIUM</x:v>
      </x:c>
      <x:c r="AT167" s="33" t="str">
        <x:v>기존 자동 범위 판정에서 KOSIS 직접 검증 대상이 아닌 것으로 분류됨.</x:v>
      </x:c>
      <x:c r="AU167" s="32" t="str">
        <x:v>N/A</x:v>
      </x:c>
      <x:c r="AV167" s="32" t="n">
        <x:v>46239.28157407408</x:v>
      </x:c>
      <x:c r="AW167" s="32" t="str">
        <x:v>KOSIS_MCP_AUTO_V3</x:v>
      </x:c>
      <x:c r="AX167" s="32" t="str">
        <x:v>N</x:v>
      </x:c>
    </x:row>
    <x:row r="168">
      <x:c r="A168" s="32" t="str">
        <x:v>A1730-C009</x:v>
      </x:c>
      <x:c r="B168" s="32" t="str">
        <x:v>A1730-C009-m4</x:v>
      </x:c>
      <x:c r="C168" s="32" t="str">
        <x:v>A1730</x:v>
      </x:c>
      <x:c r="D168" s="32" t="str">
        <x:v>주담대 연체율도 두 달 연속 최고치</x:v>
      </x:c>
      <x:c r="E168" s="32" t="str">
        <x:v>2025-05-14</x:v>
      </x:c>
      <x:c r="F168" s="32" t="str">
        <x:v>https://www.chosun.com/economy/economy_general/2025/05/14/7NSJI2LCGFEVLORPOGD5NAGVJU</x:v>
      </x:c>
      <x:c r="G168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8" s="32" t="str">
        <x:v>10만원</x:v>
      </x:c>
      <x:c r="I168" s="32" t="str">
        <x:v>KOSIS_VALUE</x:v>
      </x:c>
      <x:c r="J168" s="32" t="str">
        <x:v>국내공식통계</x:v>
      </x:c>
      <x:c r="K168" s="32" t="str">
        <x:v>hcx</x:v>
      </x:c>
      <x:c r="L168" s="32" t="str">
        <x:v>현재값</x:v>
      </x:c>
      <x:c r="M168" s="32" t="str">
        <x:v>이자 비용</x:v>
      </x:c>
      <x:c r="N168" s="32" t="str">
        <x:v>-</x:v>
      </x:c>
      <x:c r="O168" s="32" t="str">
        <x:v>100000</x:v>
      </x:c>
      <x:c r="P168" s="32" t="str">
        <x:v>원</x:v>
      </x:c>
      <x:c r="Q168" s="32" t="str">
        <x:v>2024Q4</x:v>
      </x:c>
      <x:c r="R168" s="32" t="str">
        <x:v>Q</x:v>
      </x:c>
      <x:c r="S168" s="32" t="str">
        <x:v>N</x:v>
      </x:c>
      <x:c r="T168" s="32" t="str">
        <x:v>N</x:v>
      </x:c>
      <x:c r="U168" s="32" t="str">
        <x:v>N</x:v>
      </x:c>
      <x:c r="V168" s="32" t="str">
        <x:v>MEASUREMENT_ERROR</x:v>
      </x:c>
      <x:c r="W168" s="32" t="str">
        <x:v>N/A</x:v>
      </x:c>
      <x:c r="X168" s="32" t="str">
        <x:v>N/A</x:v>
      </x:c>
      <x:c r="Y168" s="32" t="str">
        <x:v>N/A</x:v>
      </x:c>
      <x:c r="Z168" s="32" t="str">
        <x:v>N/A</x:v>
      </x:c>
      <x:c r="AA168" s="32" t="str">
        <x:v>N/A</x:v>
      </x:c>
      <x:c r="AB168" s="32" t="str">
        <x:v>N/A</x:v>
      </x:c>
      <x:c r="AC168" s="32" t="str">
        <x:v>N/A</x:v>
      </x:c>
      <x:c r="AD168" s="32" t="str">
        <x:v>N/A</x:v>
      </x:c>
      <x:c r="AE168" s="32" t="str">
        <x:v>N/A</x:v>
      </x:c>
      <x:c r="AF168" s="32" t="str">
        <x:v>N/A</x:v>
      </x:c>
      <x:c r="AG168" s="32" t="str">
        <x:v>N/A</x:v>
      </x:c>
      <x:c r="AH168" s="32" t="str">
        <x:v>N/A</x:v>
      </x:c>
      <x:c r="AI168" s="32" t="str">
        <x:v>N/A</x:v>
      </x:c>
      <x:c r="AJ168" s="32" t="str">
        <x:v>N/A</x:v>
      </x:c>
      <x:c r="AK168" s="32" t="str">
        <x:v>N/A</x:v>
      </x:c>
      <x:c r="AL168" s="32" t="str">
        <x:v>N/A</x:v>
      </x:c>
      <x:c r="AM168" s="32" t="str">
        <x:v>N/A</x:v>
      </x:c>
      <x:c r="AN168" s="32" t="str">
        <x:v>N/A</x:v>
      </x:c>
      <x:c r="AO168" s="32" t="str">
        <x:v>N/A</x:v>
      </x:c>
      <x:c r="AP168" s="32" t="str">
        <x:v>N/A</x:v>
      </x:c>
      <x:c r="AQ168" s="32" t="str">
        <x:v>판단불가</x:v>
      </x:c>
      <x:c r="AR168" s="32" t="str">
        <x:v>NOT_APPLICABLE</x:v>
      </x:c>
      <x:c r="AS168" s="32" t="str">
        <x:v>MEDIUM</x:v>
      </x:c>
      <x:c r="AT168" s="33" t="str">
        <x:v>기존 자동 측정 규칙에서 측정값 추출 오류로 분류되어 KOSIS 골드 좌표를 부여하지 않음.</x:v>
      </x:c>
      <x:c r="AU168" s="32" t="str">
        <x:v>N/A</x:v>
      </x:c>
      <x:c r="AV168" s="32" t="n">
        <x:v>46239.28157407408</x:v>
      </x:c>
      <x:c r="AW168" s="32" t="str">
        <x:v>KOSIS_MCP_AUTO_V3</x:v>
      </x:c>
      <x:c r="AX168" s="32" t="str">
        <x:v>N</x:v>
      </x:c>
    </x:row>
    <x:row r="169">
      <x:c r="A169" s="32" t="str">
        <x:v>A1730-C009</x:v>
      </x:c>
      <x:c r="B169" s="32" t="str">
        <x:v>A1730-C009-m5</x:v>
      </x:c>
      <x:c r="C169" s="32" t="str">
        <x:v>A1730</x:v>
      </x:c>
      <x:c r="D169" s="32" t="str">
        <x:v>주담대 연체율도 두 달 연속 최고치</x:v>
      </x:c>
      <x:c r="E169" s="32" t="str">
        <x:v>2025-05-14</x:v>
      </x:c>
      <x:c r="F169" s="32" t="str">
        <x:v>https://www.chosun.com/economy/economy_general/2025/05/14/7NSJI2LCGFEVLORPOGD5NAGVJU</x:v>
      </x:c>
      <x:c r="G169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9" s="32" t="str">
        <x:v>5만5000원</x:v>
      </x:c>
      <x:c r="I169" s="32" t="str">
        <x:v>KOSIS_VALUE</x:v>
      </x:c>
      <x:c r="J169" s="32" t="str">
        <x:v>국내공식통계</x:v>
      </x:c>
      <x:c r="K169" s="32" t="str">
        <x:v>hcx</x:v>
      </x:c>
      <x:c r="L169" s="32" t="str">
        <x:v>현재값</x:v>
      </x:c>
      <x:c r="M169" s="32" t="str">
        <x:v>비경상조세</x:v>
      </x:c>
      <x:c r="N169" s="32" t="str">
        <x:v>-</x:v>
      </x:c>
      <x:c r="O169" s="32" t="str">
        <x:v>55000</x:v>
      </x:c>
      <x:c r="P169" s="32" t="str">
        <x:v>원</x:v>
      </x:c>
      <x:c r="Q169" s="32" t="str">
        <x:v>2024Q4</x:v>
      </x:c>
      <x:c r="R169" s="32" t="str">
        <x:v>Q</x:v>
      </x:c>
      <x:c r="S169" s="32" t="str">
        <x:v>N</x:v>
      </x:c>
      <x:c r="T169" s="32" t="str">
        <x:v>Y</x:v>
      </x:c>
      <x:c r="U169" s="32" t="str">
        <x:v>N</x:v>
      </x:c>
      <x:c r="V169" s="32" t="str">
        <x:v>MCP_NOT_VERIFIABLE</x:v>
      </x:c>
      <x:c r="W169" s="32" t="str">
        <x:v>N/A</x:v>
      </x:c>
      <x:c r="X169" s="32" t="str">
        <x:v>N/A</x:v>
      </x:c>
      <x:c r="Y169" s="32" t="str">
        <x:v>N/A</x:v>
      </x:c>
      <x:c r="Z169" s="32" t="str">
        <x:v>N/A</x:v>
      </x:c>
      <x:c r="AA169" s="32" t="str">
        <x:v>N/A</x:v>
      </x:c>
      <x:c r="AB169" s="32" t="str">
        <x:v>N/A</x:v>
      </x:c>
      <x:c r="AC169" s="32" t="str">
        <x:v>N/A</x:v>
      </x:c>
      <x:c r="AD169" s="32" t="str">
        <x:v>N/A</x:v>
      </x:c>
      <x:c r="AE169" s="32" t="str">
        <x:v>N/A</x:v>
      </x:c>
      <x:c r="AF169" s="32" t="str">
        <x:v>N/A</x:v>
      </x:c>
      <x:c r="AG169" s="32" t="str">
        <x:v>N/A</x:v>
      </x:c>
      <x:c r="AH169" s="32" t="str">
        <x:v>N/A</x:v>
      </x:c>
      <x:c r="AI169" s="32" t="str">
        <x:v>N/A</x:v>
      </x:c>
      <x:c r="AJ169" s="32" t="str">
        <x:v>N/A</x:v>
      </x:c>
      <x:c r="AK169" s="32" t="str">
        <x:v>N/A</x:v>
      </x:c>
      <x:c r="AL169" s="32" t="str">
        <x:v>N/A</x:v>
      </x:c>
      <x:c r="AM169" s="32" t="str">
        <x:v>N/A</x:v>
      </x:c>
      <x:c r="AN169" s="32" t="str">
        <x:v>N/A</x:v>
      </x:c>
      <x:c r="AO169" s="32" t="str">
        <x:v>N/A</x:v>
      </x:c>
      <x:c r="AP169" s="32" t="str">
        <x:v>N/A</x:v>
      </x:c>
      <x:c r="AQ169" s="32" t="str">
        <x:v>판단불가</x:v>
      </x:c>
      <x:c r="AR169" s="32" t="str">
        <x:v>NOT_APPLICABLE</x:v>
      </x:c>
      <x:c r="AS169" s="32" t="str">
        <x:v>MEDIUM</x:v>
      </x:c>
      <x:c r="AT169" s="33" t="str">
        <x:v>기존 자동 범위 판정에서 KOSIS 직접 검증 대상이 아닌 것으로 분류됨.</x:v>
      </x:c>
      <x:c r="AU169" s="32" t="str">
        <x:v>N/A</x:v>
      </x:c>
      <x:c r="AV169" s="32" t="n">
        <x:v>46239.28157407408</x:v>
      </x:c>
      <x:c r="AW169" s="32" t="str">
        <x:v>KOSIS_MCP_AUTO_V3</x:v>
      </x:c>
      <x:c r="AX169" s="32" t="str">
        <x:v>N</x:v>
      </x:c>
    </x:row>
    <x:row r="170">
      <x:c r="A170" s="32" t="str">
        <x:v>A1730-C009</x:v>
      </x:c>
      <x:c r="B170" s="32" t="str">
        <x:v>A1730-C009-m6</x:v>
      </x:c>
      <x:c r="C170" s="32" t="str">
        <x:v>A1730</x:v>
      </x:c>
      <x:c r="D170" s="32" t="str">
        <x:v>주담대 연체율도 두 달 연속 최고치</x:v>
      </x:c>
      <x:c r="E170" s="32" t="str">
        <x:v>2025-05-14</x:v>
      </x:c>
      <x:c r="F170" s="32" t="str">
        <x:v>https://www.chosun.com/economy/economy_general/2025/05/14/7NSJI2LCGFEVLORPOGD5NAGVJU</x:v>
      </x:c>
      <x:c r="G170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70" s="32" t="str">
        <x:v>5배</x:v>
      </x:c>
      <x:c r="I170" s="32" t="str">
        <x:v>KOSIS_VALUE</x:v>
      </x:c>
      <x:c r="J170" s="32" t="str">
        <x:v>국내공식통계</x:v>
      </x:c>
      <x:c r="K170" s="32" t="str">
        <x:v>hcx</x:v>
      </x:c>
      <x:c r="L170" s="32" t="str">
        <x:v>현재값</x:v>
      </x:c>
      <x:c r="M170" s="32" t="str">
        <x:v>비경상조세 증가 배수</x:v>
      </x:c>
      <x:c r="N170" s="32" t="str">
        <x:v>-</x:v>
      </x:c>
      <x:c r="O170" s="32" t="str">
        <x:v>5</x:v>
      </x:c>
      <x:c r="P170" s="32" t="str">
        <x:v>배</x:v>
      </x:c>
      <x:c r="Q170" s="32" t="str">
        <x:v>2024Q4</x:v>
      </x:c>
      <x:c r="R170" s="32" t="str">
        <x:v>Q</x:v>
      </x:c>
      <x:c r="S170" s="32" t="str">
        <x:v>N</x:v>
      </x:c>
      <x:c r="T170" s="32" t="str">
        <x:v>N</x:v>
      </x:c>
      <x:c r="U170" s="32" t="str">
        <x:v>N</x:v>
      </x:c>
      <x:c r="V170" s="32" t="str">
        <x:v>MEASUREMENT_ERROR</x:v>
      </x:c>
      <x:c r="W170" s="32" t="str">
        <x:v>N/A</x:v>
      </x:c>
      <x:c r="X170" s="32" t="str">
        <x:v>N/A</x:v>
      </x:c>
      <x:c r="Y170" s="32" t="str">
        <x:v>N/A</x:v>
      </x:c>
      <x:c r="Z170" s="32" t="str">
        <x:v>N/A</x:v>
      </x:c>
      <x:c r="AA170" s="32" t="str">
        <x:v>N/A</x:v>
      </x:c>
      <x:c r="AB170" s="32" t="str">
        <x:v>N/A</x:v>
      </x:c>
      <x:c r="AC170" s="32" t="str">
        <x:v>N/A</x:v>
      </x:c>
      <x:c r="AD170" s="32" t="str">
        <x:v>N/A</x:v>
      </x:c>
      <x:c r="AE170" s="32" t="str">
        <x:v>N/A</x:v>
      </x:c>
      <x:c r="AF170" s="32" t="str">
        <x:v>N/A</x:v>
      </x:c>
      <x:c r="AG170" s="32" t="str">
        <x:v>N/A</x:v>
      </x:c>
      <x:c r="AH170" s="32" t="str">
        <x:v>N/A</x:v>
      </x:c>
      <x:c r="AI170" s="32" t="str">
        <x:v>N/A</x:v>
      </x:c>
      <x:c r="AJ170" s="32" t="str">
        <x:v>N/A</x:v>
      </x:c>
      <x:c r="AK170" s="32" t="str">
        <x:v>N/A</x:v>
      </x:c>
      <x:c r="AL170" s="32" t="str">
        <x:v>N/A</x:v>
      </x:c>
      <x:c r="AM170" s="32" t="str">
        <x:v>N/A</x:v>
      </x:c>
      <x:c r="AN170" s="32" t="str">
        <x:v>N/A</x:v>
      </x:c>
      <x:c r="AO170" s="32" t="str">
        <x:v>N/A</x:v>
      </x:c>
      <x:c r="AP170" s="32" t="str">
        <x:v>N/A</x:v>
      </x:c>
      <x:c r="AQ170" s="32" t="str">
        <x:v>판단불가</x:v>
      </x:c>
      <x:c r="AR170" s="32" t="str">
        <x:v>NOT_APPLICABLE</x:v>
      </x:c>
      <x:c r="AS170" s="32" t="str">
        <x:v>MEDIUM</x:v>
      </x:c>
      <x:c r="AT170" s="33" t="str">
        <x:v>기존 자동 측정 규칙에서 측정값 추출 오류로 분류되어 KOSIS 골드 좌표를 부여하지 않음.</x:v>
      </x:c>
      <x:c r="AU170" s="32" t="str">
        <x:v>N/A</x:v>
      </x:c>
      <x:c r="AV170" s="32" t="n">
        <x:v>46239.28157407408</x:v>
      </x:c>
      <x:c r="AW170" s="32" t="str">
        <x:v>KOSIS_MCP_AUTO_V3</x:v>
      </x:c>
      <x:c r="AX170" s="32" t="str">
        <x:v>N</x:v>
      </x:c>
    </x:row>
    <x:row r="171">
      <x:c r="A171" s="32" t="str">
        <x:v>A1731-C001</x:v>
      </x:c>
      <x:c r="B171" s="32" t="str">
        <x:v>A1731-C001-m1</x:v>
      </x:c>
      <x:c r="C171" s="32" t="str">
        <x:v>A1731</x:v>
      </x:c>
      <x:c r="D171" s="32" t="str">
        <x:v>KDI, 올해 성장률 전망치 1.6→0.8% 반토막 하향 조정</x:v>
      </x:c>
      <x:c r="E171" s="32" t="str">
        <x:v>2025-05-14</x:v>
      </x:c>
      <x:c r="F171" s="32" t="str">
        <x:v>https://www.chosun.com/economy/economy_general/2025/05/14/BVZZJRMGC5H4LHGST2P2SVCX2Y</x:v>
      </x:c>
      <x:c r="G171" s="33" t="str">
        <x:v>국책연구기관인 한국개발연구원(KDI)이 14일 올해 한국의 경제성장률을 0.8%로 전망했다.</x:v>
      </x:c>
      <x:c r="H171" s="32" t="str">
        <x:v>0.80%</x:v>
      </x:c>
      <x:c r="I171" s="32" t="str">
        <x:v>KOSIS_VALUE</x:v>
      </x:c>
      <x:c r="J171" s="32" t="str">
        <x:v>국내공식통계</x:v>
      </x:c>
      <x:c r="K171" s="32" t="str">
        <x:v>hcx</x:v>
      </x:c>
      <x:c r="L171" s="32" t="str">
        <x:v>현재값</x:v>
      </x:c>
      <x:c r="M171" s="32" t="str">
        <x:v>경제성장률</x:v>
      </x:c>
      <x:c r="N171" s="32" t="str">
        <x:v>-</x:v>
      </x:c>
      <x:c r="O171" s="32" t="str">
        <x:v>0.8</x:v>
      </x:c>
      <x:c r="P171" s="32" t="str">
        <x:v>%</x:v>
      </x:c>
      <x:c r="Q171" s="32" t="str">
        <x:v>2025</x:v>
      </x:c>
      <x:c r="R171" s="32" t="str">
        <x:v>Y</x:v>
      </x:c>
      <x:c r="S171" s="32" t="str">
        <x:v>N</x:v>
      </x:c>
      <x:c r="T171" s="32" t="str">
        <x:v>N</x:v>
      </x:c>
      <x:c r="U171" s="32" t="str">
        <x:v>N</x:v>
      </x:c>
      <x:c r="V171" s="32" t="str">
        <x:v>MEASUREMENT_ERROR</x:v>
      </x:c>
      <x:c r="W171" s="32" t="str">
        <x:v>N/A</x:v>
      </x:c>
      <x:c r="X171" s="32" t="str">
        <x:v>N/A</x:v>
      </x:c>
      <x:c r="Y171" s="32" t="str">
        <x:v>N/A</x:v>
      </x:c>
      <x:c r="Z171" s="32" t="str">
        <x:v>N/A</x:v>
      </x:c>
      <x:c r="AA171" s="32" t="str">
        <x:v>N/A</x:v>
      </x:c>
      <x:c r="AB171" s="32" t="str">
        <x:v>N/A</x:v>
      </x:c>
      <x:c r="AC171" s="32" t="str">
        <x:v>N/A</x:v>
      </x:c>
      <x:c r="AD171" s="32" t="str">
        <x:v>N/A</x:v>
      </x:c>
      <x:c r="AE171" s="32" t="str">
        <x:v>N/A</x:v>
      </x:c>
      <x:c r="AF171" s="32" t="str">
        <x:v>N/A</x:v>
      </x:c>
      <x:c r="AG171" s="32" t="str">
        <x:v>N/A</x:v>
      </x:c>
      <x:c r="AH171" s="32" t="str">
        <x:v>N/A</x:v>
      </x:c>
      <x:c r="AI171" s="32" t="str">
        <x:v>N/A</x:v>
      </x:c>
      <x:c r="AJ171" s="32" t="str">
        <x:v>N/A</x:v>
      </x:c>
      <x:c r="AK171" s="32" t="str">
        <x:v>N/A</x:v>
      </x:c>
      <x:c r="AL171" s="32" t="str">
        <x:v>N/A</x:v>
      </x:c>
      <x:c r="AM171" s="32" t="str">
        <x:v>N/A</x:v>
      </x:c>
      <x:c r="AN171" s="32" t="str">
        <x:v>N/A</x:v>
      </x:c>
      <x:c r="AO171" s="32" t="str">
        <x:v>N/A</x:v>
      </x:c>
      <x:c r="AP171" s="32" t="str">
        <x:v>N/A</x:v>
      </x:c>
      <x:c r="AQ171" s="32" t="str">
        <x:v>판단불가</x:v>
      </x:c>
      <x:c r="AR171" s="32" t="str">
        <x:v>NOT_APPLICABLE</x:v>
      </x:c>
      <x:c r="AS171" s="32" t="str">
        <x:v>MEDIUM</x:v>
      </x:c>
      <x:c r="AT171" s="33" t="str">
        <x:v>기존 자동 측정 규칙에서 측정값 추출 오류로 분류되어 KOSIS 골드 좌표를 부여하지 않음.</x:v>
      </x:c>
      <x:c r="AU171" s="32" t="str">
        <x:v>N/A</x:v>
      </x:c>
      <x:c r="AV171" s="32" t="n">
        <x:v>46239.28157407408</x:v>
      </x:c>
      <x:c r="AW171" s="32" t="str">
        <x:v>KOSIS_MCP_AUTO_V3</x:v>
      </x:c>
      <x:c r="AX171" s="32" t="str">
        <x:v>N</x:v>
      </x:c>
    </x:row>
    <x:row r="172">
      <x:c r="A172" s="32" t="str">
        <x:v>A1731-C013</x:v>
      </x:c>
      <x:c r="B172" s="32" t="str">
        <x:v>A1731-C013-m1</x:v>
      </x:c>
      <x:c r="C172" s="32" t="str">
        <x:v>A1731</x:v>
      </x:c>
      <x:c r="D172" s="32" t="str">
        <x:v>KDI, 올해 성장률 전망치 1.6→0.8% 반토막 하향 조정</x:v>
      </x:c>
      <x:c r="E172" s="32" t="str">
        <x:v>2025-05-14</x:v>
      </x:c>
      <x:c r="F172" s="32" t="str">
        <x:v>https://www.chosun.com/economy/economy_general/2025/05/14/BVZZJRMGC5H4LHGST2P2SVCX2Y</x:v>
      </x:c>
      <x:c r="G172" s="33" t="str">
        <x:v>KDI는 “대내외 수요 둔화로 초래될 수 있는 물가 하방 압력을 축소하기 위해 통화정책은 보다 완화적인 기조로 운용하는 것이 바람직하다”며 “재정정책은 큰 폭의 관리재정수지 적자(GDP 대비 3.3%)를 감안하면 이미 어느 정도 완화적 기조라 정부 지출 추가 확대는 신중히 접근해야 한다”고 했다.</x:v>
      </x:c>
      <x:c r="H172" s="32" t="str">
        <x:v>3.30%</x:v>
      </x:c>
      <x:c r="I172" s="32" t="str">
        <x:v>KOSIS_VALUE</x:v>
      </x:c>
      <x:c r="J172" s="32" t="str">
        <x:v>국내공식통계</x:v>
      </x:c>
      <x:c r="K172" s="32" t="str">
        <x:v>hcx</x:v>
      </x:c>
      <x:c r="L172" s="32" t="str">
        <x:v>현재값</x:v>
      </x:c>
      <x:c r="M172" s="32" t="str">
        <x:v>관리재정수지 적자 비율</x:v>
      </x:c>
      <x:c r="N172" s="32" t="str">
        <x:v>-</x:v>
      </x:c>
      <x:c r="O172" s="32" t="str">
        <x:v>3.3</x:v>
      </x:c>
      <x:c r="P172" s="32" t="str">
        <x:v>%</x:v>
      </x:c>
      <x:c r="Q172" s="32" t="str">
        <x:v>2025</x:v>
      </x:c>
      <x:c r="R172" s="32" t="str">
        <x:v>Y</x:v>
      </x:c>
      <x:c r="S172" s="32" t="str">
        <x:v>N</x:v>
      </x:c>
      <x:c r="T172" s="32" t="str">
        <x:v>N</x:v>
      </x:c>
      <x:c r="U172" s="32" t="str">
        <x:v>N</x:v>
      </x:c>
      <x:c r="V172" s="32" t="str">
        <x:v>MEASUREMENT_ERROR</x:v>
      </x:c>
      <x:c r="W172" s="32" t="str">
        <x:v>N/A</x:v>
      </x:c>
      <x:c r="X172" s="32" t="str">
        <x:v>N/A</x:v>
      </x:c>
      <x:c r="Y172" s="32" t="str">
        <x:v>N/A</x:v>
      </x:c>
      <x:c r="Z172" s="32" t="str">
        <x:v>N/A</x:v>
      </x:c>
      <x:c r="AA172" s="32" t="str">
        <x:v>N/A</x:v>
      </x:c>
      <x:c r="AB172" s="32" t="str">
        <x:v>N/A</x:v>
      </x:c>
      <x:c r="AC172" s="32" t="str">
        <x:v>N/A</x:v>
      </x:c>
      <x:c r="AD172" s="32" t="str">
        <x:v>N/A</x:v>
      </x:c>
      <x:c r="AE172" s="32" t="str">
        <x:v>N/A</x:v>
      </x:c>
      <x:c r="AF172" s="32" t="str">
        <x:v>N/A</x:v>
      </x:c>
      <x:c r="AG172" s="32" t="str">
        <x:v>N/A</x:v>
      </x:c>
      <x:c r="AH172" s="32" t="str">
        <x:v>N/A</x:v>
      </x:c>
      <x:c r="AI172" s="32" t="str">
        <x:v>N/A</x:v>
      </x:c>
      <x:c r="AJ172" s="32" t="str">
        <x:v>N/A</x:v>
      </x:c>
      <x:c r="AK172" s="32" t="str">
        <x:v>N/A</x:v>
      </x:c>
      <x:c r="AL172" s="32" t="str">
        <x:v>N/A</x:v>
      </x:c>
      <x:c r="AM172" s="32" t="str">
        <x:v>N/A</x:v>
      </x:c>
      <x:c r="AN172" s="32" t="str">
        <x:v>N/A</x:v>
      </x:c>
      <x:c r="AO172" s="32" t="str">
        <x:v>N/A</x:v>
      </x:c>
      <x:c r="AP172" s="32" t="str">
        <x:v>N/A</x:v>
      </x:c>
      <x:c r="AQ172" s="32" t="str">
        <x:v>판단불가</x:v>
      </x:c>
      <x:c r="AR172" s="32" t="str">
        <x:v>NOT_APPLICABLE</x:v>
      </x:c>
      <x:c r="AS172" s="32" t="str">
        <x:v>MEDIUM</x:v>
      </x:c>
      <x:c r="AT172" s="33" t="str">
        <x:v>기존 자동 측정 규칙에서 측정값 추출 오류로 분류되어 KOSIS 골드 좌표를 부여하지 않음.</x:v>
      </x:c>
      <x:c r="AU172" s="32" t="str">
        <x:v>N/A</x:v>
      </x:c>
      <x:c r="AV172" s="32" t="n">
        <x:v>46239.28157407408</x:v>
      </x:c>
      <x:c r="AW172" s="32" t="str">
        <x:v>KOSIS_MCP_AUTO_V3</x:v>
      </x:c>
      <x:c r="AX172" s="32" t="str">
        <x:v>N</x:v>
      </x:c>
    </x:row>
    <x:row r="173">
      <x:c r="A173" s="32" t="str">
        <x:v>A1798-C006</x:v>
      </x:c>
      <x:c r="B173" s="32" t="str">
        <x:v>A1798-C006-m1</x:v>
      </x:c>
      <x:c r="C173" s="32" t="str">
        <x:v>A1798</x:v>
      </x:c>
      <x:c r="D173" s="32" t="str">
        <x:v>[모닝] 브라질에서 터진 조류인플루엔자… 순살 치킨 값 오르나</x:v>
      </x:c>
      <x:c r="E173" s="32" t="str">
        <x:v>2025-05-19</x:v>
      </x:c>
      <x:c r="F173" s="32" t="str">
        <x:v>https://www.chosun.com/economy/economy_general/2025/05/19/SDVLEHC5O5HQRDA64LNPPHDWVM</x:v>
      </x:c>
      <x:c r="G173" s="33" t="str">
        <x:v>한국농수산식품유통공사(aT) 농식품수출정보에 따르면, 지난해 한국은 전체 닭고기 수입량 24만9751t 중 71.6%가량인 17만8956t을 브라질에서 들여왔다.</x:v>
      </x:c>
      <x:c r="H173" s="32" t="str">
        <x:v>71.6%가량</x:v>
      </x:c>
      <x:c r="I173" s="32" t="str">
        <x:v>KOSIS_VALUE</x:v>
      </x:c>
      <x:c r="J173" s="32" t="str">
        <x:v>국내공식통계</x:v>
      </x:c>
      <x:c r="K173" s="32" t="str">
        <x:v>hcx</x:v>
      </x:c>
      <x:c r="L173" s="32" t="str">
        <x:v>현재값</x:v>
      </x:c>
      <x:c r="M173" s="32" t="str">
        <x:v>닭고기 수입량 비중</x:v>
      </x:c>
      <x:c r="N173" s="32" t="str">
        <x:v>닭고기</x:v>
      </x:c>
      <x:c r="O173" s="32" t="str">
        <x:v>71.6</x:v>
      </x:c>
      <x:c r="P173" s="32" t="str">
        <x:v>%</x:v>
      </x:c>
      <x:c r="Q173" s="32" t="str">
        <x:v>2024</x:v>
      </x:c>
      <x:c r="R173" s="32" t="str">
        <x:v>Y</x:v>
      </x:c>
      <x:c r="S173" s="32" t="str">
        <x:v>N</x:v>
      </x:c>
      <x:c r="T173" s="32" t="str">
        <x:v>N</x:v>
      </x:c>
      <x:c r="U173" s="32" t="str">
        <x:v>N</x:v>
      </x:c>
      <x:c r="V173" s="32" t="str">
        <x:v>MCP_NOT_VERIFIABLE</x:v>
      </x:c>
      <x:c r="W173" s="32" t="str">
        <x:v>N/A</x:v>
      </x:c>
      <x:c r="X173" s="32" t="str">
        <x:v>N/A</x:v>
      </x:c>
      <x:c r="Y173" s="32" t="str">
        <x:v>N/A</x:v>
      </x:c>
      <x:c r="Z173" s="32" t="str">
        <x:v>N/A</x:v>
      </x:c>
      <x:c r="AA173" s="32" t="str">
        <x:v>N/A</x:v>
      </x:c>
      <x:c r="AB173" s="32" t="str">
        <x:v>N/A</x:v>
      </x:c>
      <x:c r="AC173" s="32" t="str">
        <x:v>N/A</x:v>
      </x:c>
      <x:c r="AD173" s="32" t="str">
        <x:v>N/A</x:v>
      </x:c>
      <x:c r="AE173" s="32" t="str">
        <x:v>N/A</x:v>
      </x:c>
      <x:c r="AF173" s="32" t="str">
        <x:v>N/A</x:v>
      </x:c>
      <x:c r="AG173" s="32" t="str">
        <x:v>N/A</x:v>
      </x:c>
      <x:c r="AH173" s="32" t="str">
        <x:v>N/A</x:v>
      </x:c>
      <x:c r="AI173" s="32" t="str">
        <x:v>N/A</x:v>
      </x:c>
      <x:c r="AJ173" s="32" t="str">
        <x:v>N/A</x:v>
      </x:c>
      <x:c r="AK173" s="32" t="str">
        <x:v>N/A</x:v>
      </x:c>
      <x:c r="AL173" s="32" t="str">
        <x:v>N/A</x:v>
      </x:c>
      <x:c r="AM173" s="32" t="str">
        <x:v>N/A</x:v>
      </x:c>
      <x:c r="AN173" s="32" t="str">
        <x:v>N/A</x:v>
      </x:c>
      <x:c r="AO173" s="32" t="str">
        <x:v>N/A</x:v>
      </x:c>
      <x:c r="AP173" s="32" t="str">
        <x:v>N/A</x:v>
      </x:c>
      <x:c r="AQ173" s="32" t="str">
        <x:v>판단불가</x:v>
      </x:c>
      <x:c r="AR173" s="32" t="str">
        <x:v>NOT_APPLICABLE</x:v>
      </x:c>
      <x:c r="AS173" s="32" t="str">
        <x:v>HIGH</x:v>
      </x:c>
      <x:c r="AT173" s="33" t="str">
        <x:v>브라질산 닭고기 비중은 국가×품목 결합 집계가 필요해 단일 KOSIS 좌표를 확정하지 못함.</x:v>
      </x:c>
      <x:c r="AU173" s="32" t="str">
        <x:v>N/A</x:v>
      </x:c>
      <x:c r="AV173" s="32" t="n">
        <x:v>46239.28157407408</x:v>
      </x:c>
      <x:c r="AW173" s="32" t="str">
        <x:v>KOSIS_MCP_AUTO_V3</x:v>
      </x:c>
      <x:c r="AX173" s="32" t="str">
        <x:v>N</x:v>
      </x:c>
    </x:row>
    <x:row r="174">
      <x:c r="A174" s="32" t="str">
        <x:v>A1891-C007</x:v>
      </x:c>
      <x:c r="B174" s="32" t="str">
        <x:v>A1891-C007-m2</x:v>
      </x:c>
      <x:c r="C174" s="32" t="str">
        <x:v>A1891</x:v>
      </x:c>
      <x:c r="D174" s="32" t="str">
        <x:v>팬데믹 때도 안 줄었는데… 내수 침체에 커피 음료점 첫 감소</x:v>
      </x:c>
      <x:c r="E174" s="32" t="str">
        <x:v>2025-05-26</x:v>
      </x:c>
      <x:c r="F174" s="32" t="str">
        <x:v>https://www.chosun.com/economy/economy_general/2025/05/26/MNOSMU43GBFBJMFG6IPB4SHSJ4</x:v>
      </x:c>
      <x:c r="G174" s="33" t="str">
        <x:v>2021년 7만개를 돌파한 커피 전문점은 지난해 1분기 9만6080개까지 늘어났다.</x:v>
      </x:c>
      <x:c r="H174" s="32" t="str">
        <x:v>9만6080개</x:v>
      </x:c>
      <x:c r="I174" s="32" t="str">
        <x:v>KOSIS_VALUE</x:v>
      </x:c>
      <x:c r="J174" s="32" t="str">
        <x:v>국내공식통계</x:v>
      </x:c>
      <x:c r="K174" s="32" t="str">
        <x:v>hcx</x:v>
      </x:c>
      <x:c r="L174" s="32" t="str">
        <x:v>현재값</x:v>
      </x:c>
      <x:c r="M174" s="32" t="str">
        <x:v>커피 전문점 수</x:v>
      </x:c>
      <x:c r="N174" s="32" t="str">
        <x:v>-</x:v>
      </x:c>
      <x:c r="O174" s="32" t="str">
        <x:v>96080</x:v>
      </x:c>
      <x:c r="P174" s="32" t="str">
        <x:v>개</x:v>
      </x:c>
      <x:c r="Q174" s="32" t="str">
        <x:v>2024Q1</x:v>
      </x:c>
      <x:c r="R174" s="32" t="str">
        <x:v>Q</x:v>
      </x:c>
      <x:c r="S174" s="32" t="str">
        <x:v>N</x:v>
      </x:c>
      <x:c r="T174" s="32" t="str">
        <x:v>Y</x:v>
      </x:c>
      <x:c r="U174" s="32" t="str">
        <x:v>N</x:v>
      </x:c>
      <x:c r="V174" s="32" t="str">
        <x:v>MCP_NOT_VERIFIABLE</x:v>
      </x:c>
      <x:c r="W174" s="32" t="str">
        <x:v>N/A</x:v>
      </x:c>
      <x:c r="X174" s="32" t="str">
        <x:v>N/A</x:v>
      </x:c>
      <x:c r="Y174" s="32" t="str">
        <x:v>N/A</x:v>
      </x:c>
      <x:c r="Z174" s="32" t="str">
        <x:v>N/A</x:v>
      </x:c>
      <x:c r="AA174" s="32" t="str">
        <x:v>N/A</x:v>
      </x:c>
      <x:c r="AB174" s="32" t="str">
        <x:v>N/A</x:v>
      </x:c>
      <x:c r="AC174" s="32" t="str">
        <x:v>N/A</x:v>
      </x:c>
      <x:c r="AD174" s="32" t="str">
        <x:v>N/A</x:v>
      </x:c>
      <x:c r="AE174" s="32" t="str">
        <x:v>N/A</x:v>
      </x:c>
      <x:c r="AF174" s="32" t="str">
        <x:v>N/A</x:v>
      </x:c>
      <x:c r="AG174" s="32" t="str">
        <x:v>N/A</x:v>
      </x:c>
      <x:c r="AH174" s="32" t="str">
        <x:v>N/A</x:v>
      </x:c>
      <x:c r="AI174" s="32" t="str">
        <x:v>N/A</x:v>
      </x:c>
      <x:c r="AJ174" s="32" t="str">
        <x:v>N/A</x:v>
      </x:c>
      <x:c r="AK174" s="32" t="str">
        <x:v>N/A</x:v>
      </x:c>
      <x:c r="AL174" s="32" t="str">
        <x:v>N/A</x:v>
      </x:c>
      <x:c r="AM174" s="32" t="str">
        <x:v>N/A</x:v>
      </x:c>
      <x:c r="AN174" s="32" t="str">
        <x:v>N/A</x:v>
      </x:c>
      <x:c r="AO174" s="32" t="str">
        <x:v>N/A</x:v>
      </x:c>
      <x:c r="AP174" s="32" t="str">
        <x:v>N/A</x:v>
      </x:c>
      <x:c r="AQ174" s="32" t="str">
        <x:v>판단불가</x:v>
      </x:c>
      <x:c r="AR174" s="32" t="str">
        <x:v>NOT_APPLICABLE</x:v>
      </x:c>
      <x:c r="AS174" s="32" t="str">
        <x:v>MEDIUM</x:v>
      </x:c>
      <x:c r="AT174" s="33" t="str">
        <x:v>기존 자동 범위 판정에서 KOSIS 직접 검증 대상이 아닌 것으로 분류됨.</x:v>
      </x:c>
      <x:c r="AU174" s="32" t="str">
        <x:v>N/A</x:v>
      </x:c>
      <x:c r="AV174" s="32" t="n">
        <x:v>46239.28157407408</x:v>
      </x:c>
      <x:c r="AW174" s="32" t="str">
        <x:v>KOSIS_MCP_AUTO_V3</x:v>
      </x:c>
      <x:c r="AX174" s="32" t="str">
        <x:v>N</x:v>
      </x:c>
    </x:row>
    <x:row r="175">
      <x:c r="A175" s="32" t="str">
        <x:v>A1922-C001</x:v>
      </x:c>
      <x:c r="B175" s="32" t="str">
        <x:v>A1922-C001-m1</x:v>
      </x:c>
      <x:c r="C175" s="32" t="str">
        <x:v>A1922</x:v>
      </x:c>
      <x:c r="D175" s="32" t="str">
        <x:v>결혼 늘고 정책 먹혔다... 1분기 합계출산율, 2년 만에 0.8명대 복귀</x:v>
      </x:c>
      <x:c r="E175" s="32" t="str">
        <x:v>2025-05-28</x:v>
      </x:c>
      <x:c r="F175" s="32" t="str">
        <x:v>https://www.chosun.com/economy/economy_general/2025/05/28/YCG67WTAFRH2JCK555W6H46K7Y</x:v>
      </x:c>
      <x:c r="G175" s="33" t="str">
        <x:v>올해 1분기 합계출산율(여성 1명이 평생 낳을 것으로 예상되는 아이 수)이 2년 만에 0.8명대를 기록했다.</x:v>
      </x:c>
      <x:c r="H175" s="32" t="str">
        <x:v>0.8명</x:v>
      </x:c>
      <x:c r="I175" s="32" t="str">
        <x:v>KOSIS_VALUE</x:v>
      </x:c>
      <x:c r="J175" s="32" t="str">
        <x:v>국내공식통계</x:v>
      </x:c>
      <x:c r="K175" s="32" t="str">
        <x:v>hcx</x:v>
      </x:c>
      <x:c r="L175" s="32" t="str">
        <x:v>현재값</x:v>
      </x:c>
      <x:c r="M175" s="32" t="str">
        <x:v>합계출산율</x:v>
      </x:c>
      <x:c r="N175" s="32" t="str">
        <x:v>-</x:v>
      </x:c>
      <x:c r="O175" s="32" t="str">
        <x:v>0.8</x:v>
      </x:c>
      <x:c r="P175" s="32" t="str">
        <x:v>명</x:v>
      </x:c>
      <x:c r="Q175" s="32" t="str">
        <x:v>2025Q1</x:v>
      </x:c>
      <x:c r="R175" s="32" t="str">
        <x:v>Q</x:v>
      </x:c>
      <x:c r="S175" s="32" t="str">
        <x:v>Y</x:v>
      </x:c>
      <x:c r="T175" s="32" t="str">
        <x:v>Y</x:v>
      </x:c>
      <x:c r="U175" s="32" t="str">
        <x:v>Y</x:v>
      </x:c>
      <x:c r="V175" s="32" t="str">
        <x:v>FULL_KOSIS</x:v>
      </x:c>
      <x:c r="W175" s="32" t="str">
        <x:v>101</x:v>
      </x:c>
      <x:c r="X175" s="32" t="str">
        <x:v>DT_1B8000G</x:v>
      </x:c>
      <x:c r="Y175" s="32" t="str">
        <x:v>월·분기·연간 인구동향(출생,사망,혼인,이혼)</x:v>
      </x:c>
      <x:c r="Z175" s="32" t="str">
        <x:v>T1</x:v>
      </x:c>
      <x:c r="AA175" s="32" t="str">
        <x:v>수치</x:v>
      </x:c>
      <x:c r="AB175" s="32" t="str">
        <x:v>00; objL2=12</x:v>
      </x:c>
      <x:c r="AC175" s="32" t="str">
        <x:v>전국; 합계출산율</x:v>
      </x:c>
      <x:c r="AD175" s="32" t="str">
        <x:v>Q</x:v>
      </x:c>
      <x:c r="AE175" s="32" t="str">
        <x:v>202501</x:v>
      </x:c>
      <x:c r="AF175" s="32" t="str">
        <x:v>N/A</x:v>
      </x:c>
      <x:c r="AG175" s="32" t="str">
        <x:v>수준값</x:v>
      </x:c>
      <x:c r="AH175" s="32" t="str">
        <x:v>DIRECT</x:v>
      </x:c>
      <x:c r="AI175" s="32" t="str">
        <x:v>명</x:v>
      </x:c>
      <x:c r="AJ175" s="32" t="str">
        <x:v>0.83</x:v>
      </x:c>
      <x:c r="AK175" s="32" t="str">
        <x:v>N/A</x:v>
      </x:c>
      <x:c r="AL175" s="32" t="str">
        <x:v>0.83</x:v>
      </x:c>
      <x:c r="AM175" s="32" t="str">
        <x:v>0.8</x:v>
      </x:c>
      <x:c r="AN175" s="32" t="str">
        <x:v>0.029999999999999916</x:v>
      </x:c>
      <x:c r="AO175" s="32" t="str">
        <x:v>3.7499999999999893</x:v>
      </x:c>
      <x:c r="AP175" s="32" t="str">
        <x:v>range_match:[0.8,0.9)</x:v>
      </x:c>
      <x:c r="AQ175" s="32" t="str">
        <x:v>일치</x:v>
      </x:c>
      <x:c r="AR175" s="32" t="str">
        <x:v>UNIQUE</x:v>
      </x:c>
      <x:c r="AS175" s="32" t="str">
        <x:v>HIGH</x:v>
      </x:c>
      <x:c r="AT175" s="33" t="str">
        <x:v>KOSIS 분기코드 202501의 합계출산율 0.83은 기사 표현 '0.8명대'에 포함됨.</x:v>
      </x:c>
      <x:c r="AU175" s="32" t="str">
        <x:v>https://kosis.kr/statHtml/statHtml.do?orgId=101&amp;tblId=DT_1B8000G&amp;vw_cd=MT_ZTITLE</x:v>
      </x:c>
      <x:c r="AV175" s="32" t="n">
        <x:v>46239.28157407408</x:v>
      </x:c>
      <x:c r="AW175" s="32" t="str">
        <x:v>KOSIS_MCP_AUTO_V3</x:v>
      </x:c>
      <x:c r="AX175" s="32" t="str">
        <x:v>N</x:v>
      </x:c>
    </x:row>
    <x:row r="176">
      <x:c r="A176" s="32" t="str">
        <x:v>A1922-C001</x:v>
      </x:c>
      <x:c r="B176" s="32" t="str">
        <x:v>A1922-C001-m2</x:v>
      </x:c>
      <x:c r="C176" s="32" t="str">
        <x:v>A1922</x:v>
      </x:c>
      <x:c r="D176" s="32" t="str">
        <x:v>결혼 늘고 정책 먹혔다... 1분기 합계출산율, 2년 만에 0.8명대 복귀</x:v>
      </x:c>
      <x:c r="E176" s="32" t="str">
        <x:v>2025-05-28</x:v>
      </x:c>
      <x:c r="F176" s="32" t="str">
        <x:v>https://www.chosun.com/economy/economy_general/2025/05/28/YCG67WTAFRH2JCK555W6H46K7Y</x:v>
      </x:c>
      <x:c r="G176" s="33" t="str">
        <x:v>올해 1분기 합계출산율(여성 1명이 평생 낳을 것으로 예상되는 아이 수)이 2년 만에 0.8명대를 기록했다.</x:v>
      </x:c>
      <x:c r="H176" s="32" t="str">
        <x:v>1명</x:v>
      </x:c>
      <x:c r="I176" s="32" t="str">
        <x:v>KOSIS_VALUE</x:v>
      </x:c>
      <x:c r="J176" s="32" t="str">
        <x:v>국내공식통계</x:v>
      </x:c>
      <x:c r="K176" s="32" t="str">
        <x:v>hcx</x:v>
      </x:c>
      <x:c r="L176" s="32" t="str">
        <x:v>현재값</x:v>
      </x:c>
      <x:c r="M176" s="32" t="str">
        <x:v>합계출산율</x:v>
      </x:c>
      <x:c r="N176" s="32" t="str">
        <x:v>-</x:v>
      </x:c>
      <x:c r="O176" s="32" t="str">
        <x:v>1</x:v>
      </x:c>
      <x:c r="P176" s="32" t="str">
        <x:v>명</x:v>
      </x:c>
      <x:c r="Q176" s="32" t="str">
        <x:v>2025Q1</x:v>
      </x:c>
      <x:c r="R176" s="32" t="str">
        <x:v>Q</x:v>
      </x:c>
      <x:c r="S176" s="32" t="str">
        <x:v>N</x:v>
      </x:c>
      <x:c r="T176" s="32" t="str">
        <x:v>N</x:v>
      </x:c>
      <x:c r="U176" s="32" t="str">
        <x:v>N</x:v>
      </x:c>
      <x:c r="V176" s="32" t="str">
        <x:v>MEASUREMENT_ERROR</x:v>
      </x:c>
      <x:c r="W176" s="32" t="str">
        <x:v>N/A</x:v>
      </x:c>
      <x:c r="X176" s="32" t="str">
        <x:v>N/A</x:v>
      </x:c>
      <x:c r="Y176" s="32" t="str">
        <x:v>N/A</x:v>
      </x:c>
      <x:c r="Z176" s="32" t="str">
        <x:v>N/A</x:v>
      </x:c>
      <x:c r="AA176" s="32" t="str">
        <x:v>N/A</x:v>
      </x:c>
      <x:c r="AB176" s="32" t="str">
        <x:v>N/A</x:v>
      </x:c>
      <x:c r="AC176" s="32" t="str">
        <x:v>N/A</x:v>
      </x:c>
      <x:c r="AD176" s="32" t="str">
        <x:v>N/A</x:v>
      </x:c>
      <x:c r="AE176" s="32" t="str">
        <x:v>N/A</x:v>
      </x:c>
      <x:c r="AF176" s="32" t="str">
        <x:v>N/A</x:v>
      </x:c>
      <x:c r="AG176" s="32" t="str">
        <x:v>N/A</x:v>
      </x:c>
      <x:c r="AH176" s="32" t="str">
        <x:v>N/A</x:v>
      </x:c>
      <x:c r="AI176" s="32" t="str">
        <x:v>N/A</x:v>
      </x:c>
      <x:c r="AJ176" s="32" t="str">
        <x:v>N/A</x:v>
      </x:c>
      <x:c r="AK176" s="32" t="str">
        <x:v>N/A</x:v>
      </x:c>
      <x:c r="AL176" s="32" t="str">
        <x:v>N/A</x:v>
      </x:c>
      <x:c r="AM176" s="32" t="str">
        <x:v>N/A</x:v>
      </x:c>
      <x:c r="AN176" s="32" t="str">
        <x:v>N/A</x:v>
      </x:c>
      <x:c r="AO176" s="32" t="str">
        <x:v>N/A</x:v>
      </x:c>
      <x:c r="AP176" s="32" t="str">
        <x:v>N/A</x:v>
      </x:c>
      <x:c r="AQ176" s="32" t="str">
        <x:v>판단불가</x:v>
      </x:c>
      <x:c r="AR176" s="32" t="str">
        <x:v>NOT_APPLICABLE</x:v>
      </x:c>
      <x:c r="AS176" s="32" t="str">
        <x:v>HIGH</x:v>
      </x:c>
      <x:c r="AT176" s="33" t="str">
        <x:v>추출값 1명은 합계출산율의 정의 문구 '여성 1명이'에서 나온 값으로 측정치가 아님.</x:v>
      </x:c>
      <x:c r="AU176" s="32" t="str">
        <x:v>N/A</x:v>
      </x:c>
      <x:c r="AV176" s="32" t="n">
        <x:v>46239.28157407408</x:v>
      </x:c>
      <x:c r="AW176" s="32" t="str">
        <x:v>KOSIS_MCP_AUTO_V3</x:v>
      </x:c>
      <x:c r="AX176" s="32" t="str">
        <x:v>N</x:v>
      </x:c>
    </x:row>
    <x:row r="177">
      <x:c r="A177" s="32" t="str">
        <x:v>A1935-C016</x:v>
      </x:c>
      <x:c r="B177" s="32" t="str">
        <x:v>A1935-C016-m1</x:v>
      </x:c>
      <x:c r="C177" s="32" t="str">
        <x:v>A1935</x:v>
      </x:c>
      <x:c r="D177" s="32" t="str">
        <x:v>올 성장률 1.5%→0.8% 조정 쇼크... 건설 경기 부진이 성장 발목 잡았다</x:v>
      </x:c>
      <x:c r="E177" s="32" t="str">
        <x:v>2025-05-29</x:v>
      </x:c>
      <x:c r="F177" s="32" t="str">
        <x:v>https://www.chosun.com/economy/economy_general/2025/05/29/JDD7BSFMTNAI7GE67TOVVFDLEY</x:v>
      </x:c>
      <x:c r="G177" s="33" t="str">
        <x:v>한은은 이번에 제시한 0.8% 성장 전망치는 미국의 기본 관세율 10%, 품목 관세율 25% 등 현 수준을 대체로 유지할 때를 가정으로 냈다.</x:v>
      </x:c>
      <x:c r="H177" s="32" t="str">
        <x:v>0.80%</x:v>
      </x:c>
      <x:c r="I177" s="32" t="str">
        <x:v>KOSIS_VALUE</x:v>
      </x:c>
      <x:c r="J177" s="32" t="str">
        <x:v>국내공식통계</x:v>
      </x:c>
      <x:c r="K177" s="32" t="str">
        <x:v>hcx</x:v>
      </x:c>
      <x:c r="L177" s="32" t="str">
        <x:v>현재값</x:v>
      </x:c>
      <x:c r="M177" s="32" t="str">
        <x:v>성장률</x:v>
      </x:c>
      <x:c r="N177" s="32" t="str">
        <x:v>-</x:v>
      </x:c>
      <x:c r="O177" s="32" t="str">
        <x:v>0.8</x:v>
      </x:c>
      <x:c r="P177" s="32" t="str">
        <x:v>%</x:v>
      </x:c>
      <x:c r="Q177" s="32" t="str">
        <x:v>2025</x:v>
      </x:c>
      <x:c r="R177" s="32" t="str">
        <x:v>Y</x:v>
      </x:c>
      <x:c r="S177" s="32" t="str">
        <x:v>N</x:v>
      </x:c>
      <x:c r="T177" s="32" t="str">
        <x:v>N</x:v>
      </x:c>
      <x:c r="U177" s="32" t="str">
        <x:v>N</x:v>
      </x:c>
      <x:c r="V177" s="32" t="str">
        <x:v>MEASUREMENT_ERROR</x:v>
      </x:c>
      <x:c r="W177" s="32" t="str">
        <x:v>N/A</x:v>
      </x:c>
      <x:c r="X177" s="32" t="str">
        <x:v>N/A</x:v>
      </x:c>
      <x:c r="Y177" s="32" t="str">
        <x:v>N/A</x:v>
      </x:c>
      <x:c r="Z177" s="32" t="str">
        <x:v>N/A</x:v>
      </x:c>
      <x:c r="AA177" s="32" t="str">
        <x:v>N/A</x:v>
      </x:c>
      <x:c r="AB177" s="32" t="str">
        <x:v>N/A</x:v>
      </x:c>
      <x:c r="AC177" s="32" t="str">
        <x:v>N/A</x:v>
      </x:c>
      <x:c r="AD177" s="32" t="str">
        <x:v>N/A</x:v>
      </x:c>
      <x:c r="AE177" s="32" t="str">
        <x:v>N/A</x:v>
      </x:c>
      <x:c r="AF177" s="32" t="str">
        <x:v>N/A</x:v>
      </x:c>
      <x:c r="AG177" s="32" t="str">
        <x:v>N/A</x:v>
      </x:c>
      <x:c r="AH177" s="32" t="str">
        <x:v>N/A</x:v>
      </x:c>
      <x:c r="AI177" s="32" t="str">
        <x:v>N/A</x:v>
      </x:c>
      <x:c r="AJ177" s="32" t="str">
        <x:v>N/A</x:v>
      </x:c>
      <x:c r="AK177" s="32" t="str">
        <x:v>N/A</x:v>
      </x:c>
      <x:c r="AL177" s="32" t="str">
        <x:v>N/A</x:v>
      </x:c>
      <x:c r="AM177" s="32" t="str">
        <x:v>N/A</x:v>
      </x:c>
      <x:c r="AN177" s="32" t="str">
        <x:v>N/A</x:v>
      </x:c>
      <x:c r="AO177" s="32" t="str">
        <x:v>N/A</x:v>
      </x:c>
      <x:c r="AP177" s="32" t="str">
        <x:v>N/A</x:v>
      </x:c>
      <x:c r="AQ177" s="32" t="str">
        <x:v>판단불가</x:v>
      </x:c>
      <x:c r="AR177" s="32" t="str">
        <x:v>NOT_APPLICABLE</x:v>
      </x:c>
      <x:c r="AS177" s="32" t="str">
        <x:v>MEDIUM</x:v>
      </x:c>
      <x:c r="AT177" s="33" t="str">
        <x:v>기존 자동 측정 규칙에서 측정값 추출 오류로 분류되어 KOSIS 골드 좌표를 부여하지 않음.</x:v>
      </x:c>
      <x:c r="AU177" s="32" t="str">
        <x:v>N/A</x:v>
      </x:c>
      <x:c r="AV177" s="32" t="n">
        <x:v>46239.28157407408</x:v>
      </x:c>
      <x:c r="AW177" s="32" t="str">
        <x:v>KOSIS_MCP_AUTO_V3</x:v>
      </x:c>
      <x:c r="AX177" s="32" t="str">
        <x:v>N</x:v>
      </x:c>
    </x:row>
    <x:row r="178">
      <x:c r="A178" s="32" t="str">
        <x:v>A1935-C016</x:v>
      </x:c>
      <x:c r="B178" s="32" t="str">
        <x:v>A1935-C016-m2</x:v>
      </x:c>
      <x:c r="C178" s="32" t="str">
        <x:v>A1935</x:v>
      </x:c>
      <x:c r="D178" s="32" t="str">
        <x:v>올 성장률 1.5%→0.8% 조정 쇼크... 건설 경기 부진이 성장 발목 잡았다</x:v>
      </x:c>
      <x:c r="E178" s="32" t="str">
        <x:v>2025-05-29</x:v>
      </x:c>
      <x:c r="F178" s="32" t="str">
        <x:v>https://www.chosun.com/economy/economy_general/2025/05/29/JDD7BSFMTNAI7GE67TOVVFDLEY</x:v>
      </x:c>
      <x:c r="G178" s="33" t="str">
        <x:v>한은은 이번에 제시한 0.8% 성장 전망치는 미국의 기본 관세율 10%, 품목 관세율 25% 등 현 수준을 대체로 유지할 때를 가정으로 냈다.</x:v>
      </x:c>
      <x:c r="H178" s="32" t="str">
        <x:v>10%</x:v>
      </x:c>
      <x:c r="I178" s="32" t="str">
        <x:v>KOSIS_VALUE</x:v>
      </x:c>
      <x:c r="J178" s="32" t="str">
        <x:v>국내공식통계</x:v>
      </x:c>
      <x:c r="K178" s="32" t="str">
        <x:v>hcx</x:v>
      </x:c>
      <x:c r="L178" s="32" t="str">
        <x:v>현재값</x:v>
      </x:c>
      <x:c r="M178" s="32" t="str">
        <x:v>기본 관세율</x:v>
      </x:c>
      <x:c r="N178" s="32" t="str">
        <x:v>-</x:v>
      </x:c>
      <x:c r="O178" s="32" t="str">
        <x:v>10</x:v>
      </x:c>
      <x:c r="P178" s="32" t="str">
        <x:v>%</x:v>
      </x:c>
      <x:c r="Q178" s="32" t="str">
        <x:v>2025</x:v>
      </x:c>
      <x:c r="R178" s="32" t="str">
        <x:v>Y</x:v>
      </x:c>
      <x:c r="S178" s="32" t="str">
        <x:v>N</x:v>
      </x:c>
      <x:c r="T178" s="32" t="str">
        <x:v>N</x:v>
      </x:c>
      <x:c r="U178" s="32" t="str">
        <x:v>N</x:v>
      </x:c>
      <x:c r="V178" s="32" t="str">
        <x:v>MEASUREMENT_ERROR</x:v>
      </x:c>
      <x:c r="W178" s="32" t="str">
        <x:v>N/A</x:v>
      </x:c>
      <x:c r="X178" s="32" t="str">
        <x:v>N/A</x:v>
      </x:c>
      <x:c r="Y178" s="32" t="str">
        <x:v>N/A</x:v>
      </x:c>
      <x:c r="Z178" s="32" t="str">
        <x:v>N/A</x:v>
      </x:c>
      <x:c r="AA178" s="32" t="str">
        <x:v>N/A</x:v>
      </x:c>
      <x:c r="AB178" s="32" t="str">
        <x:v>N/A</x:v>
      </x:c>
      <x:c r="AC178" s="32" t="str">
        <x:v>N/A</x:v>
      </x:c>
      <x:c r="AD178" s="32" t="str">
        <x:v>N/A</x:v>
      </x:c>
      <x:c r="AE178" s="32" t="str">
        <x:v>N/A</x:v>
      </x:c>
      <x:c r="AF178" s="32" t="str">
        <x:v>N/A</x:v>
      </x:c>
      <x:c r="AG178" s="32" t="str">
        <x:v>N/A</x:v>
      </x:c>
      <x:c r="AH178" s="32" t="str">
        <x:v>N/A</x:v>
      </x:c>
      <x:c r="AI178" s="32" t="str">
        <x:v>N/A</x:v>
      </x:c>
      <x:c r="AJ178" s="32" t="str">
        <x:v>N/A</x:v>
      </x:c>
      <x:c r="AK178" s="32" t="str">
        <x:v>N/A</x:v>
      </x:c>
      <x:c r="AL178" s="32" t="str">
        <x:v>N/A</x:v>
      </x:c>
      <x:c r="AM178" s="32" t="str">
        <x:v>N/A</x:v>
      </x:c>
      <x:c r="AN178" s="32" t="str">
        <x:v>N/A</x:v>
      </x:c>
      <x:c r="AO178" s="32" t="str">
        <x:v>N/A</x:v>
      </x:c>
      <x:c r="AP178" s="32" t="str">
        <x:v>N/A</x:v>
      </x:c>
      <x:c r="AQ178" s="32" t="str">
        <x:v>판단불가</x:v>
      </x:c>
      <x:c r="AR178" s="32" t="str">
        <x:v>NOT_APPLICABLE</x:v>
      </x:c>
      <x:c r="AS178" s="32" t="str">
        <x:v>MEDIUM</x:v>
      </x:c>
      <x:c r="AT178" s="33" t="str">
        <x:v>기존 자동 측정 규칙에서 측정값 추출 오류로 분류되어 KOSIS 골드 좌표를 부여하지 않음.</x:v>
      </x:c>
      <x:c r="AU178" s="32" t="str">
        <x:v>N/A</x:v>
      </x:c>
      <x:c r="AV178" s="32" t="n">
        <x:v>46239.28157407408</x:v>
      </x:c>
      <x:c r="AW178" s="32" t="str">
        <x:v>KOSIS_MCP_AUTO_V3</x:v>
      </x:c>
      <x:c r="AX178" s="32" t="str">
        <x:v>N</x:v>
      </x:c>
    </x:row>
    <x:row r="179">
      <x:c r="A179" s="32" t="str">
        <x:v>A1935-C016</x:v>
      </x:c>
      <x:c r="B179" s="32" t="str">
        <x:v>A1935-C016-m3</x:v>
      </x:c>
      <x:c r="C179" s="32" t="str">
        <x:v>A1935</x:v>
      </x:c>
      <x:c r="D179" s="32" t="str">
        <x:v>올 성장률 1.5%→0.8% 조정 쇼크... 건설 경기 부진이 성장 발목 잡았다</x:v>
      </x:c>
      <x:c r="E179" s="32" t="str">
        <x:v>2025-05-29</x:v>
      </x:c>
      <x:c r="F179" s="32" t="str">
        <x:v>https://www.chosun.com/economy/economy_general/2025/05/29/JDD7BSFMTNAI7GE67TOVVFDLEY</x:v>
      </x:c>
      <x:c r="G179" s="33" t="str">
        <x:v>한은은 이번에 제시한 0.8% 성장 전망치는 미국의 기본 관세율 10%, 품목 관세율 25% 등 현 수준을 대체로 유지할 때를 가정으로 냈다.</x:v>
      </x:c>
      <x:c r="H179" s="32" t="str">
        <x:v>25%</x:v>
      </x:c>
      <x:c r="I179" s="32" t="str">
        <x:v>KOSIS_VALUE</x:v>
      </x:c>
      <x:c r="J179" s="32" t="str">
        <x:v>국내공식통계</x:v>
      </x:c>
      <x:c r="K179" s="32" t="str">
        <x:v>hcx</x:v>
      </x:c>
      <x:c r="L179" s="32" t="str">
        <x:v>현재값</x:v>
      </x:c>
      <x:c r="M179" s="32" t="str">
        <x:v>품목 관세율</x:v>
      </x:c>
      <x:c r="N179" s="32" t="str">
        <x:v>-</x:v>
      </x:c>
      <x:c r="O179" s="32" t="str">
        <x:v>25</x:v>
      </x:c>
      <x:c r="P179" s="32" t="str">
        <x:v>%</x:v>
      </x:c>
      <x:c r="Q179" s="32" t="str">
        <x:v>2025</x:v>
      </x:c>
      <x:c r="R179" s="32" t="str">
        <x:v>Y</x:v>
      </x:c>
      <x:c r="S179" s="32" t="str">
        <x:v>N</x:v>
      </x:c>
      <x:c r="T179" s="32" t="str">
        <x:v>N</x:v>
      </x:c>
      <x:c r="U179" s="32" t="str">
        <x:v>N</x:v>
      </x:c>
      <x:c r="V179" s="32" t="str">
        <x:v>MEASUREMENT_ERROR</x:v>
      </x:c>
      <x:c r="W179" s="32" t="str">
        <x:v>N/A</x:v>
      </x:c>
      <x:c r="X179" s="32" t="str">
        <x:v>N/A</x:v>
      </x:c>
      <x:c r="Y179" s="32" t="str">
        <x:v>N/A</x:v>
      </x:c>
      <x:c r="Z179" s="32" t="str">
        <x:v>N/A</x:v>
      </x:c>
      <x:c r="AA179" s="32" t="str">
        <x:v>N/A</x:v>
      </x:c>
      <x:c r="AB179" s="32" t="str">
        <x:v>N/A</x:v>
      </x:c>
      <x:c r="AC179" s="32" t="str">
        <x:v>N/A</x:v>
      </x:c>
      <x:c r="AD179" s="32" t="str">
        <x:v>N/A</x:v>
      </x:c>
      <x:c r="AE179" s="32" t="str">
        <x:v>N/A</x:v>
      </x:c>
      <x:c r="AF179" s="32" t="str">
        <x:v>N/A</x:v>
      </x:c>
      <x:c r="AG179" s="32" t="str">
        <x:v>N/A</x:v>
      </x:c>
      <x:c r="AH179" s="32" t="str">
        <x:v>N/A</x:v>
      </x:c>
      <x:c r="AI179" s="32" t="str">
        <x:v>N/A</x:v>
      </x:c>
      <x:c r="AJ179" s="32" t="str">
        <x:v>N/A</x:v>
      </x:c>
      <x:c r="AK179" s="32" t="str">
        <x:v>N/A</x:v>
      </x:c>
      <x:c r="AL179" s="32" t="str">
        <x:v>N/A</x:v>
      </x:c>
      <x:c r="AM179" s="32" t="str">
        <x:v>N/A</x:v>
      </x:c>
      <x:c r="AN179" s="32" t="str">
        <x:v>N/A</x:v>
      </x:c>
      <x:c r="AO179" s="32" t="str">
        <x:v>N/A</x:v>
      </x:c>
      <x:c r="AP179" s="32" t="str">
        <x:v>N/A</x:v>
      </x:c>
      <x:c r="AQ179" s="32" t="str">
        <x:v>판단불가</x:v>
      </x:c>
      <x:c r="AR179" s="32" t="str">
        <x:v>NOT_APPLICABLE</x:v>
      </x:c>
      <x:c r="AS179" s="32" t="str">
        <x:v>MEDIUM</x:v>
      </x:c>
      <x:c r="AT179" s="33" t="str">
        <x:v>기존 자동 측정 규칙에서 측정값 추출 오류로 분류되어 KOSIS 골드 좌표를 부여하지 않음.</x:v>
      </x:c>
      <x:c r="AU179" s="32" t="str">
        <x:v>N/A</x:v>
      </x:c>
      <x:c r="AV179" s="32" t="n">
        <x:v>46239.28157407408</x:v>
      </x:c>
      <x:c r="AW179" s="32" t="str">
        <x:v>KOSIS_MCP_AUTO_V3</x:v>
      </x:c>
      <x:c r="AX179" s="32" t="str">
        <x:v>N</x:v>
      </x:c>
    </x:row>
    <x:row r="180">
      <x:c r="A180" s="32" t="str">
        <x:v>A2033-C007</x:v>
      </x:c>
      <x:c r="B180" s="32" t="str">
        <x:v>A2033-C007-m1</x:v>
      </x:c>
      <x:c r="C180" s="32" t="str">
        <x:v>A2033</x:v>
      </x:c>
      <x:c r="D180" s="32" t="str">
        <x:v>“전세사기 두려워 택했는데, ‘미친 월세’에 생활비 절반 나간다”</x:v>
      </x:c>
      <x:c r="E180" s="32" t="str">
        <x:v>2025-06-06</x:v>
      </x:c>
      <x:c r="F180" s="32" t="str">
        <x:v>https://www.chosun.com/economy/economy_general/2025/06/06/OS5ROBTDJFHNHCVRV3DJBRRB34</x:v>
      </x:c>
      <x:c r="G180" s="33" t="str">
        <x:v>서울 아파트 월세 지수 증가 폭은 작년만 해도 4~6%대였지만, 올 들어 급등하기 시작해 지난 3월엔 8.7%를 기록했고 4월에도 10.3%였다.</x:v>
      </x:c>
      <x:c r="H180" s="32" t="str">
        <x:v>4%</x:v>
      </x:c>
      <x:c r="I180" s="32" t="str">
        <x:v>KOSIS_VALUE</x:v>
      </x:c>
      <x:c r="J180" s="32" t="str">
        <x:v>국내공식통계</x:v>
      </x:c>
      <x:c r="K180" s="32" t="str">
        <x:v>hcx</x:v>
      </x:c>
      <x:c r="L180" s="32" t="str">
        <x:v>증감률</x:v>
      </x:c>
      <x:c r="M180" s="32" t="str">
        <x:v>서울 아파트 월세 지수</x:v>
      </x:c>
      <x:c r="N180" s="32" t="str">
        <x:v>-</x:v>
      </x:c>
      <x:c r="O180" s="32" t="str">
        <x:v>4</x:v>
      </x:c>
      <x:c r="P180" s="32" t="str">
        <x:v>%</x:v>
      </x:c>
      <x:c r="Q180" s="32" t="str">
        <x:v>2024Q4</x:v>
      </x:c>
      <x:c r="R180" s="32" t="str">
        <x:v>Q</x:v>
      </x:c>
      <x:c r="S180" s="32" t="str">
        <x:v>N</x:v>
      </x:c>
      <x:c r="T180" s="32" t="str">
        <x:v>Y</x:v>
      </x:c>
      <x:c r="U180" s="32" t="str">
        <x:v>N</x:v>
      </x:c>
      <x:c r="V180" s="32" t="str">
        <x:v>MCP_NOT_VERIFIABLE</x:v>
      </x:c>
      <x:c r="W180" s="32" t="str">
        <x:v>N/A</x:v>
      </x:c>
      <x:c r="X180" s="32" t="str">
        <x:v>N/A</x:v>
      </x:c>
      <x:c r="Y180" s="32" t="str">
        <x:v>N/A</x:v>
      </x:c>
      <x:c r="Z180" s="32" t="str">
        <x:v>N/A</x:v>
      </x:c>
      <x:c r="AA180" s="32" t="str">
        <x:v>N/A</x:v>
      </x:c>
      <x:c r="AB180" s="32" t="str">
        <x:v>N/A</x:v>
      </x:c>
      <x:c r="AC180" s="32" t="str">
        <x:v>N/A</x:v>
      </x:c>
      <x:c r="AD180" s="32" t="str">
        <x:v>N/A</x:v>
      </x:c>
      <x:c r="AE180" s="32" t="str">
        <x:v>N/A</x:v>
      </x:c>
      <x:c r="AF180" s="32" t="str">
        <x:v>N/A</x:v>
      </x:c>
      <x:c r="AG180" s="32" t="str">
        <x:v>N/A</x:v>
      </x:c>
      <x:c r="AH180" s="32" t="str">
        <x:v>N/A</x:v>
      </x:c>
      <x:c r="AI180" s="32" t="str">
        <x:v>N/A</x:v>
      </x:c>
      <x:c r="AJ180" s="32" t="str">
        <x:v>N/A</x:v>
      </x:c>
      <x:c r="AK180" s="32" t="str">
        <x:v>N/A</x:v>
      </x:c>
      <x:c r="AL180" s="32" t="str">
        <x:v>N/A</x:v>
      </x:c>
      <x:c r="AM180" s="32" t="str">
        <x:v>N/A</x:v>
      </x:c>
      <x:c r="AN180" s="32" t="str">
        <x:v>N/A</x:v>
      </x:c>
      <x:c r="AO180" s="32" t="str">
        <x:v>N/A</x:v>
      </x:c>
      <x:c r="AP180" s="32" t="str">
        <x:v>N/A</x:v>
      </x:c>
      <x:c r="AQ180" s="32" t="str">
        <x:v>판단불가</x:v>
      </x:c>
      <x:c r="AR180" s="32" t="str">
        <x:v>NOT_APPLICABLE</x:v>
      </x:c>
      <x:c r="AS180" s="32" t="str">
        <x:v>MEDIUM</x:v>
      </x:c>
      <x:c r="AT180" s="33" t="str">
        <x:v>기존 자동 범위 판정에서 KOSIS 직접 검증 대상이 아닌 것으로 분류됨.</x:v>
      </x:c>
      <x:c r="AU180" s="32" t="str">
        <x:v>N/A</x:v>
      </x:c>
      <x:c r="AV180" s="32" t="n">
        <x:v>46239.28157407408</x:v>
      </x:c>
      <x:c r="AW180" s="32" t="str">
        <x:v>KOSIS_MCP_AUTO_V3</x:v>
      </x:c>
      <x:c r="AX180" s="32" t="str">
        <x:v>N</x:v>
      </x:c>
    </x:row>
    <x:row r="181">
      <x:c r="A181" s="32" t="str">
        <x:v>A2033-C007</x:v>
      </x:c>
      <x:c r="B181" s="32" t="str">
        <x:v>A2033-C007-m2</x:v>
      </x:c>
      <x:c r="C181" s="32" t="str">
        <x:v>A2033</x:v>
      </x:c>
      <x:c r="D181" s="32" t="str">
        <x:v>“전세사기 두려워 택했는데, ‘미친 월세’에 생활비 절반 나간다”</x:v>
      </x:c>
      <x:c r="E181" s="32" t="str">
        <x:v>2025-06-06</x:v>
      </x:c>
      <x:c r="F181" s="32" t="str">
        <x:v>https://www.chosun.com/economy/economy_general/2025/06/06/OS5ROBTDJFHNHCVRV3DJBRRB34</x:v>
      </x:c>
      <x:c r="G181" s="33" t="str">
        <x:v>서울 아파트 월세 지수 증가 폭은 작년만 해도 4~6%대였지만, 올 들어 급등하기 시작해 지난 3월엔 8.7%를 기록했고 4월에도 10.3%였다.</x:v>
      </x:c>
      <x:c r="H181" s="32" t="str">
        <x:v>6%</x:v>
      </x:c>
      <x:c r="I181" s="32" t="str">
        <x:v>KOSIS_VALUE</x:v>
      </x:c>
      <x:c r="J181" s="32" t="str">
        <x:v>국내공식통계</x:v>
      </x:c>
      <x:c r="K181" s="32" t="str">
        <x:v>hcx</x:v>
      </x:c>
      <x:c r="L181" s="32" t="str">
        <x:v>증감률</x:v>
      </x:c>
      <x:c r="M181" s="32" t="str">
        <x:v>서울 아파트 월세 지수</x:v>
      </x:c>
      <x:c r="N181" s="32" t="str">
        <x:v>-</x:v>
      </x:c>
      <x:c r="O181" s="32" t="str">
        <x:v>6</x:v>
      </x:c>
      <x:c r="P181" s="32" t="str">
        <x:v>%</x:v>
      </x:c>
      <x:c r="Q181" s="32" t="str">
        <x:v>2024Q4</x:v>
      </x:c>
      <x:c r="R181" s="32" t="str">
        <x:v>Q</x:v>
      </x:c>
      <x:c r="S181" s="32" t="str">
        <x:v>N</x:v>
      </x:c>
      <x:c r="T181" s="32" t="str">
        <x:v>Y</x:v>
      </x:c>
      <x:c r="U181" s="32" t="str">
        <x:v>N</x:v>
      </x:c>
      <x:c r="V181" s="32" t="str">
        <x:v>MCP_NOT_VERIFIABLE</x:v>
      </x:c>
      <x:c r="W181" s="32" t="str">
        <x:v>N/A</x:v>
      </x:c>
      <x:c r="X181" s="32" t="str">
        <x:v>N/A</x:v>
      </x:c>
      <x:c r="Y181" s="32" t="str">
        <x:v>N/A</x:v>
      </x:c>
      <x:c r="Z181" s="32" t="str">
        <x:v>N/A</x:v>
      </x:c>
      <x:c r="AA181" s="32" t="str">
        <x:v>N/A</x:v>
      </x:c>
      <x:c r="AB181" s="32" t="str">
        <x:v>N/A</x:v>
      </x:c>
      <x:c r="AC181" s="32" t="str">
        <x:v>N/A</x:v>
      </x:c>
      <x:c r="AD181" s="32" t="str">
        <x:v>N/A</x:v>
      </x:c>
      <x:c r="AE181" s="32" t="str">
        <x:v>N/A</x:v>
      </x:c>
      <x:c r="AF181" s="32" t="str">
        <x:v>N/A</x:v>
      </x:c>
      <x:c r="AG181" s="32" t="str">
        <x:v>N/A</x:v>
      </x:c>
      <x:c r="AH181" s="32" t="str">
        <x:v>N/A</x:v>
      </x:c>
      <x:c r="AI181" s="32" t="str">
        <x:v>N/A</x:v>
      </x:c>
      <x:c r="AJ181" s="32" t="str">
        <x:v>N/A</x:v>
      </x:c>
      <x:c r="AK181" s="32" t="str">
        <x:v>N/A</x:v>
      </x:c>
      <x:c r="AL181" s="32" t="str">
        <x:v>N/A</x:v>
      </x:c>
      <x:c r="AM181" s="32" t="str">
        <x:v>N/A</x:v>
      </x:c>
      <x:c r="AN181" s="32" t="str">
        <x:v>N/A</x:v>
      </x:c>
      <x:c r="AO181" s="32" t="str">
        <x:v>N/A</x:v>
      </x:c>
      <x:c r="AP181" s="32" t="str">
        <x:v>N/A</x:v>
      </x:c>
      <x:c r="AQ181" s="32" t="str">
        <x:v>판단불가</x:v>
      </x:c>
      <x:c r="AR181" s="32" t="str">
        <x:v>NOT_APPLICABLE</x:v>
      </x:c>
      <x:c r="AS181" s="32" t="str">
        <x:v>MEDIUM</x:v>
      </x:c>
      <x:c r="AT181" s="33" t="str">
        <x:v>기존 자동 범위 판정에서 KOSIS 직접 검증 대상이 아닌 것으로 분류됨.</x:v>
      </x:c>
      <x:c r="AU181" s="32" t="str">
        <x:v>N/A</x:v>
      </x:c>
      <x:c r="AV181" s="32" t="n">
        <x:v>46239.28157407408</x:v>
      </x:c>
      <x:c r="AW181" s="32" t="str">
        <x:v>KOSIS_MCP_AUTO_V3</x:v>
      </x:c>
      <x:c r="AX181" s="32" t="str">
        <x:v>N</x:v>
      </x:c>
    </x:row>
    <x:row r="182">
      <x:c r="A182" s="32" t="str">
        <x:v>A2109-C017</x:v>
      </x:c>
      <x:c r="B182" s="32" t="str">
        <x:v>A2109-C017-m2</x:v>
      </x:c>
      <x:c r="C182" s="32" t="str">
        <x:v>A2109</x:v>
      </x:c>
      <x:c r="D182" s="32" t="str">
        <x:v>“환갑 넘겨도 일해야 돼요” 노인 취업자 첫 700만명</x:v>
      </x:c>
      <x:c r="E182" s="32" t="str">
        <x:v>2025-06-12</x:v>
      </x:c>
      <x:c r="F182" s="32" t="str">
        <x:v>https://www.chosun.com/economy/economy_general/2025/06/12/2VNVWIY73JHI7EB3XE4YNTYIVM</x:v>
      </x:c>
      <x:c r="G182" s="33" t="str">
        <x:v>국회 예산정책처에 따르면, 작년 8월 기준 65세 임금 근로자 61.2%는 비정규직이었고, 70세는 이 비율이 85.1%에 달했다.</x:v>
      </x:c>
      <x:c r="H182" s="32" t="str">
        <x:v>61.20%</x:v>
      </x:c>
      <x:c r="I182" s="32" t="str">
        <x:v>KOSIS_VALUE</x:v>
      </x:c>
      <x:c r="J182" s="32" t="str">
        <x:v>국내공식통계</x:v>
      </x:c>
      <x:c r="K182" s="32" t="str">
        <x:v>hcx</x:v>
      </x:c>
      <x:c r="L182" s="32" t="str">
        <x:v>현재값</x:v>
      </x:c>
      <x:c r="M182" s="32" t="str">
        <x:v>노인 취업자 비정규직 비율</x:v>
      </x:c>
      <x:c r="N182" s="32" t="str">
        <x:v>-</x:v>
      </x:c>
      <x:c r="O182" s="32" t="str">
        <x:v>61.2</x:v>
      </x:c>
      <x:c r="P182" s="32" t="str">
        <x:v>%</x:v>
      </x:c>
      <x:c r="Q182" s="32" t="str">
        <x:v>2024</x:v>
      </x:c>
      <x:c r="R182" s="32" t="str">
        <x:v>Y</x:v>
      </x:c>
      <x:c r="S182" s="32" t="str">
        <x:v>N</x:v>
      </x:c>
      <x:c r="T182" s="32" t="str">
        <x:v>Y</x:v>
      </x:c>
      <x:c r="U182" s="32" t="str">
        <x:v>N</x:v>
      </x:c>
      <x:c r="V182" s="32" t="str">
        <x:v>MCP_NOT_VERIFIABLE</x:v>
      </x:c>
      <x:c r="W182" s="32" t="str">
        <x:v>N/A</x:v>
      </x:c>
      <x:c r="X182" s="32" t="str">
        <x:v>N/A</x:v>
      </x:c>
      <x:c r="Y182" s="32" t="str">
        <x:v>N/A</x:v>
      </x:c>
      <x:c r="Z182" s="32" t="str">
        <x:v>N/A</x:v>
      </x:c>
      <x:c r="AA182" s="32" t="str">
        <x:v>N/A</x:v>
      </x:c>
      <x:c r="AB182" s="32" t="str">
        <x:v>N/A</x:v>
      </x:c>
      <x:c r="AC182" s="32" t="str">
        <x:v>N/A</x:v>
      </x:c>
      <x:c r="AD182" s="32" t="str">
        <x:v>N/A</x:v>
      </x:c>
      <x:c r="AE182" s="32" t="str">
        <x:v>N/A</x:v>
      </x:c>
      <x:c r="AF182" s="32" t="str">
        <x:v>N/A</x:v>
      </x:c>
      <x:c r="AG182" s="32" t="str">
        <x:v>N/A</x:v>
      </x:c>
      <x:c r="AH182" s="32" t="str">
        <x:v>N/A</x:v>
      </x:c>
      <x:c r="AI182" s="32" t="str">
        <x:v>N/A</x:v>
      </x:c>
      <x:c r="AJ182" s="32" t="str">
        <x:v>N/A</x:v>
      </x:c>
      <x:c r="AK182" s="32" t="str">
        <x:v>N/A</x:v>
      </x:c>
      <x:c r="AL182" s="32" t="str">
        <x:v>N/A</x:v>
      </x:c>
      <x:c r="AM182" s="32" t="str">
        <x:v>N/A</x:v>
      </x:c>
      <x:c r="AN182" s="32" t="str">
        <x:v>N/A</x:v>
      </x:c>
      <x:c r="AO182" s="32" t="str">
        <x:v>N/A</x:v>
      </x:c>
      <x:c r="AP182" s="32" t="str">
        <x:v>N/A</x:v>
      </x:c>
      <x:c r="AQ182" s="32" t="str">
        <x:v>판단불가</x:v>
      </x:c>
      <x:c r="AR182" s="32" t="str">
        <x:v>NOT_APPLICABLE</x:v>
      </x:c>
      <x:c r="AS182" s="32" t="str">
        <x:v>HIGH</x:v>
      </x:c>
      <x:c r="AT182" s="33" t="str">
        <x:v>65세 단일 연령 비정규직 비율은 공개 KOSIS 연령구간과 일치하지 않아 직접 조회할 수 없음.</x:v>
      </x:c>
      <x:c r="AU182" s="32" t="str">
        <x:v>N/A</x:v>
      </x:c>
      <x:c r="AV182" s="32" t="n">
        <x:v>46239.28157407408</x:v>
      </x:c>
      <x:c r="AW182" s="32" t="str">
        <x:v>KOSIS_MCP_AUTO_V3</x:v>
      </x:c>
      <x:c r="AX182" s="32" t="str">
        <x:v>N</x:v>
      </x:c>
    </x:row>
    <x:row r="183">
      <x:c r="A183" s="32" t="str">
        <x:v>A2109-C017</x:v>
      </x:c>
      <x:c r="B183" s="32" t="str">
        <x:v>A2109-C017-m4</x:v>
      </x:c>
      <x:c r="C183" s="32" t="str">
        <x:v>A2109</x:v>
      </x:c>
      <x:c r="D183" s="32" t="str">
        <x:v>“환갑 넘겨도 일해야 돼요” 노인 취업자 첫 700만명</x:v>
      </x:c>
      <x:c r="E183" s="32" t="str">
        <x:v>2025-06-12</x:v>
      </x:c>
      <x:c r="F183" s="32" t="str">
        <x:v>https://www.chosun.com/economy/economy_general/2025/06/12/2VNVWIY73JHI7EB3XE4YNTYIVM</x:v>
      </x:c>
      <x:c r="G183" s="33" t="str">
        <x:v>국회 예산정책처에 따르면, 작년 8월 기준 65세 임금 근로자 61.2%는 비정규직이었고, 70세는 이 비율이 85.1%에 달했다.</x:v>
      </x:c>
      <x:c r="H183" s="32" t="str">
        <x:v>85.10%</x:v>
      </x:c>
      <x:c r="I183" s="32" t="str">
        <x:v>KOSIS_VALUE</x:v>
      </x:c>
      <x:c r="J183" s="32" t="str">
        <x:v>국내공식통계</x:v>
      </x:c>
      <x:c r="K183" s="32" t="str">
        <x:v>hcx</x:v>
      </x:c>
      <x:c r="L183" s="32" t="str">
        <x:v>현재값</x:v>
      </x:c>
      <x:c r="M183" s="32" t="str">
        <x:v>노인 취업자 비정규직 비율</x:v>
      </x:c>
      <x:c r="N183" s="32" t="str">
        <x:v>-</x:v>
      </x:c>
      <x:c r="O183" s="32" t="str">
        <x:v>85.1</x:v>
      </x:c>
      <x:c r="P183" s="32" t="str">
        <x:v>%</x:v>
      </x:c>
      <x:c r="Q183" s="32" t="str">
        <x:v>2024</x:v>
      </x:c>
      <x:c r="R183" s="32" t="str">
        <x:v>Y</x:v>
      </x:c>
      <x:c r="S183" s="32" t="str">
        <x:v>N</x:v>
      </x:c>
      <x:c r="T183" s="32" t="str">
        <x:v>Y</x:v>
      </x:c>
      <x:c r="U183" s="32" t="str">
        <x:v>N</x:v>
      </x:c>
      <x:c r="V183" s="32" t="str">
        <x:v>MCP_NOT_VERIFIABLE</x:v>
      </x:c>
      <x:c r="W183" s="32" t="str">
        <x:v>N/A</x:v>
      </x:c>
      <x:c r="X183" s="32" t="str">
        <x:v>N/A</x:v>
      </x:c>
      <x:c r="Y183" s="32" t="str">
        <x:v>N/A</x:v>
      </x:c>
      <x:c r="Z183" s="32" t="str">
        <x:v>N/A</x:v>
      </x:c>
      <x:c r="AA183" s="32" t="str">
        <x:v>N/A</x:v>
      </x:c>
      <x:c r="AB183" s="32" t="str">
        <x:v>N/A</x:v>
      </x:c>
      <x:c r="AC183" s="32" t="str">
        <x:v>N/A</x:v>
      </x:c>
      <x:c r="AD183" s="32" t="str">
        <x:v>N/A</x:v>
      </x:c>
      <x:c r="AE183" s="32" t="str">
        <x:v>N/A</x:v>
      </x:c>
      <x:c r="AF183" s="32" t="str">
        <x:v>N/A</x:v>
      </x:c>
      <x:c r="AG183" s="32" t="str">
        <x:v>N/A</x:v>
      </x:c>
      <x:c r="AH183" s="32" t="str">
        <x:v>N/A</x:v>
      </x:c>
      <x:c r="AI183" s="32" t="str">
        <x:v>N/A</x:v>
      </x:c>
      <x:c r="AJ183" s="32" t="str">
        <x:v>N/A</x:v>
      </x:c>
      <x:c r="AK183" s="32" t="str">
        <x:v>N/A</x:v>
      </x:c>
      <x:c r="AL183" s="32" t="str">
        <x:v>N/A</x:v>
      </x:c>
      <x:c r="AM183" s="32" t="str">
        <x:v>N/A</x:v>
      </x:c>
      <x:c r="AN183" s="32" t="str">
        <x:v>N/A</x:v>
      </x:c>
      <x:c r="AO183" s="32" t="str">
        <x:v>N/A</x:v>
      </x:c>
      <x:c r="AP183" s="32" t="str">
        <x:v>N/A</x:v>
      </x:c>
      <x:c r="AQ183" s="32" t="str">
        <x:v>판단불가</x:v>
      </x:c>
      <x:c r="AR183" s="32" t="str">
        <x:v>NOT_APPLICABLE</x:v>
      </x:c>
      <x:c r="AS183" s="32" t="str">
        <x:v>HIGH</x:v>
      </x:c>
      <x:c r="AT183" s="33" t="str">
        <x:v>70세 단일 연령 비정규직 비율은 후보 표에서 해당 기간 데이터가 조회되지 않음.</x:v>
      </x:c>
      <x:c r="AU183" s="32" t="str">
        <x:v>N/A</x:v>
      </x:c>
      <x:c r="AV183" s="32" t="n">
        <x:v>46239.28157407408</x:v>
      </x:c>
      <x:c r="AW183" s="32" t="str">
        <x:v>KOSIS_MCP_AUTO_V3</x:v>
      </x:c>
      <x:c r="AX183" s="32" t="str">
        <x:v>N</x:v>
      </x:c>
    </x:row>
    <x:row r="184">
      <x:c r="A184" s="32" t="str">
        <x:v>A2257-C005</x:v>
      </x:c>
      <x:c r="B184" s="32" t="str">
        <x:v>A2257-C005-m1</x:v>
      </x:c>
      <x:c r="C184" s="32" t="str">
        <x:v>A2257</x:v>
      </x:c>
      <x:c r="D184" s="32" t="str">
        <x:v>올해 수출 하반기에 더 부진할 듯… 3.8% 감소 전망</x:v>
      </x:c>
      <x:c r="E184" s="32" t="str">
        <x:v>2025-06-23</x:v>
      </x:c>
      <x:c r="F184" s="32" t="str">
        <x:v>https://www.chosun.com/economy/industry-company/2025/06/23/2LYH3LOXSRF4VM7CMND72XB5JM</x:v>
      </x:c>
      <x:c r="G184" s="33" t="str">
        <x:v>보고서는 연간 수출은 작년보다 2.2% 줄어든 6685억달러가 될 것으로 예상했다.</x:v>
      </x:c>
      <x:c r="H184" s="32" t="str">
        <x:v>2.20%</x:v>
      </x:c>
      <x:c r="I184" s="32" t="str">
        <x:v>KOSIS_VALUE</x:v>
      </x:c>
      <x:c r="J184" s="32" t="str">
        <x:v>국내공식통계</x:v>
      </x:c>
      <x:c r="K184" s="32" t="str">
        <x:v>hcx</x:v>
      </x:c>
      <x:c r="L184" s="32" t="str">
        <x:v>증감률</x:v>
      </x:c>
      <x:c r="M184" s="32" t="str">
        <x:v>연간 수출 증가율</x:v>
      </x:c>
      <x:c r="N184" s="32" t="str">
        <x:v>-</x:v>
      </x:c>
      <x:c r="O184" s="32" t="str">
        <x:v>2.2</x:v>
      </x:c>
      <x:c r="P184" s="32" t="str">
        <x:v>%</x:v>
      </x:c>
      <x:c r="Q184" s="32" t="str">
        <x:v>2025</x:v>
      </x:c>
      <x:c r="R184" s="32" t="str">
        <x:v>Y</x:v>
      </x:c>
      <x:c r="S184" s="32" t="str">
        <x:v>N</x:v>
      </x:c>
      <x:c r="T184" s="32" t="str">
        <x:v>Y</x:v>
      </x:c>
      <x:c r="U184" s="32" t="str">
        <x:v>N</x:v>
      </x:c>
      <x:c r="V184" s="32" t="str">
        <x:v>MCP_NOT_VERIFIABLE</x:v>
      </x:c>
      <x:c r="W184" s="32" t="str">
        <x:v>N/A</x:v>
      </x:c>
      <x:c r="X184" s="32" t="str">
        <x:v>N/A</x:v>
      </x:c>
      <x:c r="Y184" s="32" t="str">
        <x:v>N/A</x:v>
      </x:c>
      <x:c r="Z184" s="32" t="str">
        <x:v>N/A</x:v>
      </x:c>
      <x:c r="AA184" s="32" t="str">
        <x:v>N/A</x:v>
      </x:c>
      <x:c r="AB184" s="32" t="str">
        <x:v>N/A</x:v>
      </x:c>
      <x:c r="AC184" s="32" t="str">
        <x:v>N/A</x:v>
      </x:c>
      <x:c r="AD184" s="32" t="str">
        <x:v>N/A</x:v>
      </x:c>
      <x:c r="AE184" s="32" t="str">
        <x:v>N/A</x:v>
      </x:c>
      <x:c r="AF184" s="32" t="str">
        <x:v>N/A</x:v>
      </x:c>
      <x:c r="AG184" s="32" t="str">
        <x:v>N/A</x:v>
      </x:c>
      <x:c r="AH184" s="32" t="str">
        <x:v>N/A</x:v>
      </x:c>
      <x:c r="AI184" s="32" t="str">
        <x:v>N/A</x:v>
      </x:c>
      <x:c r="AJ184" s="32" t="str">
        <x:v>N/A</x:v>
      </x:c>
      <x:c r="AK184" s="32" t="str">
        <x:v>N/A</x:v>
      </x:c>
      <x:c r="AL184" s="32" t="str">
        <x:v>N/A</x:v>
      </x:c>
      <x:c r="AM184" s="32" t="str">
        <x:v>N/A</x:v>
      </x:c>
      <x:c r="AN184" s="32" t="str">
        <x:v>N/A</x:v>
      </x:c>
      <x:c r="AO184" s="32" t="str">
        <x:v>N/A</x:v>
      </x:c>
      <x:c r="AP184" s="32" t="str">
        <x:v>N/A</x:v>
      </x:c>
      <x:c r="AQ184" s="32" t="str">
        <x:v>판단불가</x:v>
      </x:c>
      <x:c r="AR184" s="32" t="str">
        <x:v>NOT_APPLICABLE</x:v>
      </x:c>
      <x:c r="AS184" s="32" t="str">
        <x:v>MEDIUM</x:v>
      </x:c>
      <x:c r="AT184" s="33" t="str">
        <x:v>기존 자동 범위 판정에서 KOSIS 직접 검증 대상이 아닌 것으로 분류됨.</x:v>
      </x:c>
      <x:c r="AU184" s="32" t="str">
        <x:v>N/A</x:v>
      </x:c>
      <x:c r="AV184" s="32" t="n">
        <x:v>46239.28157407408</x:v>
      </x:c>
      <x:c r="AW184" s="32" t="str">
        <x:v>KOSIS_MCP_AUTO_V3</x:v>
      </x:c>
      <x:c r="AX184" s="32" t="str">
        <x:v>N</x:v>
      </x:c>
    </x:row>
    <x:row r="185">
      <x:c r="A185" s="32" t="str">
        <x:v>A2257-C005</x:v>
      </x:c>
      <x:c r="B185" s="32" t="str">
        <x:v>A2257-C005-m2</x:v>
      </x:c>
      <x:c r="C185" s="32" t="str">
        <x:v>A2257</x:v>
      </x:c>
      <x:c r="D185" s="32" t="str">
        <x:v>올해 수출 하반기에 더 부진할 듯… 3.8% 감소 전망</x:v>
      </x:c>
      <x:c r="E185" s="32" t="str">
        <x:v>2025-06-23</x:v>
      </x:c>
      <x:c r="F185" s="32" t="str">
        <x:v>https://www.chosun.com/economy/industry-company/2025/06/23/2LYH3LOXSRF4VM7CMND72XB5JM</x:v>
      </x:c>
      <x:c r="G185" s="33" t="str">
        <x:v>보고서는 연간 수출은 작년보다 2.2% 줄어든 6685억달러가 될 것으로 예상했다.</x:v>
      </x:c>
      <x:c r="H185" s="32" t="str">
        <x:v>6685억달러</x:v>
      </x:c>
      <x:c r="I185" s="32" t="str">
        <x:v>KOSIS_VALUE</x:v>
      </x:c>
      <x:c r="J185" s="32" t="str">
        <x:v>국내공식통계</x:v>
      </x:c>
      <x:c r="K185" s="32" t="str">
        <x:v>hcx</x:v>
      </x:c>
      <x:c r="L185" s="32" t="str">
        <x:v>현재값</x:v>
      </x:c>
      <x:c r="M185" s="32" t="str">
        <x:v>연간 수출 총액</x:v>
      </x:c>
      <x:c r="N185" s="32" t="str">
        <x:v>-</x:v>
      </x:c>
      <x:c r="O185" s="32" t="str">
        <x:v>6.685E+11</x:v>
      </x:c>
      <x:c r="P185" s="32" t="str">
        <x:v>달러</x:v>
      </x:c>
      <x:c r="Q185" s="32" t="str">
        <x:v>2025</x:v>
      </x:c>
      <x:c r="R185" s="32" t="str">
        <x:v>Y</x:v>
      </x:c>
      <x:c r="S185" s="32" t="str">
        <x:v>N</x:v>
      </x:c>
      <x:c r="T185" s="32" t="str">
        <x:v>Y</x:v>
      </x:c>
      <x:c r="U185" s="32" t="str">
        <x:v>N</x:v>
      </x:c>
      <x:c r="V185" s="32" t="str">
        <x:v>MCP_NOT_VERIFIABLE</x:v>
      </x:c>
      <x:c r="W185" s="32" t="str">
        <x:v>N/A</x:v>
      </x:c>
      <x:c r="X185" s="32" t="str">
        <x:v>N/A</x:v>
      </x:c>
      <x:c r="Y185" s="32" t="str">
        <x:v>N/A</x:v>
      </x:c>
      <x:c r="Z185" s="32" t="str">
        <x:v>N/A</x:v>
      </x:c>
      <x:c r="AA185" s="32" t="str">
        <x:v>N/A</x:v>
      </x:c>
      <x:c r="AB185" s="32" t="str">
        <x:v>N/A</x:v>
      </x:c>
      <x:c r="AC185" s="32" t="str">
        <x:v>N/A</x:v>
      </x:c>
      <x:c r="AD185" s="32" t="str">
        <x:v>N/A</x:v>
      </x:c>
      <x:c r="AE185" s="32" t="str">
        <x:v>N/A</x:v>
      </x:c>
      <x:c r="AF185" s="32" t="str">
        <x:v>N/A</x:v>
      </x:c>
      <x:c r="AG185" s="32" t="str">
        <x:v>N/A</x:v>
      </x:c>
      <x:c r="AH185" s="32" t="str">
        <x:v>N/A</x:v>
      </x:c>
      <x:c r="AI185" s="32" t="str">
        <x:v>N/A</x:v>
      </x:c>
      <x:c r="AJ185" s="32" t="str">
        <x:v>N/A</x:v>
      </x:c>
      <x:c r="AK185" s="32" t="str">
        <x:v>N/A</x:v>
      </x:c>
      <x:c r="AL185" s="32" t="str">
        <x:v>N/A</x:v>
      </x:c>
      <x:c r="AM185" s="32" t="str">
        <x:v>N/A</x:v>
      </x:c>
      <x:c r="AN185" s="32" t="str">
        <x:v>N/A</x:v>
      </x:c>
      <x:c r="AO185" s="32" t="str">
        <x:v>N/A</x:v>
      </x:c>
      <x:c r="AP185" s="32" t="str">
        <x:v>N/A</x:v>
      </x:c>
      <x:c r="AQ185" s="32" t="str">
        <x:v>판단불가</x:v>
      </x:c>
      <x:c r="AR185" s="32" t="str">
        <x:v>NOT_APPLICABLE</x:v>
      </x:c>
      <x:c r="AS185" s="32" t="str">
        <x:v>MEDIUM</x:v>
      </x:c>
      <x:c r="AT185" s="33" t="str">
        <x:v>기존 자동 범위 판정에서 KOSIS 직접 검증 대상이 아닌 것으로 분류됨.</x:v>
      </x:c>
      <x:c r="AU185" s="32" t="str">
        <x:v>N/A</x:v>
      </x:c>
      <x:c r="AV185" s="32" t="n">
        <x:v>46239.28157407408</x:v>
      </x:c>
      <x:c r="AW185" s="32" t="str">
        <x:v>KOSIS_MCP_AUTO_V3</x:v>
      </x:c>
      <x:c r="AX185" s="32" t="str">
        <x:v>N</x:v>
      </x:c>
    </x:row>
    <x:row r="186">
      <x:c r="A186" s="32" t="str">
        <x:v>A2291-C013</x:v>
      </x:c>
      <x:c r="B186" s="32" t="str">
        <x:v>A2291-C013-m1</x:v>
      </x:c>
      <x:c r="C186" s="32" t="str">
        <x:v>A2291</x:v>
      </x:c>
      <x:c r="D186" s="32" t="str">
        <x:v>결혼·출산은 33년 만에 10개월 연속 증가</x:v>
      </x:c>
      <x:c r="E186" s="32" t="str">
        <x:v>2025-06-26</x:v>
      </x:c>
      <x:c r="F186" s="32" t="str">
        <x:v>https://www.chosun.com/economy/economy_general/2025/06/26/GDQ3PEJNV5H3RGFRU6KZAZ6BSE</x:v>
      </x:c>
      <x:c r="G186" s="33" t="str">
        <x:v>저출산고령사회위원회의 조사에 따르면 우리 국민의 결혼에 대한 긍정적 답변은 지난해 3월 70.9%에서 올해 5월 72.9%까지 꾸준히 늘었다.</x:v>
      </x:c>
      <x:c r="H186" s="32" t="str">
        <x:v>70.90%</x:v>
      </x:c>
      <x:c r="I186" s="32" t="str">
        <x:v>KOSIS_VALUE</x:v>
      </x:c>
      <x:c r="J186" s="32" t="str">
        <x:v>국내공식통계</x:v>
      </x:c>
      <x:c r="K186" s="32" t="str">
        <x:v>hcx</x:v>
      </x:c>
      <x:c r="L186" s="32" t="str">
        <x:v>증감률</x:v>
      </x:c>
      <x:c r="M186" s="32" t="str">
        <x:v>결혼에 대한 긍정적 답변 비율</x:v>
      </x:c>
      <x:c r="N186" s="32" t="str">
        <x:v>-</x:v>
      </x:c>
      <x:c r="O186" s="32" t="str">
        <x:v>70.9</x:v>
      </x:c>
      <x:c r="P186" s="32" t="str">
        <x:v>%</x:v>
      </x:c>
      <x:c r="Q186" s="32" t="str">
        <x:v>2024</x:v>
      </x:c>
      <x:c r="R186" s="32" t="str">
        <x:v>Y</x:v>
      </x:c>
      <x:c r="S186" s="32" t="str">
        <x:v>N</x:v>
      </x:c>
      <x:c r="T186" s="32" t="str">
        <x:v>N</x:v>
      </x:c>
      <x:c r="U186" s="32" t="str">
        <x:v>N</x:v>
      </x:c>
      <x:c r="V186" s="32" t="str">
        <x:v>MEASUREMENT_ERROR</x:v>
      </x:c>
      <x:c r="W186" s="32" t="str">
        <x:v>N/A</x:v>
      </x:c>
      <x:c r="X186" s="32" t="str">
        <x:v>N/A</x:v>
      </x:c>
      <x:c r="Y186" s="32" t="str">
        <x:v>N/A</x:v>
      </x:c>
      <x:c r="Z186" s="32" t="str">
        <x:v>N/A</x:v>
      </x:c>
      <x:c r="AA186" s="32" t="str">
        <x:v>N/A</x:v>
      </x:c>
      <x:c r="AB186" s="32" t="str">
        <x:v>N/A</x:v>
      </x:c>
      <x:c r="AC186" s="32" t="str">
        <x:v>N/A</x:v>
      </x:c>
      <x:c r="AD186" s="32" t="str">
        <x:v>N/A</x:v>
      </x:c>
      <x:c r="AE186" s="32" t="str">
        <x:v>N/A</x:v>
      </x:c>
      <x:c r="AF186" s="32" t="str">
        <x:v>N/A</x:v>
      </x:c>
      <x:c r="AG186" s="32" t="str">
        <x:v>N/A</x:v>
      </x:c>
      <x:c r="AH186" s="32" t="str">
        <x:v>N/A</x:v>
      </x:c>
      <x:c r="AI186" s="32" t="str">
        <x:v>N/A</x:v>
      </x:c>
      <x:c r="AJ186" s="32" t="str">
        <x:v>N/A</x:v>
      </x:c>
      <x:c r="AK186" s="32" t="str">
        <x:v>N/A</x:v>
      </x:c>
      <x:c r="AL186" s="32" t="str">
        <x:v>N/A</x:v>
      </x:c>
      <x:c r="AM186" s="32" t="str">
        <x:v>N/A</x:v>
      </x:c>
      <x:c r="AN186" s="32" t="str">
        <x:v>N/A</x:v>
      </x:c>
      <x:c r="AO186" s="32" t="str">
        <x:v>N/A</x:v>
      </x:c>
      <x:c r="AP186" s="32" t="str">
        <x:v>N/A</x:v>
      </x:c>
      <x:c r="AQ186" s="32" t="str">
        <x:v>판단불가</x:v>
      </x:c>
      <x:c r="AR186" s="32" t="str">
        <x:v>NOT_APPLICABLE</x:v>
      </x:c>
      <x:c r="AS186" s="32" t="str">
        <x:v>MEDIUM</x:v>
      </x:c>
      <x:c r="AT186" s="33" t="str">
        <x:v>기존 자동 측정 규칙에서 측정값 추출 오류로 분류되어 KOSIS 골드 좌표를 부여하지 않음.</x:v>
      </x:c>
      <x:c r="AU186" s="32" t="str">
        <x:v>N/A</x:v>
      </x:c>
      <x:c r="AV186" s="32" t="n">
        <x:v>46239.28157407408</x:v>
      </x:c>
      <x:c r="AW186" s="32" t="str">
        <x:v>KOSIS_MCP_AUTO_V3</x:v>
      </x:c>
      <x:c r="AX186" s="32" t="str">
        <x:v>N</x:v>
      </x:c>
    </x:row>
    <x:row r="187">
      <x:c r="A187" s="32" t="str">
        <x:v>A2291-C013</x:v>
      </x:c>
      <x:c r="B187" s="32" t="str">
        <x:v>A2291-C013-m2</x:v>
      </x:c>
      <x:c r="C187" s="32" t="str">
        <x:v>A2291</x:v>
      </x:c>
      <x:c r="D187" s="32" t="str">
        <x:v>결혼·출산은 33년 만에 10개월 연속 증가</x:v>
      </x:c>
      <x:c r="E187" s="32" t="str">
        <x:v>2025-06-26</x:v>
      </x:c>
      <x:c r="F187" s="32" t="str">
        <x:v>https://www.chosun.com/economy/economy_general/2025/06/26/GDQ3PEJNV5H3RGFRU6KZAZ6BSE</x:v>
      </x:c>
      <x:c r="G187" s="33" t="str">
        <x:v>저출산고령사회위원회의 조사에 따르면 우리 국민의 결혼에 대한 긍정적 답변은 지난해 3월 70.9%에서 올해 5월 72.9%까지 꾸준히 늘었다.</x:v>
      </x:c>
      <x:c r="H187" s="32" t="str">
        <x:v>72.90%</x:v>
      </x:c>
      <x:c r="I187" s="32" t="str">
        <x:v>KOSIS_VALUE</x:v>
      </x:c>
      <x:c r="J187" s="32" t="str">
        <x:v>국내공식통계</x:v>
      </x:c>
      <x:c r="K187" s="32" t="str">
        <x:v>hcx</x:v>
      </x:c>
      <x:c r="L187" s="32" t="str">
        <x:v>증감률</x:v>
      </x:c>
      <x:c r="M187" s="32" t="str">
        <x:v>결혼에 대한 긍정적 답변 비율</x:v>
      </x:c>
      <x:c r="N187" s="32" t="str">
        <x:v>-</x:v>
      </x:c>
      <x:c r="O187" s="32" t="str">
        <x:v>72.9</x:v>
      </x:c>
      <x:c r="P187" s="32" t="str">
        <x:v>%</x:v>
      </x:c>
      <x:c r="Q187" s="32" t="str">
        <x:v>2025</x:v>
      </x:c>
      <x:c r="R187" s="32" t="str">
        <x:v>Y</x:v>
      </x:c>
      <x:c r="S187" s="32" t="str">
        <x:v>N</x:v>
      </x:c>
      <x:c r="T187" s="32" t="str">
        <x:v>N</x:v>
      </x:c>
      <x:c r="U187" s="32" t="str">
        <x:v>N</x:v>
      </x:c>
      <x:c r="V187" s="32" t="str">
        <x:v>MEASUREMENT_ERROR</x:v>
      </x:c>
      <x:c r="W187" s="32" t="str">
        <x:v>N/A</x:v>
      </x:c>
      <x:c r="X187" s="32" t="str">
        <x:v>N/A</x:v>
      </x:c>
      <x:c r="Y187" s="32" t="str">
        <x:v>N/A</x:v>
      </x:c>
      <x:c r="Z187" s="32" t="str">
        <x:v>N/A</x:v>
      </x:c>
      <x:c r="AA187" s="32" t="str">
        <x:v>N/A</x:v>
      </x:c>
      <x:c r="AB187" s="32" t="str">
        <x:v>N/A</x:v>
      </x:c>
      <x:c r="AC187" s="32" t="str">
        <x:v>N/A</x:v>
      </x:c>
      <x:c r="AD187" s="32" t="str">
        <x:v>N/A</x:v>
      </x:c>
      <x:c r="AE187" s="32" t="str">
        <x:v>N/A</x:v>
      </x:c>
      <x:c r="AF187" s="32" t="str">
        <x:v>N/A</x:v>
      </x:c>
      <x:c r="AG187" s="32" t="str">
        <x:v>N/A</x:v>
      </x:c>
      <x:c r="AH187" s="32" t="str">
        <x:v>N/A</x:v>
      </x:c>
      <x:c r="AI187" s="32" t="str">
        <x:v>N/A</x:v>
      </x:c>
      <x:c r="AJ187" s="32" t="str">
        <x:v>N/A</x:v>
      </x:c>
      <x:c r="AK187" s="32" t="str">
        <x:v>N/A</x:v>
      </x:c>
      <x:c r="AL187" s="32" t="str">
        <x:v>N/A</x:v>
      </x:c>
      <x:c r="AM187" s="32" t="str">
        <x:v>N/A</x:v>
      </x:c>
      <x:c r="AN187" s="32" t="str">
        <x:v>N/A</x:v>
      </x:c>
      <x:c r="AO187" s="32" t="str">
        <x:v>N/A</x:v>
      </x:c>
      <x:c r="AP187" s="32" t="str">
        <x:v>N/A</x:v>
      </x:c>
      <x:c r="AQ187" s="32" t="str">
        <x:v>판단불가</x:v>
      </x:c>
      <x:c r="AR187" s="32" t="str">
        <x:v>NOT_APPLICABLE</x:v>
      </x:c>
      <x:c r="AS187" s="32" t="str">
        <x:v>MEDIUM</x:v>
      </x:c>
      <x:c r="AT187" s="33" t="str">
        <x:v>기존 자동 측정 규칙에서 측정값 추출 오류로 분류되어 KOSIS 골드 좌표를 부여하지 않음.</x:v>
      </x:c>
      <x:c r="AU187" s="32" t="str">
        <x:v>N/A</x:v>
      </x:c>
      <x:c r="AV187" s="32" t="n">
        <x:v>46239.28157407408</x:v>
      </x:c>
      <x:c r="AW187" s="32" t="str">
        <x:v>KOSIS_MCP_AUTO_V3</x:v>
      </x:c>
      <x:c r="AX187" s="32" t="str">
        <x:v>N</x:v>
      </x:c>
    </x:row>
    <x:row r="188">
      <x:c r="A188" s="32" t="str">
        <x:v>A2295-C002</x:v>
      </x:c>
      <x:c r="B188" s="32" t="str">
        <x:v>A2295-C002-m1</x:v>
      </x:c>
      <x:c r="C188" s="32" t="str">
        <x:v>A2295</x:v>
      </x:c>
      <x:c r="D188" s="32" t="str">
        <x:v>빚의 늪 빠진 저소득 자영업자… 1분기 연체율 12% ’12년만에 최고'</x:v>
      </x:c>
      <x:c r="E188" s="32" t="str">
        <x:v>2025-06-26</x:v>
      </x:c>
      <x:c r="F188" s="32" t="str">
        <x:v>https://www.chosun.com/economy/economy_general/2025/06/26/XMXERK3NLNH2XI5QIICOGSEXSE</x:v>
      </x:c>
      <x:c r="G188" s="33" t="str">
        <x:v>한국은행은 25일 금융안정상황 보고서에서 올해 1분기(1~3월) 말 취약 자영업자의 대출 연체율은 12.24%로 집계됐다고 밝혔다.</x:v>
      </x:c>
      <x:c r="H188" s="32" t="str">
        <x:v>12.24%</x:v>
      </x:c>
      <x:c r="I188" s="32" t="str">
        <x:v>KOSIS_VALUE</x:v>
      </x:c>
      <x:c r="J188" s="32" t="str">
        <x:v>국내공식통계</x:v>
      </x:c>
      <x:c r="K188" s="32" t="str">
        <x:v>hcx</x:v>
      </x:c>
      <x:c r="L188" s="32" t="str">
        <x:v>현재값</x:v>
      </x:c>
      <x:c r="M188" s="32" t="str">
        <x:v>취약 자영업자 대출 연체율</x:v>
      </x:c>
      <x:c r="N188" s="32" t="str">
        <x:v>-</x:v>
      </x:c>
      <x:c r="O188" s="32" t="str">
        <x:v>12.24</x:v>
      </x:c>
      <x:c r="P188" s="32" t="str">
        <x:v>%</x:v>
      </x:c>
      <x:c r="Q188" s="32" t="str">
        <x:v>2025Q1</x:v>
      </x:c>
      <x:c r="R188" s="32" t="str">
        <x:v>Q</x:v>
      </x:c>
      <x:c r="S188" s="32" t="str">
        <x:v>N</x:v>
      </x:c>
      <x:c r="T188" s="32" t="str">
        <x:v>Y</x:v>
      </x:c>
      <x:c r="U188" s="32" t="str">
        <x:v>N</x:v>
      </x:c>
      <x:c r="V188" s="32" t="str">
        <x:v>MCP_NOT_VERIFIABLE</x:v>
      </x:c>
      <x:c r="W188" s="32" t="str">
        <x:v>N/A</x:v>
      </x:c>
      <x:c r="X188" s="32" t="str">
        <x:v>N/A</x:v>
      </x:c>
      <x:c r="Y188" s="32" t="str">
        <x:v>N/A</x:v>
      </x:c>
      <x:c r="Z188" s="32" t="str">
        <x:v>N/A</x:v>
      </x:c>
      <x:c r="AA188" s="32" t="str">
        <x:v>N/A</x:v>
      </x:c>
      <x:c r="AB188" s="32" t="str">
        <x:v>N/A</x:v>
      </x:c>
      <x:c r="AC188" s="32" t="str">
        <x:v>N/A</x:v>
      </x:c>
      <x:c r="AD188" s="32" t="str">
        <x:v>N/A</x:v>
      </x:c>
      <x:c r="AE188" s="32" t="str">
        <x:v>N/A</x:v>
      </x:c>
      <x:c r="AF188" s="32" t="str">
        <x:v>N/A</x:v>
      </x:c>
      <x:c r="AG188" s="32" t="str">
        <x:v>N/A</x:v>
      </x:c>
      <x:c r="AH188" s="32" t="str">
        <x:v>N/A</x:v>
      </x:c>
      <x:c r="AI188" s="32" t="str">
        <x:v>N/A</x:v>
      </x:c>
      <x:c r="AJ188" s="32" t="str">
        <x:v>N/A</x:v>
      </x:c>
      <x:c r="AK188" s="32" t="str">
        <x:v>N/A</x:v>
      </x:c>
      <x:c r="AL188" s="32" t="str">
        <x:v>N/A</x:v>
      </x:c>
      <x:c r="AM188" s="32" t="str">
        <x:v>N/A</x:v>
      </x:c>
      <x:c r="AN188" s="32" t="str">
        <x:v>N/A</x:v>
      </x:c>
      <x:c r="AO188" s="32" t="str">
        <x:v>N/A</x:v>
      </x:c>
      <x:c r="AP188" s="32" t="str">
        <x:v>N/A</x:v>
      </x:c>
      <x:c r="AQ188" s="32" t="str">
        <x:v>판단불가</x:v>
      </x:c>
      <x:c r="AR188" s="32" t="str">
        <x:v>NOT_APPLICABLE</x:v>
      </x:c>
      <x:c r="AS188" s="32" t="str">
        <x:v>MEDIUM</x:v>
      </x:c>
      <x:c r="AT188" s="33" t="str">
        <x:v>기존 자동 범위 판정에서 KOSIS 직접 검증 대상이 아닌 것으로 분류됨.</x:v>
      </x:c>
      <x:c r="AU188" s="32" t="str">
        <x:v>N/A</x:v>
      </x:c>
      <x:c r="AV188" s="32" t="n">
        <x:v>46239.28157407408</x:v>
      </x:c>
      <x:c r="AW188" s="32" t="str">
        <x:v>KOSIS_MCP_AUTO_V3</x:v>
      </x:c>
      <x:c r="AX188" s="32" t="str">
        <x:v>N</x:v>
      </x:c>
    </x:row>
    <x:row r="189">
      <x:c r="A189" s="32" t="str">
        <x:v>A2342-C012</x:v>
      </x:c>
      <x:c r="B189" s="32" t="str">
        <x:v>A2342-C012-m1</x:v>
      </x:c>
      <x:c r="C189" s="32" t="str">
        <x:v>A2342</x:v>
      </x:c>
      <x:c r="D189" s="32" t="str">
        <x:v>’국민 횟감‘ 광어‧우럭 값 껑충…원인은 양식장 ’초유의 상황'</x:v>
      </x:c>
      <x:c r="E189" s="32" t="str">
        <x:v>2025-06-30</x:v>
      </x:c>
      <x:c r="F189" s="32" t="str">
        <x:v>https://www.chosun.com/economy/economy_general/2025/06/30/BV6OPN2TWZDM5MJBR4UUVW7PEQ</x:v>
      </x:c>
      <x:c r="G189" s="33" t="str">
        <x:v>지난해 양식업 피해액은 1430억원으로, 이 역시 피해 집계를 시작한 2012년 이후 최대 규모였다.</x:v>
      </x:c>
      <x:c r="H189" s="32" t="str">
        <x:v>1430억원</x:v>
      </x:c>
      <x:c r="I189" s="32" t="str">
        <x:v>KOSIS_VALUE</x:v>
      </x:c>
      <x:c r="J189" s="32" t="str">
        <x:v>국내공식통계</x:v>
      </x:c>
      <x:c r="K189" s="32" t="str">
        <x:v>hcx</x:v>
      </x:c>
      <x:c r="L189" s="32" t="str">
        <x:v>현재값</x:v>
      </x:c>
      <x:c r="M189" s="32" t="str">
        <x:v>양식업 피해액</x:v>
      </x:c>
      <x:c r="N189" s="32" t="str">
        <x:v>-</x:v>
      </x:c>
      <x:c r="O189" s="32" t="str">
        <x:v>1.43E+11</x:v>
      </x:c>
      <x:c r="P189" s="32" t="str">
        <x:v>원</x:v>
      </x:c>
      <x:c r="Q189" s="32" t="str">
        <x:v>2024</x:v>
      </x:c>
      <x:c r="R189" s="32" t="str">
        <x:v>Y</x:v>
      </x:c>
      <x:c r="S189" s="32" t="str">
        <x:v>N</x:v>
      </x:c>
      <x:c r="T189" s="32" t="str">
        <x:v>Y</x:v>
      </x:c>
      <x:c r="U189" s="32" t="str">
        <x:v>N</x:v>
      </x:c>
      <x:c r="V189" s="32" t="str">
        <x:v>MCP_NOT_VERIFIABLE</x:v>
      </x:c>
      <x:c r="W189" s="32" t="str">
        <x:v>N/A</x:v>
      </x:c>
      <x:c r="X189" s="32" t="str">
        <x:v>N/A</x:v>
      </x:c>
      <x:c r="Y189" s="32" t="str">
        <x:v>N/A</x:v>
      </x:c>
      <x:c r="Z189" s="32" t="str">
        <x:v>N/A</x:v>
      </x:c>
      <x:c r="AA189" s="32" t="str">
        <x:v>N/A</x:v>
      </x:c>
      <x:c r="AB189" s="32" t="str">
        <x:v>N/A</x:v>
      </x:c>
      <x:c r="AC189" s="32" t="str">
        <x:v>N/A</x:v>
      </x:c>
      <x:c r="AD189" s="32" t="str">
        <x:v>N/A</x:v>
      </x:c>
      <x:c r="AE189" s="32" t="str">
        <x:v>N/A</x:v>
      </x:c>
      <x:c r="AF189" s="32" t="str">
        <x:v>N/A</x:v>
      </x:c>
      <x:c r="AG189" s="32" t="str">
        <x:v>N/A</x:v>
      </x:c>
      <x:c r="AH189" s="32" t="str">
        <x:v>N/A</x:v>
      </x:c>
      <x:c r="AI189" s="32" t="str">
        <x:v>N/A</x:v>
      </x:c>
      <x:c r="AJ189" s="32" t="str">
        <x:v>N/A</x:v>
      </x:c>
      <x:c r="AK189" s="32" t="str">
        <x:v>N/A</x:v>
      </x:c>
      <x:c r="AL189" s="32" t="str">
        <x:v>N/A</x:v>
      </x:c>
      <x:c r="AM189" s="32" t="str">
        <x:v>N/A</x:v>
      </x:c>
      <x:c r="AN189" s="32" t="str">
        <x:v>N/A</x:v>
      </x:c>
      <x:c r="AO189" s="32" t="str">
        <x:v>N/A</x:v>
      </x:c>
      <x:c r="AP189" s="32" t="str">
        <x:v>N/A</x:v>
      </x:c>
      <x:c r="AQ189" s="32" t="str">
        <x:v>판단불가</x:v>
      </x:c>
      <x:c r="AR189" s="32" t="str">
        <x:v>NOT_APPLICABLE</x:v>
      </x:c>
      <x:c r="AS189" s="32" t="str">
        <x:v>MEDIUM</x:v>
      </x:c>
      <x:c r="AT189" s="33" t="str">
        <x:v>기존 자동 범위 판정에서 KOSIS 직접 검증 대상이 아닌 것으로 분류됨.</x:v>
      </x:c>
      <x:c r="AU189" s="32" t="str">
        <x:v>N/A</x:v>
      </x:c>
      <x:c r="AV189" s="32" t="n">
        <x:v>46239.28157407408</x:v>
      </x:c>
      <x:c r="AW189" s="32" t="str">
        <x:v>KOSIS_MCP_AUTO_V3</x:v>
      </x:c>
      <x:c r="AX189" s="32" t="str">
        <x:v>N</x:v>
      </x:c>
    </x:row>
    <x:row r="190">
      <x:c r="A190" s="32" t="str">
        <x:v>A2399-C002</x:v>
      </x:c>
      <x:c r="B190" s="32" t="str">
        <x:v>A2399-C002-m1</x:v>
      </x:c>
      <x:c r="C190" s="32" t="str">
        <x:v>A2399</x:v>
      </x:c>
      <x:c r="D190" s="32" t="str">
        <x:v>‘외국인 집주인’ 1만명 돌파... 가장 많은 지역은?</x:v>
      </x:c>
      <x:c r="E190" s="32" t="str">
        <x:v>2025-07-04</x:v>
      </x:c>
      <x:c r="F190" s="32" t="str">
        <x:v>https://www.chosun.com/economy/industry-company/2025/07/04/7PYH7TO6ZVFBNLTJKPMR2CLSYM</x:v>
      </x:c>
      <x:c r="G190" s="33" t="str">
        <x:v>4일 법원 등기정보광장에 따르면, 올해 상반기(1~6월) 전국에서 확정일자를 받은 외국인 임대인은 1만500명으로 집계됐다.</x:v>
      </x:c>
      <x:c r="H190" s="32" t="str">
        <x:v>1만500명</x:v>
      </x:c>
      <x:c r="I190" s="32" t="str">
        <x:v>KOSIS_VALUE</x:v>
      </x:c>
      <x:c r="J190" s="32" t="str">
        <x:v>국내공식통계</x:v>
      </x:c>
      <x:c r="K190" s="32" t="str">
        <x:v>hcx</x:v>
      </x:c>
      <x:c r="L190" s="32" t="str">
        <x:v>현재값</x:v>
      </x:c>
      <x:c r="M190" s="32" t="str">
        <x:v>외국인 임대인 수</x:v>
      </x:c>
      <x:c r="N190" s="32" t="str">
        <x:v>-</x:v>
      </x:c>
      <x:c r="O190" s="32" t="str">
        <x:v>10500</x:v>
      </x:c>
      <x:c r="P190" s="32" t="str">
        <x:v>명</x:v>
      </x:c>
      <x:c r="Q190" s="32" t="str">
        <x:v>2025Q2</x:v>
      </x:c>
      <x:c r="R190" s="32" t="str">
        <x:v>Q</x:v>
      </x:c>
      <x:c r="S190" s="32" t="str">
        <x:v>N</x:v>
      </x:c>
      <x:c r="T190" s="32" t="str">
        <x:v>Y</x:v>
      </x:c>
      <x:c r="U190" s="32" t="str">
        <x:v>N</x:v>
      </x:c>
      <x:c r="V190" s="32" t="str">
        <x:v>MCP_NOT_VERIFIABLE</x:v>
      </x:c>
      <x:c r="W190" s="32" t="str">
        <x:v>N/A</x:v>
      </x:c>
      <x:c r="X190" s="32" t="str">
        <x:v>N/A</x:v>
      </x:c>
      <x:c r="Y190" s="32" t="str">
        <x:v>N/A</x:v>
      </x:c>
      <x:c r="Z190" s="32" t="str">
        <x:v>N/A</x:v>
      </x:c>
      <x:c r="AA190" s="32" t="str">
        <x:v>N/A</x:v>
      </x:c>
      <x:c r="AB190" s="32" t="str">
        <x:v>N/A</x:v>
      </x:c>
      <x:c r="AC190" s="32" t="str">
        <x:v>N/A</x:v>
      </x:c>
      <x:c r="AD190" s="32" t="str">
        <x:v>N/A</x:v>
      </x:c>
      <x:c r="AE190" s="32" t="str">
        <x:v>N/A</x:v>
      </x:c>
      <x:c r="AF190" s="32" t="str">
        <x:v>N/A</x:v>
      </x:c>
      <x:c r="AG190" s="32" t="str">
        <x:v>N/A</x:v>
      </x:c>
      <x:c r="AH190" s="32" t="str">
        <x:v>N/A</x:v>
      </x:c>
      <x:c r="AI190" s="32" t="str">
        <x:v>N/A</x:v>
      </x:c>
      <x:c r="AJ190" s="32" t="str">
        <x:v>N/A</x:v>
      </x:c>
      <x:c r="AK190" s="32" t="str">
        <x:v>N/A</x:v>
      </x:c>
      <x:c r="AL190" s="32" t="str">
        <x:v>N/A</x:v>
      </x:c>
      <x:c r="AM190" s="32" t="str">
        <x:v>N/A</x:v>
      </x:c>
      <x:c r="AN190" s="32" t="str">
        <x:v>N/A</x:v>
      </x:c>
      <x:c r="AO190" s="32" t="str">
        <x:v>N/A</x:v>
      </x:c>
      <x:c r="AP190" s="32" t="str">
        <x:v>N/A</x:v>
      </x:c>
      <x:c r="AQ190" s="32" t="str">
        <x:v>판단불가</x:v>
      </x:c>
      <x:c r="AR190" s="32" t="str">
        <x:v>NOT_APPLICABLE</x:v>
      </x:c>
      <x:c r="AS190" s="32" t="str">
        <x:v>MEDIUM</x:v>
      </x:c>
      <x:c r="AT190" s="33" t="str">
        <x:v>기존 자동 범위 판정에서 KOSIS 직접 검증 대상이 아닌 것으로 분류됨.</x:v>
      </x:c>
      <x:c r="AU190" s="32" t="str">
        <x:v>N/A</x:v>
      </x:c>
      <x:c r="AV190" s="32" t="n">
        <x:v>46239.28157407408</x:v>
      </x:c>
      <x:c r="AW190" s="32" t="str">
        <x:v>KOSIS_MCP_AUTO_V3</x:v>
      </x:c>
      <x:c r="AX190" s="32" t="str">
        <x:v>N</x:v>
      </x:c>
    </x:row>
    <x:row r="191">
      <x:c r="A191" s="32" t="str">
        <x:v>A2426-C003</x:v>
      </x:c>
      <x:c r="B191" s="32" t="str">
        <x:v>A2426-C003-m1</x:v>
      </x:c>
      <x:c r="C191" s="32" t="str">
        <x:v>A2426</x:v>
      </x:c>
      <x:c r="D191" s="32" t="str">
        <x:v>국내 주식형 펀드 주간 설정액, 3개월 만에 최대 증가 폭</x:v>
      </x:c>
      <x:c r="E191" s="32" t="str">
        <x:v>2025-07-06</x:v>
      </x:c>
      <x:c r="F191" s="32" t="str">
        <x:v>https://www.chosun.com/economy/money/2025/07/06/DQY4UVHVL2IYBWR2FELGTNX3QU</x:v>
      </x:c>
      <x:c r="G191" s="33" t="str">
        <x:v>15:40 0 국내 주식형 펀드 설정액이 일주일 새 6000억원 넘게 늘면서 3개월 만에 최대 증가 폭을 기록했다.</x:v>
      </x:c>
      <x:c r="H191" s="32" t="str">
        <x:v>6000억원</x:v>
      </x:c>
      <x:c r="I191" s="32" t="str">
        <x:v>KOSIS_VALUE</x:v>
      </x:c>
      <x:c r="J191" s="32" t="str">
        <x:v>국내공식통계</x:v>
      </x:c>
      <x:c r="K191" s="32" t="str">
        <x:v>hcx</x:v>
      </x:c>
      <x:c r="L191" s="32" t="str">
        <x:v>현재값</x:v>
      </x:c>
      <x:c r="M191" s="32" t="str">
        <x:v>주식형 펀드 설정액</x:v>
      </x:c>
      <x:c r="N191" s="32" t="str">
        <x:v>-</x:v>
      </x:c>
      <x:c r="O191" s="32" t="str">
        <x:v>6E+11</x:v>
      </x:c>
      <x:c r="P191" s="32" t="str">
        <x:v>원</x:v>
      </x:c>
      <x:c r="Q191" s="32" t="str">
        <x:v>202507</x:v>
      </x:c>
      <x:c r="R191" s="32" t="str">
        <x:v>M</x:v>
      </x:c>
      <x:c r="S191" s="32" t="str">
        <x:v>N</x:v>
      </x:c>
      <x:c r="T191" s="32" t="str">
        <x:v>N</x:v>
      </x:c>
      <x:c r="U191" s="32" t="str">
        <x:v>N</x:v>
      </x:c>
      <x:c r="V191" s="32" t="str">
        <x:v>MEASUREMENT_ERROR</x:v>
      </x:c>
      <x:c r="W191" s="32" t="str">
        <x:v>N/A</x:v>
      </x:c>
      <x:c r="X191" s="32" t="str">
        <x:v>N/A</x:v>
      </x:c>
      <x:c r="Y191" s="32" t="str">
        <x:v>N/A</x:v>
      </x:c>
      <x:c r="Z191" s="32" t="str">
        <x:v>N/A</x:v>
      </x:c>
      <x:c r="AA191" s="32" t="str">
        <x:v>N/A</x:v>
      </x:c>
      <x:c r="AB191" s="32" t="str">
        <x:v>N/A</x:v>
      </x:c>
      <x:c r="AC191" s="32" t="str">
        <x:v>N/A</x:v>
      </x:c>
      <x:c r="AD191" s="32" t="str">
        <x:v>N/A</x:v>
      </x:c>
      <x:c r="AE191" s="32" t="str">
        <x:v>N/A</x:v>
      </x:c>
      <x:c r="AF191" s="32" t="str">
        <x:v>N/A</x:v>
      </x:c>
      <x:c r="AG191" s="32" t="str">
        <x:v>N/A</x:v>
      </x:c>
      <x:c r="AH191" s="32" t="str">
        <x:v>N/A</x:v>
      </x:c>
      <x:c r="AI191" s="32" t="str">
        <x:v>N/A</x:v>
      </x:c>
      <x:c r="AJ191" s="32" t="str">
        <x:v>N/A</x:v>
      </x:c>
      <x:c r="AK191" s="32" t="str">
        <x:v>N/A</x:v>
      </x:c>
      <x:c r="AL191" s="32" t="str">
        <x:v>N/A</x:v>
      </x:c>
      <x:c r="AM191" s="32" t="str">
        <x:v>N/A</x:v>
      </x:c>
      <x:c r="AN191" s="32" t="str">
        <x:v>N/A</x:v>
      </x:c>
      <x:c r="AO191" s="32" t="str">
        <x:v>N/A</x:v>
      </x:c>
      <x:c r="AP191" s="32" t="str">
        <x:v>N/A</x:v>
      </x:c>
      <x:c r="AQ191" s="32" t="str">
        <x:v>판단불가</x:v>
      </x:c>
      <x:c r="AR191" s="32" t="str">
        <x:v>NOT_APPLICABLE</x:v>
      </x:c>
      <x:c r="AS191" s="32" t="str">
        <x:v>MEDIUM</x:v>
      </x:c>
      <x:c r="AT191" s="33" t="str">
        <x:v>기존 자동 측정 규칙에서 측정값 추출 오류로 분류되어 KOSIS 골드 좌표를 부여하지 않음.</x:v>
      </x:c>
      <x:c r="AU191" s="32" t="str">
        <x:v>N/A</x:v>
      </x:c>
      <x:c r="AV191" s="32" t="n">
        <x:v>46239.28157407408</x:v>
      </x:c>
      <x:c r="AW191" s="32" t="str">
        <x:v>KOSIS_MCP_AUTO_V3</x:v>
      </x:c>
      <x:c r="AX191" s="32" t="str">
        <x:v>N</x:v>
      </x:c>
    </x:row>
    <x:row r="192">
      <x:c r="A192" s="32" t="str">
        <x:v>A2568-C004</x:v>
      </x:c>
      <x:c r="B192" s="32" t="str">
        <x:v>A2568-C004-m1</x:v>
      </x:c>
      <x:c r="C192" s="32" t="str">
        <x:v>A2568</x:v>
      </x:c>
      <x:c r="D192" s="32" t="str">
        <x:v>우리나라 가구당 순자산 약 6억원, 주택이 절반 이상 차지...전체 국민순자산은 2경4105조원으로 집계</x:v>
      </x:c>
      <x:c r="E192" s="32" t="str">
        <x:v>2025-07-17</x:v>
      </x:c>
      <x:c r="F192" s="32" t="str">
        <x:v>https://www.chosun.com/economy/economy_general/2025/07/17/NK56CBTS5BH4THD2J2OCG5PQZI</x:v>
      </x:c>
      <x:c r="G192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2" s="32" t="str">
        <x:v>2218만 가구</x:v>
      </x:c>
      <x:c r="I192" s="32" t="str">
        <x:v>KOSIS_VALUE</x:v>
      </x:c>
      <x:c r="J192" s="32" t="str">
        <x:v>국내공식통계</x:v>
      </x:c>
      <x:c r="K192" s="32" t="str">
        <x:v>hcx</x:v>
      </x:c>
      <x:c r="L192" s="32" t="str">
        <x:v>현재값</x:v>
      </x:c>
      <x:c r="M192" s="32" t="str">
        <x:v>가구 수</x:v>
      </x:c>
      <x:c r="N192" s="32" t="str">
        <x:v>-</x:v>
      </x:c>
      <x:c r="O192" s="32" t="str">
        <x:v>22180000</x:v>
      </x:c>
      <x:c r="P192" s="32" t="str">
        <x:v>가구</x:v>
      </x:c>
      <x:c r="Q192" s="32" t="str">
        <x:v>2024</x:v>
      </x:c>
      <x:c r="R192" s="32" t="str">
        <x:v>Y</x:v>
      </x:c>
      <x:c r="S192" s="32" t="str">
        <x:v>N</x:v>
      </x:c>
      <x:c r="T192" s="32" t="str">
        <x:v>Y</x:v>
      </x:c>
      <x:c r="U192" s="32" t="str">
        <x:v>N</x:v>
      </x:c>
      <x:c r="V192" s="32" t="str">
        <x:v>MCP_NOT_VERIFIABLE</x:v>
      </x:c>
      <x:c r="W192" s="32" t="str">
        <x:v>N/A</x:v>
      </x:c>
      <x:c r="X192" s="32" t="str">
        <x:v>N/A</x:v>
      </x:c>
      <x:c r="Y192" s="32" t="str">
        <x:v>N/A</x:v>
      </x:c>
      <x:c r="Z192" s="32" t="str">
        <x:v>N/A</x:v>
      </x:c>
      <x:c r="AA192" s="32" t="str">
        <x:v>N/A</x:v>
      </x:c>
      <x:c r="AB192" s="32" t="str">
        <x:v>N/A</x:v>
      </x:c>
      <x:c r="AC192" s="32" t="str">
        <x:v>N/A</x:v>
      </x:c>
      <x:c r="AD192" s="32" t="str">
        <x:v>N/A</x:v>
      </x:c>
      <x:c r="AE192" s="32" t="str">
        <x:v>N/A</x:v>
      </x:c>
      <x:c r="AF192" s="32" t="str">
        <x:v>N/A</x:v>
      </x:c>
      <x:c r="AG192" s="32" t="str">
        <x:v>N/A</x:v>
      </x:c>
      <x:c r="AH192" s="32" t="str">
        <x:v>N/A</x:v>
      </x:c>
      <x:c r="AI192" s="32" t="str">
        <x:v>N/A</x:v>
      </x:c>
      <x:c r="AJ192" s="32" t="str">
        <x:v>N/A</x:v>
      </x:c>
      <x:c r="AK192" s="32" t="str">
        <x:v>N/A</x:v>
      </x:c>
      <x:c r="AL192" s="32" t="str">
        <x:v>N/A</x:v>
      </x:c>
      <x:c r="AM192" s="32" t="str">
        <x:v>N/A</x:v>
      </x:c>
      <x:c r="AN192" s="32" t="str">
        <x:v>N/A</x:v>
      </x:c>
      <x:c r="AO192" s="32" t="str">
        <x:v>N/A</x:v>
      </x:c>
      <x:c r="AP192" s="32" t="str">
        <x:v>N/A</x:v>
      </x:c>
      <x:c r="AQ192" s="32" t="str">
        <x:v>판단불가</x:v>
      </x:c>
      <x:c r="AR192" s="32" t="str">
        <x:v>NOT_APPLICABLE</x:v>
      </x:c>
      <x:c r="AS192" s="32" t="str">
        <x:v>HIGH</x:v>
      </x:c>
      <x:c r="AT192" s="33" t="str">
        <x:v>가구 수는 가계순자산 산출에 사용한 기사 분모로 국민계정 기준과 동일한 KOSIS 좌표를 확정하지 못함.</x:v>
      </x:c>
      <x:c r="AU192" s="32" t="str">
        <x:v>N/A</x:v>
      </x:c>
      <x:c r="AV192" s="32" t="n">
        <x:v>46239.28157407408</x:v>
      </x:c>
      <x:c r="AW192" s="32" t="str">
        <x:v>KOSIS_MCP_AUTO_V3</x:v>
      </x:c>
      <x:c r="AX192" s="32" t="str">
        <x:v>N</x:v>
      </x:c>
    </x:row>
    <x:row r="193">
      <x:c r="A193" s="32" t="str">
        <x:v>A2568-C004</x:v>
      </x:c>
      <x:c r="B193" s="32" t="str">
        <x:v>A2568-C004-m2</x:v>
      </x:c>
      <x:c r="C193" s="32" t="str">
        <x:v>A2568</x:v>
      </x:c>
      <x:c r="D193" s="32" t="str">
        <x:v>우리나라 가구당 순자산 약 6억원, 주택이 절반 이상 차지...전체 국민순자산은 2경4105조원으로 집계</x:v>
      </x:c>
      <x:c r="E193" s="32" t="str">
        <x:v>2025-07-17</x:v>
      </x:c>
      <x:c r="F193" s="32" t="str">
        <x:v>https://www.chosun.com/economy/economy_general/2025/07/17/NK56CBTS5BH4THD2J2OCG5PQZI</x:v>
      </x:c>
      <x:c r="G193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3" s="32" t="str">
        <x:v>2.40%</x:v>
      </x:c>
      <x:c r="I193" s="32" t="str">
        <x:v>KOSIS_VALUE</x:v>
      </x:c>
      <x:c r="J193" s="32" t="str">
        <x:v>국내공식통계</x:v>
      </x:c>
      <x:c r="K193" s="32" t="str">
        <x:v>hcx</x:v>
      </x:c>
      <x:c r="L193" s="32" t="str">
        <x:v>증감률</x:v>
      </x:c>
      <x:c r="M193" s="32" t="str">
        <x:v>가구당 가계순자산 증감률</x:v>
      </x:c>
      <x:c r="N193" s="32" t="str">
        <x:v>-</x:v>
      </x:c>
      <x:c r="O193" s="32" t="str">
        <x:v>2.4</x:v>
      </x:c>
      <x:c r="P193" s="32" t="str">
        <x:v>%</x:v>
      </x:c>
      <x:c r="Q193" s="32" t="str">
        <x:v>2024</x:v>
      </x:c>
      <x:c r="R193" s="32" t="str">
        <x:v>Y</x:v>
      </x:c>
      <x:c r="S193" s="32" t="str">
        <x:v>N</x:v>
      </x:c>
      <x:c r="T193" s="32" t="str">
        <x:v>Y</x:v>
      </x:c>
      <x:c r="U193" s="32" t="str">
        <x:v>N</x:v>
      </x:c>
      <x:c r="V193" s="32" t="str">
        <x:v>MCP_NOT_VERIFIABLE</x:v>
      </x:c>
      <x:c r="W193" s="32" t="str">
        <x:v>N/A</x:v>
      </x:c>
      <x:c r="X193" s="32" t="str">
        <x:v>N/A</x:v>
      </x:c>
      <x:c r="Y193" s="32" t="str">
        <x:v>N/A</x:v>
      </x:c>
      <x:c r="Z193" s="32" t="str">
        <x:v>N/A</x:v>
      </x:c>
      <x:c r="AA193" s="32" t="str">
        <x:v>N/A</x:v>
      </x:c>
      <x:c r="AB193" s="32" t="str">
        <x:v>N/A</x:v>
      </x:c>
      <x:c r="AC193" s="32" t="str">
        <x:v>N/A</x:v>
      </x:c>
      <x:c r="AD193" s="32" t="str">
        <x:v>N/A</x:v>
      </x:c>
      <x:c r="AE193" s="32" t="str">
        <x:v>N/A</x:v>
      </x:c>
      <x:c r="AF193" s="32" t="str">
        <x:v>N/A</x:v>
      </x:c>
      <x:c r="AG193" s="32" t="str">
        <x:v>N/A</x:v>
      </x:c>
      <x:c r="AH193" s="32" t="str">
        <x:v>N/A</x:v>
      </x:c>
      <x:c r="AI193" s="32" t="str">
        <x:v>N/A</x:v>
      </x:c>
      <x:c r="AJ193" s="32" t="str">
        <x:v>N/A</x:v>
      </x:c>
      <x:c r="AK193" s="32" t="str">
        <x:v>N/A</x:v>
      </x:c>
      <x:c r="AL193" s="32" t="str">
        <x:v>N/A</x:v>
      </x:c>
      <x:c r="AM193" s="32" t="str">
        <x:v>N/A</x:v>
      </x:c>
      <x:c r="AN193" s="32" t="str">
        <x:v>N/A</x:v>
      </x:c>
      <x:c r="AO193" s="32" t="str">
        <x:v>N/A</x:v>
      </x:c>
      <x:c r="AP193" s="32" t="str">
        <x:v>N/A</x:v>
      </x:c>
      <x:c r="AQ193" s="32" t="str">
        <x:v>판단불가</x:v>
      </x:c>
      <x:c r="AR193" s="32" t="str">
        <x:v>NOT_APPLICABLE</x:v>
      </x:c>
      <x:c r="AS193" s="32" t="str">
        <x:v>HIGH</x:v>
      </x:c>
      <x:c r="AT193" s="33" t="str">
        <x:v>가구당 가계순자산 증감률은 국민대차대조표와 가구 수를 결합한 파생값임.</x:v>
      </x:c>
      <x:c r="AU193" s="32" t="str">
        <x:v>N/A</x:v>
      </x:c>
      <x:c r="AV193" s="32" t="n">
        <x:v>46239.28157407408</x:v>
      </x:c>
      <x:c r="AW193" s="32" t="str">
        <x:v>KOSIS_MCP_AUTO_V3</x:v>
      </x:c>
      <x:c r="AX193" s="32" t="str">
        <x:v>N</x:v>
      </x:c>
    </x:row>
    <x:row r="194">
      <x:c r="A194" s="32" t="str">
        <x:v>A2568-C004</x:v>
      </x:c>
      <x:c r="B194" s="32" t="str">
        <x:v>A2568-C004-m3</x:v>
      </x:c>
      <x:c r="C194" s="32" t="str">
        <x:v>A2568</x:v>
      </x:c>
      <x:c r="D194" s="32" t="str">
        <x:v>우리나라 가구당 순자산 약 6억원, 주택이 절반 이상 차지...전체 국민순자산은 2경4105조원으로 집계</x:v>
      </x:c>
      <x:c r="E194" s="32" t="str">
        <x:v>2025-07-17</x:v>
      </x:c>
      <x:c r="F194" s="32" t="str">
        <x:v>https://www.chosun.com/economy/economy_general/2025/07/17/NK56CBTS5BH4THD2J2OCG5PQZI</x:v>
      </x:c>
      <x:c r="G194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4" s="32" t="str">
        <x:v>5억8916만원</x:v>
      </x:c>
      <x:c r="I194" s="32" t="str">
        <x:v>KOSIS_VALUE</x:v>
      </x:c>
      <x:c r="J194" s="32" t="str">
        <x:v>국내공식통계</x:v>
      </x:c>
      <x:c r="K194" s="32" t="str">
        <x:v>hcx</x:v>
      </x:c>
      <x:c r="L194" s="32" t="str">
        <x:v>현재값</x:v>
      </x:c>
      <x:c r="M194" s="32" t="str">
        <x:v>가구당 가계순자산</x:v>
      </x:c>
      <x:c r="N194" s="32" t="str">
        <x:v>-</x:v>
      </x:c>
      <x:c r="O194" s="32" t="str">
        <x:v>589160000</x:v>
      </x:c>
      <x:c r="P194" s="32" t="str">
        <x:v>원</x:v>
      </x:c>
      <x:c r="Q194" s="32" t="str">
        <x:v>2024</x:v>
      </x:c>
      <x:c r="R194" s="32" t="str">
        <x:v>Y</x:v>
      </x:c>
      <x:c r="S194" s="32" t="str">
        <x:v>N</x:v>
      </x:c>
      <x:c r="T194" s="32" t="str">
        <x:v>Y</x:v>
      </x:c>
      <x:c r="U194" s="32" t="str">
        <x:v>N</x:v>
      </x:c>
      <x:c r="V194" s="32" t="str">
        <x:v>MCP_NOT_VERIFIABLE</x:v>
      </x:c>
      <x:c r="W194" s="32" t="str">
        <x:v>N/A</x:v>
      </x:c>
      <x:c r="X194" s="32" t="str">
        <x:v>N/A</x:v>
      </x:c>
      <x:c r="Y194" s="32" t="str">
        <x:v>N/A</x:v>
      </x:c>
      <x:c r="Z194" s="32" t="str">
        <x:v>N/A</x:v>
      </x:c>
      <x:c r="AA194" s="32" t="str">
        <x:v>N/A</x:v>
      </x:c>
      <x:c r="AB194" s="32" t="str">
        <x:v>N/A</x:v>
      </x:c>
      <x:c r="AC194" s="32" t="str">
        <x:v>N/A</x:v>
      </x:c>
      <x:c r="AD194" s="32" t="str">
        <x:v>N/A</x:v>
      </x:c>
      <x:c r="AE194" s="32" t="str">
        <x:v>N/A</x:v>
      </x:c>
      <x:c r="AF194" s="32" t="str">
        <x:v>N/A</x:v>
      </x:c>
      <x:c r="AG194" s="32" t="str">
        <x:v>N/A</x:v>
      </x:c>
      <x:c r="AH194" s="32" t="str">
        <x:v>N/A</x:v>
      </x:c>
      <x:c r="AI194" s="32" t="str">
        <x:v>N/A</x:v>
      </x:c>
      <x:c r="AJ194" s="32" t="str">
        <x:v>N/A</x:v>
      </x:c>
      <x:c r="AK194" s="32" t="str">
        <x:v>N/A</x:v>
      </x:c>
      <x:c r="AL194" s="32" t="str">
        <x:v>N/A</x:v>
      </x:c>
      <x:c r="AM194" s="32" t="str">
        <x:v>N/A</x:v>
      </x:c>
      <x:c r="AN194" s="32" t="str">
        <x:v>N/A</x:v>
      </x:c>
      <x:c r="AO194" s="32" t="str">
        <x:v>N/A</x:v>
      </x:c>
      <x:c r="AP194" s="32" t="str">
        <x:v>N/A</x:v>
      </x:c>
      <x:c r="AQ194" s="32" t="str">
        <x:v>판단불가</x:v>
      </x:c>
      <x:c r="AR194" s="32" t="str">
        <x:v>NOT_APPLICABLE</x:v>
      </x:c>
      <x:c r="AS194" s="32" t="str">
        <x:v>HIGH</x:v>
      </x:c>
      <x:c r="AT194" s="33" t="str">
        <x:v>가구당 가계순자산은 국민대차대조표와 가구 수를 결합한 파생값임.</x:v>
      </x:c>
      <x:c r="AU194" s="32" t="str">
        <x:v>N/A</x:v>
      </x:c>
      <x:c r="AV194" s="32" t="n">
        <x:v>46239.28157407408</x:v>
      </x:c>
      <x:c r="AW194" s="32" t="str">
        <x:v>KOSIS_MCP_AUTO_V3</x:v>
      </x:c>
      <x:c r="AX194" s="32" t="str">
        <x:v>N</x:v>
      </x:c>
    </x:row>
    <x:row r="195">
      <x:c r="A195" s="32" t="str">
        <x:v>A2568-C004</x:v>
      </x:c>
      <x:c r="B195" s="32" t="str">
        <x:v>A2568-C004-m4</x:v>
      </x:c>
      <x:c r="C195" s="32" t="str">
        <x:v>A2568</x:v>
      </x:c>
      <x:c r="D195" s="32" t="str">
        <x:v>우리나라 가구당 순자산 약 6억원, 주택이 절반 이상 차지...전체 국민순자산은 2경4105조원으로 집계</x:v>
      </x:c>
      <x:c r="E195" s="32" t="str">
        <x:v>2025-07-17</x:v>
      </x:c>
      <x:c r="F195" s="32" t="str">
        <x:v>https://www.chosun.com/economy/economy_general/2025/07/17/NK56CBTS5BH4THD2J2OCG5PQZI</x:v>
      </x:c>
      <x:c r="G195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5" s="32" t="str">
        <x:v>5175만명</x:v>
      </x:c>
      <x:c r="I195" s="32" t="str">
        <x:v>KOSIS_VALUE</x:v>
      </x:c>
      <x:c r="J195" s="32" t="str">
        <x:v>국내공식통계</x:v>
      </x:c>
      <x:c r="K195" s="32" t="str">
        <x:v>hcx</x:v>
      </x:c>
      <x:c r="L195" s="32" t="str">
        <x:v>현재값</x:v>
      </x:c>
      <x:c r="M195" s="32" t="str">
        <x:v>인구</x:v>
      </x:c>
      <x:c r="N195" s="32" t="str">
        <x:v>-</x:v>
      </x:c>
      <x:c r="O195" s="32" t="str">
        <x:v>51750000</x:v>
      </x:c>
      <x:c r="P195" s="32" t="str">
        <x:v>명</x:v>
      </x:c>
      <x:c r="Q195" s="32" t="str">
        <x:v>2024</x:v>
      </x:c>
      <x:c r="R195" s="32" t="str">
        <x:v>Y</x:v>
      </x:c>
      <x:c r="S195" s="32" t="str">
        <x:v>N</x:v>
      </x:c>
      <x:c r="T195" s="32" t="str">
        <x:v>Y</x:v>
      </x:c>
      <x:c r="U195" s="32" t="str">
        <x:v>N</x:v>
      </x:c>
      <x:c r="V195" s="32" t="str">
        <x:v>MCP_NOT_VERIFIABLE</x:v>
      </x:c>
      <x:c r="W195" s="32" t="str">
        <x:v>N/A</x:v>
      </x:c>
      <x:c r="X195" s="32" t="str">
        <x:v>N/A</x:v>
      </x:c>
      <x:c r="Y195" s="32" t="str">
        <x:v>N/A</x:v>
      </x:c>
      <x:c r="Z195" s="32" t="str">
        <x:v>N/A</x:v>
      </x:c>
      <x:c r="AA195" s="32" t="str">
        <x:v>N/A</x:v>
      </x:c>
      <x:c r="AB195" s="32" t="str">
        <x:v>N/A</x:v>
      </x:c>
      <x:c r="AC195" s="32" t="str">
        <x:v>N/A</x:v>
      </x:c>
      <x:c r="AD195" s="32" t="str">
        <x:v>N/A</x:v>
      </x:c>
      <x:c r="AE195" s="32" t="str">
        <x:v>N/A</x:v>
      </x:c>
      <x:c r="AF195" s="32" t="str">
        <x:v>N/A</x:v>
      </x:c>
      <x:c r="AG195" s="32" t="str">
        <x:v>N/A</x:v>
      </x:c>
      <x:c r="AH195" s="32" t="str">
        <x:v>N/A</x:v>
      </x:c>
      <x:c r="AI195" s="32" t="str">
        <x:v>N/A</x:v>
      </x:c>
      <x:c r="AJ195" s="32" t="str">
        <x:v>N/A</x:v>
      </x:c>
      <x:c r="AK195" s="32" t="str">
        <x:v>N/A</x:v>
      </x:c>
      <x:c r="AL195" s="32" t="str">
        <x:v>N/A</x:v>
      </x:c>
      <x:c r="AM195" s="32" t="str">
        <x:v>N/A</x:v>
      </x:c>
      <x:c r="AN195" s="32" t="str">
        <x:v>N/A</x:v>
      </x:c>
      <x:c r="AO195" s="32" t="str">
        <x:v>N/A</x:v>
      </x:c>
      <x:c r="AP195" s="32" t="str">
        <x:v>N/A</x:v>
      </x:c>
      <x:c r="AQ195" s="32" t="str">
        <x:v>판단불가</x:v>
      </x:c>
      <x:c r="AR195" s="32" t="str">
        <x:v>NOT_APPLICABLE</x:v>
      </x:c>
      <x:c r="AS195" s="32" t="str">
        <x:v>HIGH</x:v>
      </x:c>
      <x:c r="AT195" s="33" t="str">
        <x:v>인구는 1인당 가계순자산 산출용 기사 분모로 기준인구 정의를 단일 좌표로 확정하지 못함.</x:v>
      </x:c>
      <x:c r="AU195" s="32" t="str">
        <x:v>N/A</x:v>
      </x:c>
      <x:c r="AV195" s="32" t="n">
        <x:v>46239.28157407408</x:v>
      </x:c>
      <x:c r="AW195" s="32" t="str">
        <x:v>KOSIS_MCP_AUTO_V3</x:v>
      </x:c>
      <x:c r="AX195" s="32" t="str">
        <x:v>N</x:v>
      </x:c>
    </x:row>
    <x:row r="196">
      <x:c r="A196" s="32" t="str">
        <x:v>A2568-C004</x:v>
      </x:c>
      <x:c r="B196" s="32" t="str">
        <x:v>A2568-C004-m5</x:v>
      </x:c>
      <x:c r="C196" s="32" t="str">
        <x:v>A2568</x:v>
      </x:c>
      <x:c r="D196" s="32" t="str">
        <x:v>우리나라 가구당 순자산 약 6억원, 주택이 절반 이상 차지...전체 국민순자산은 2경4105조원으로 집계</x:v>
      </x:c>
      <x:c r="E196" s="32" t="str">
        <x:v>2025-07-17</x:v>
      </x:c>
      <x:c r="F196" s="32" t="str">
        <x:v>https://www.chosun.com/economy/economy_general/2025/07/17/NK56CBTS5BH4THD2J2OCG5PQZI</x:v>
      </x:c>
      <x:c r="G196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6" s="32" t="str">
        <x:v>3.30%</x:v>
      </x:c>
      <x:c r="I196" s="32" t="str">
        <x:v>KOSIS_VALUE</x:v>
      </x:c>
      <x:c r="J196" s="32" t="str">
        <x:v>국내공식통계</x:v>
      </x:c>
      <x:c r="K196" s="32" t="str">
        <x:v>hcx</x:v>
      </x:c>
      <x:c r="L196" s="32" t="str">
        <x:v>증감률</x:v>
      </x:c>
      <x:c r="M196" s="32" t="str">
        <x:v>1인당 가계순자산 증감률</x:v>
      </x:c>
      <x:c r="N196" s="32" t="str">
        <x:v>-</x:v>
      </x:c>
      <x:c r="O196" s="32" t="str">
        <x:v>3.3</x:v>
      </x:c>
      <x:c r="P196" s="32" t="str">
        <x:v>%</x:v>
      </x:c>
      <x:c r="Q196" s="32" t="str">
        <x:v>2024</x:v>
      </x:c>
      <x:c r="R196" s="32" t="str">
        <x:v>Y</x:v>
      </x:c>
      <x:c r="S196" s="32" t="str">
        <x:v>N</x:v>
      </x:c>
      <x:c r="T196" s="32" t="str">
        <x:v>Y</x:v>
      </x:c>
      <x:c r="U196" s="32" t="str">
        <x:v>N</x:v>
      </x:c>
      <x:c r="V196" s="32" t="str">
        <x:v>MCP_NOT_VERIFIABLE</x:v>
      </x:c>
      <x:c r="W196" s="32" t="str">
        <x:v>N/A</x:v>
      </x:c>
      <x:c r="X196" s="32" t="str">
        <x:v>N/A</x:v>
      </x:c>
      <x:c r="Y196" s="32" t="str">
        <x:v>N/A</x:v>
      </x:c>
      <x:c r="Z196" s="32" t="str">
        <x:v>N/A</x:v>
      </x:c>
      <x:c r="AA196" s="32" t="str">
        <x:v>N/A</x:v>
      </x:c>
      <x:c r="AB196" s="32" t="str">
        <x:v>N/A</x:v>
      </x:c>
      <x:c r="AC196" s="32" t="str">
        <x:v>N/A</x:v>
      </x:c>
      <x:c r="AD196" s="32" t="str">
        <x:v>N/A</x:v>
      </x:c>
      <x:c r="AE196" s="32" t="str">
        <x:v>N/A</x:v>
      </x:c>
      <x:c r="AF196" s="32" t="str">
        <x:v>N/A</x:v>
      </x:c>
      <x:c r="AG196" s="32" t="str">
        <x:v>N/A</x:v>
      </x:c>
      <x:c r="AH196" s="32" t="str">
        <x:v>N/A</x:v>
      </x:c>
      <x:c r="AI196" s="32" t="str">
        <x:v>N/A</x:v>
      </x:c>
      <x:c r="AJ196" s="32" t="str">
        <x:v>N/A</x:v>
      </x:c>
      <x:c r="AK196" s="32" t="str">
        <x:v>N/A</x:v>
      </x:c>
      <x:c r="AL196" s="32" t="str">
        <x:v>N/A</x:v>
      </x:c>
      <x:c r="AM196" s="32" t="str">
        <x:v>N/A</x:v>
      </x:c>
      <x:c r="AN196" s="32" t="str">
        <x:v>N/A</x:v>
      </x:c>
      <x:c r="AO196" s="32" t="str">
        <x:v>N/A</x:v>
      </x:c>
      <x:c r="AP196" s="32" t="str">
        <x:v>N/A</x:v>
      </x:c>
      <x:c r="AQ196" s="32" t="str">
        <x:v>판단불가</x:v>
      </x:c>
      <x:c r="AR196" s="32" t="str">
        <x:v>NOT_APPLICABLE</x:v>
      </x:c>
      <x:c r="AS196" s="32" t="str">
        <x:v>HIGH</x:v>
      </x:c>
      <x:c r="AT196" s="33" t="str">
        <x:v>1인당 가계순자산 증감률은 국민대차대조표와 인구를 결합한 파생값임.</x:v>
      </x:c>
      <x:c r="AU196" s="32" t="str">
        <x:v>N/A</x:v>
      </x:c>
      <x:c r="AV196" s="32" t="n">
        <x:v>46239.28157407408</x:v>
      </x:c>
      <x:c r="AW196" s="32" t="str">
        <x:v>KOSIS_MCP_AUTO_V3</x:v>
      </x:c>
      <x:c r="AX196" s="32" t="str">
        <x:v>N</x:v>
      </x:c>
    </x:row>
    <x:row r="197">
      <x:c r="A197" s="32" t="str">
        <x:v>A2568-C004</x:v>
      </x:c>
      <x:c r="B197" s="32" t="str">
        <x:v>A2568-C004-m6</x:v>
      </x:c>
      <x:c r="C197" s="32" t="str">
        <x:v>A2568</x:v>
      </x:c>
      <x:c r="D197" s="32" t="str">
        <x:v>우리나라 가구당 순자산 약 6억원, 주택이 절반 이상 차지...전체 국민순자산은 2경4105조원으로 집계</x:v>
      </x:c>
      <x:c r="E197" s="32" t="str">
        <x:v>2025-07-17</x:v>
      </x:c>
      <x:c r="F197" s="32" t="str">
        <x:v>https://www.chosun.com/economy/economy_general/2025/07/17/NK56CBTS5BH4THD2J2OCG5PQZI</x:v>
      </x:c>
      <x:c r="G197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7" s="32" t="str">
        <x:v>2억5251만원</x:v>
      </x:c>
      <x:c r="I197" s="32" t="str">
        <x:v>KOSIS_VALUE</x:v>
      </x:c>
      <x:c r="J197" s="32" t="str">
        <x:v>국내공식통계</x:v>
      </x:c>
      <x:c r="K197" s="32" t="str">
        <x:v>hcx</x:v>
      </x:c>
      <x:c r="L197" s="32" t="str">
        <x:v>현재값</x:v>
      </x:c>
      <x:c r="M197" s="32" t="str">
        <x:v>1인당 가계순자산</x:v>
      </x:c>
      <x:c r="N197" s="32" t="str">
        <x:v>-</x:v>
      </x:c>
      <x:c r="O197" s="32" t="str">
        <x:v>252510000</x:v>
      </x:c>
      <x:c r="P197" s="32" t="str">
        <x:v>원</x:v>
      </x:c>
      <x:c r="Q197" s="32" t="str">
        <x:v>2024</x:v>
      </x:c>
      <x:c r="R197" s="32" t="str">
        <x:v>Y</x:v>
      </x:c>
      <x:c r="S197" s="32" t="str">
        <x:v>N</x:v>
      </x:c>
      <x:c r="T197" s="32" t="str">
        <x:v>Y</x:v>
      </x:c>
      <x:c r="U197" s="32" t="str">
        <x:v>N</x:v>
      </x:c>
      <x:c r="V197" s="32" t="str">
        <x:v>MCP_NOT_VERIFIABLE</x:v>
      </x:c>
      <x:c r="W197" s="32" t="str">
        <x:v>N/A</x:v>
      </x:c>
      <x:c r="X197" s="32" t="str">
        <x:v>N/A</x:v>
      </x:c>
      <x:c r="Y197" s="32" t="str">
        <x:v>N/A</x:v>
      </x:c>
      <x:c r="Z197" s="32" t="str">
        <x:v>N/A</x:v>
      </x:c>
      <x:c r="AA197" s="32" t="str">
        <x:v>N/A</x:v>
      </x:c>
      <x:c r="AB197" s="32" t="str">
        <x:v>N/A</x:v>
      </x:c>
      <x:c r="AC197" s="32" t="str">
        <x:v>N/A</x:v>
      </x:c>
      <x:c r="AD197" s="32" t="str">
        <x:v>N/A</x:v>
      </x:c>
      <x:c r="AE197" s="32" t="str">
        <x:v>N/A</x:v>
      </x:c>
      <x:c r="AF197" s="32" t="str">
        <x:v>N/A</x:v>
      </x:c>
      <x:c r="AG197" s="32" t="str">
        <x:v>N/A</x:v>
      </x:c>
      <x:c r="AH197" s="32" t="str">
        <x:v>N/A</x:v>
      </x:c>
      <x:c r="AI197" s="32" t="str">
        <x:v>N/A</x:v>
      </x:c>
      <x:c r="AJ197" s="32" t="str">
        <x:v>N/A</x:v>
      </x:c>
      <x:c r="AK197" s="32" t="str">
        <x:v>N/A</x:v>
      </x:c>
      <x:c r="AL197" s="32" t="str">
        <x:v>N/A</x:v>
      </x:c>
      <x:c r="AM197" s="32" t="str">
        <x:v>N/A</x:v>
      </x:c>
      <x:c r="AN197" s="32" t="str">
        <x:v>N/A</x:v>
      </x:c>
      <x:c r="AO197" s="32" t="str">
        <x:v>N/A</x:v>
      </x:c>
      <x:c r="AP197" s="32" t="str">
        <x:v>N/A</x:v>
      </x:c>
      <x:c r="AQ197" s="32" t="str">
        <x:v>판단불가</x:v>
      </x:c>
      <x:c r="AR197" s="32" t="str">
        <x:v>NOT_APPLICABLE</x:v>
      </x:c>
      <x:c r="AS197" s="32" t="str">
        <x:v>HIGH</x:v>
      </x:c>
      <x:c r="AT197" s="33" t="str">
        <x:v>1인당 가계순자산은 국민대차대조표와 인구를 결합한 파생값임.</x:v>
      </x:c>
      <x:c r="AU197" s="32" t="str">
        <x:v>N/A</x:v>
      </x:c>
      <x:c r="AV197" s="32" t="n">
        <x:v>46239.28157407408</x:v>
      </x:c>
      <x:c r="AW197" s="32" t="str">
        <x:v>KOSIS_MCP_AUTO_V3</x:v>
      </x:c>
      <x:c r="AX197" s="32" t="str">
        <x:v>N</x:v>
      </x:c>
    </x:row>
    <x:row r="198">
      <x:c r="A198" s="32" t="str">
        <x:v>A2598-C002</x:v>
      </x:c>
      <x:c r="B198" s="32" t="str">
        <x:v>A2598-C002-m1</x:v>
      </x:c>
      <x:c r="C198" s="32" t="str">
        <x:v>A2598</x:v>
      </x:c>
      <x:c r="D198" s="32" t="str">
        <x:v>정부 시스템 647개 중 99개 재가동… 복구율 15.3%</x:v>
      </x:c>
      <x:c r="E198" s="32" t="str">
        <x:v>2025-10-01</x:v>
      </x:c>
      <x:c r="F198" s="32" t="str">
        <x:v>https://biz.chosun.com/topics/topics_social/2025/10/01/MYWMEY3NGVHOHKMTGIERFKXSOY/</x:v>
      </x:c>
      <x:c r="G198" s="33" t="str">
        <x:v>복구율 15.3%다.</x:v>
      </x:c>
      <x:c r="H198" s="32" t="str">
        <x:v>15.30%</x:v>
      </x:c>
      <x:c r="I198" s="32" t="str">
        <x:v>KOSIS_VALUE</x:v>
      </x:c>
      <x:c r="J198" s="32" t="str">
        <x:v>국내공식통계</x:v>
      </x:c>
      <x:c r="K198" s="32" t="str">
        <x:v>hcx</x:v>
      </x:c>
      <x:c r="L198" s="32" t="str">
        <x:v>현재값</x:v>
      </x:c>
      <x:c r="M198" s="32" t="str">
        <x:v>복구율</x:v>
      </x:c>
      <x:c r="N198" s="32" t="str">
        <x:v>-</x:v>
      </x:c>
      <x:c r="O198" s="32" t="str">
        <x:v>15.3</x:v>
      </x:c>
      <x:c r="P198" s="32" t="str">
        <x:v>%</x:v>
      </x:c>
      <x:c r="Q198" s="32" t="str">
        <x:v>202510</x:v>
      </x:c>
      <x:c r="R198" s="32" t="str">
        <x:v>M</x:v>
      </x:c>
      <x:c r="S198" s="32" t="str">
        <x:v>N</x:v>
      </x:c>
      <x:c r="T198" s="32" t="str">
        <x:v>Y</x:v>
      </x:c>
      <x:c r="U198" s="32" t="str">
        <x:v>N</x:v>
      </x:c>
      <x:c r="V198" s="32" t="str">
        <x:v>MCP_NOT_VERIFIABLE</x:v>
      </x:c>
      <x:c r="W198" s="32" t="str">
        <x:v>N/A</x:v>
      </x:c>
      <x:c r="X198" s="32" t="str">
        <x:v>N/A</x:v>
      </x:c>
      <x:c r="Y198" s="32" t="str">
        <x:v>N/A</x:v>
      </x:c>
      <x:c r="Z198" s="32" t="str">
        <x:v>N/A</x:v>
      </x:c>
      <x:c r="AA198" s="32" t="str">
        <x:v>N/A</x:v>
      </x:c>
      <x:c r="AB198" s="32" t="str">
        <x:v>N/A</x:v>
      </x:c>
      <x:c r="AC198" s="32" t="str">
        <x:v>N/A</x:v>
      </x:c>
      <x:c r="AD198" s="32" t="str">
        <x:v>N/A</x:v>
      </x:c>
      <x:c r="AE198" s="32" t="str">
        <x:v>N/A</x:v>
      </x:c>
      <x:c r="AF198" s="32" t="str">
        <x:v>N/A</x:v>
      </x:c>
      <x:c r="AG198" s="32" t="str">
        <x:v>N/A</x:v>
      </x:c>
      <x:c r="AH198" s="32" t="str">
        <x:v>N/A</x:v>
      </x:c>
      <x:c r="AI198" s="32" t="str">
        <x:v>N/A</x:v>
      </x:c>
      <x:c r="AJ198" s="32" t="str">
        <x:v>N/A</x:v>
      </x:c>
      <x:c r="AK198" s="32" t="str">
        <x:v>N/A</x:v>
      </x:c>
      <x:c r="AL198" s="32" t="str">
        <x:v>N/A</x:v>
      </x:c>
      <x:c r="AM198" s="32" t="str">
        <x:v>N/A</x:v>
      </x:c>
      <x:c r="AN198" s="32" t="str">
        <x:v>N/A</x:v>
      </x:c>
      <x:c r="AO198" s="32" t="str">
        <x:v>N/A</x:v>
      </x:c>
      <x:c r="AP198" s="32" t="str">
        <x:v>N/A</x:v>
      </x:c>
      <x:c r="AQ198" s="32" t="str">
        <x:v>판단불가</x:v>
      </x:c>
      <x:c r="AR198" s="32" t="str">
        <x:v>NOT_APPLICABLE</x:v>
      </x:c>
      <x:c r="AS198" s="32" t="str">
        <x:v>MEDIUM</x:v>
      </x:c>
      <x:c r="AT198" s="33" t="str">
        <x:v>기존 자동 범위 판정에서 KOSIS 직접 검증 대상이 아닌 것으로 분류됨.</x:v>
      </x:c>
      <x:c r="AU198" s="32" t="str">
        <x:v>N/A</x:v>
      </x:c>
      <x:c r="AV198" s="32" t="n">
        <x:v>46239.28157407408</x:v>
      </x:c>
      <x:c r="AW198" s="32" t="str">
        <x:v>KOSIS_MCP_AUTO_V3</x:v>
      </x:c>
      <x:c r="AX198" s="32" t="str">
        <x:v>N</x:v>
      </x:c>
    </x:row>
    <x:row r="199">
      <x:c r="A199" s="32" t="str">
        <x:v>A2657-C003</x:v>
      </x:c>
      <x:c r="B199" s="32" t="str">
        <x:v>A2657-C003-m1</x:v>
      </x:c>
      <x:c r="C199" s="32" t="str">
        <x:v>A2657</x:v>
      </x:c>
      <x:c r="D199" s="32" t="str">
        <x:v>더 가팔라진 ‘富의 사다리’… 소득계층 상승 17%뿐</x:v>
      </x:c>
      <x:c r="E199" s="32" t="str">
        <x:v>2025-10-28</x:v>
      </x:c>
      <x:c r="F199" s="32" t="str">
        <x:v>https://www.chosun.com/economy/economy_general/2025/10/28/BEESNX7GT5CP5F3KPXWZI7JORQ/</x:v>
      </x:c>
      <x:c r="G199" s="33" t="str">
        <x:v>2022년엔 1분위(소득 하위 20%)였다가 2023년엔 2분위(하위 20~40%) 등으로 올라간 경우를 뜻하는 이 비율은 사회 계층 이동성을 따지는 지표다.</x:v>
      </x:c>
      <x:c r="H199" s="32" t="str">
        <x:v>20%</x:v>
      </x:c>
      <x:c r="I199" s="32" t="str">
        <x:v>KOSIS_VALUE</x:v>
      </x:c>
      <x:c r="J199" s="32" t="str">
        <x:v>국내공식통계</x:v>
      </x:c>
      <x:c r="K199" s="32" t="str">
        <x:v>hcx</x:v>
      </x:c>
      <x:c r="L199" s="32" t="str">
        <x:v>현재값</x:v>
      </x:c>
      <x:c r="M199" s="32" t="str">
        <x:v>소득 1분위</x:v>
      </x:c>
      <x:c r="N199" s="32" t="str">
        <x:v>-</x:v>
      </x:c>
      <x:c r="O199" s="32" t="str">
        <x:v>20</x:v>
      </x:c>
      <x:c r="P199" s="32" t="str">
        <x:v>%</x:v>
      </x:c>
      <x:c r="Q199" s="32" t="str">
        <x:v>2022</x:v>
      </x:c>
      <x:c r="R199" s="32" t="str">
        <x:v>Y</x:v>
      </x:c>
      <x:c r="S199" s="32" t="str">
        <x:v>N</x:v>
      </x:c>
      <x:c r="T199" s="32" t="str">
        <x:v>Y</x:v>
      </x:c>
      <x:c r="U199" s="32" t="str">
        <x:v>N</x:v>
      </x:c>
      <x:c r="V199" s="32" t="str">
        <x:v>MCP_NOT_VERIFIABLE</x:v>
      </x:c>
      <x:c r="W199" s="32" t="str">
        <x:v>N/A</x:v>
      </x:c>
      <x:c r="X199" s="32" t="str">
        <x:v>N/A</x:v>
      </x:c>
      <x:c r="Y199" s="32" t="str">
        <x:v>N/A</x:v>
      </x:c>
      <x:c r="Z199" s="32" t="str">
        <x:v>N/A</x:v>
      </x:c>
      <x:c r="AA199" s="32" t="str">
        <x:v>N/A</x:v>
      </x:c>
      <x:c r="AB199" s="32" t="str">
        <x:v>N/A</x:v>
      </x:c>
      <x:c r="AC199" s="32" t="str">
        <x:v>N/A</x:v>
      </x:c>
      <x:c r="AD199" s="32" t="str">
        <x:v>N/A</x:v>
      </x:c>
      <x:c r="AE199" s="32" t="str">
        <x:v>N/A</x:v>
      </x:c>
      <x:c r="AF199" s="32" t="str">
        <x:v>N/A</x:v>
      </x:c>
      <x:c r="AG199" s="32" t="str">
        <x:v>N/A</x:v>
      </x:c>
      <x:c r="AH199" s="32" t="str">
        <x:v>N/A</x:v>
      </x:c>
      <x:c r="AI199" s="32" t="str">
        <x:v>N/A</x:v>
      </x:c>
      <x:c r="AJ199" s="32" t="str">
        <x:v>N/A</x:v>
      </x:c>
      <x:c r="AK199" s="32" t="str">
        <x:v>N/A</x:v>
      </x:c>
      <x:c r="AL199" s="32" t="str">
        <x:v>N/A</x:v>
      </x:c>
      <x:c r="AM199" s="32" t="str">
        <x:v>N/A</x:v>
      </x:c>
      <x:c r="AN199" s="32" t="str">
        <x:v>N/A</x:v>
      </x:c>
      <x:c r="AO199" s="32" t="str">
        <x:v>N/A</x:v>
      </x:c>
      <x:c r="AP199" s="32" t="str">
        <x:v>N/A</x:v>
      </x:c>
      <x:c r="AQ199" s="32" t="str">
        <x:v>판단불가</x:v>
      </x:c>
      <x:c r="AR199" s="32" t="str">
        <x:v>NOT_APPLICABLE</x:v>
      </x:c>
      <x:c r="AS199" s="32" t="str">
        <x:v>MEDIUM</x:v>
      </x:c>
      <x:c r="AT199" s="33" t="str">
        <x:v>기존 자동 범위 판정에서 KOSIS 직접 검증 대상이 아닌 것으로 분류됨.</x:v>
      </x:c>
      <x:c r="AU199" s="32" t="str">
        <x:v>N/A</x:v>
      </x:c>
      <x:c r="AV199" s="32" t="n">
        <x:v>46239.28157407408</x:v>
      </x:c>
      <x:c r="AW199" s="32" t="str">
        <x:v>KOSIS_MCP_AUTO_V3</x:v>
      </x:c>
      <x:c r="AX199" s="32" t="str">
        <x:v>N</x:v>
      </x:c>
    </x:row>
    <x:row r="200">
      <x:c r="A200" s="32" t="str">
        <x:v>A2657-C003</x:v>
      </x:c>
      <x:c r="B200" s="32" t="str">
        <x:v>A2657-C003-m2</x:v>
      </x:c>
      <x:c r="C200" s="32" t="str">
        <x:v>A2657</x:v>
      </x:c>
      <x:c r="D200" s="32" t="str">
        <x:v>더 가팔라진 ‘富의 사다리’… 소득계층 상승 17%뿐</x:v>
      </x:c>
      <x:c r="E200" s="32" t="str">
        <x:v>2025-10-28</x:v>
      </x:c>
      <x:c r="F200" s="32" t="str">
        <x:v>https://www.chosun.com/economy/economy_general/2025/10/28/BEESNX7GT5CP5F3KPXWZI7JORQ/</x:v>
      </x:c>
      <x:c r="G200" s="33" t="str">
        <x:v>2022년엔 1분위(소득 하위 20%)였다가 2023년엔 2분위(하위 20~40%) 등으로 올라간 경우를 뜻하는 이 비율은 사회 계층 이동성을 따지는 지표다.</x:v>
      </x:c>
      <x:c r="H200" s="32" t="str">
        <x:v>40%</x:v>
      </x:c>
      <x:c r="I200" s="32" t="str">
        <x:v>KOSIS_VALUE</x:v>
      </x:c>
      <x:c r="J200" s="32" t="str">
        <x:v>국내공식통계</x:v>
      </x:c>
      <x:c r="K200" s="32" t="str">
        <x:v>hcx</x:v>
      </x:c>
      <x:c r="L200" s="32" t="str">
        <x:v>현재값</x:v>
      </x:c>
      <x:c r="M200" s="32" t="str">
        <x:v>소득 2분위</x:v>
      </x:c>
      <x:c r="N200" s="32" t="str">
        <x:v>-</x:v>
      </x:c>
      <x:c r="O200" s="32" t="str">
        <x:v>40</x:v>
      </x:c>
      <x:c r="P200" s="32" t="str">
        <x:v>%</x:v>
      </x:c>
      <x:c r="Q200" s="32" t="str">
        <x:v>2023</x:v>
      </x:c>
      <x:c r="R200" s="32" t="str">
        <x:v>Y</x:v>
      </x:c>
      <x:c r="S200" s="32" t="str">
        <x:v>N</x:v>
      </x:c>
      <x:c r="T200" s="32" t="str">
        <x:v>Y</x:v>
      </x:c>
      <x:c r="U200" s="32" t="str">
        <x:v>N</x:v>
      </x:c>
      <x:c r="V200" s="32" t="str">
        <x:v>MCP_NOT_VERIFIABLE</x:v>
      </x:c>
      <x:c r="W200" s="32" t="str">
        <x:v>N/A</x:v>
      </x:c>
      <x:c r="X200" s="32" t="str">
        <x:v>N/A</x:v>
      </x:c>
      <x:c r="Y200" s="32" t="str">
        <x:v>N/A</x:v>
      </x:c>
      <x:c r="Z200" s="32" t="str">
        <x:v>N/A</x:v>
      </x:c>
      <x:c r="AA200" s="32" t="str">
        <x:v>N/A</x:v>
      </x:c>
      <x:c r="AB200" s="32" t="str">
        <x:v>N/A</x:v>
      </x:c>
      <x:c r="AC200" s="32" t="str">
        <x:v>N/A</x:v>
      </x:c>
      <x:c r="AD200" s="32" t="str">
        <x:v>N/A</x:v>
      </x:c>
      <x:c r="AE200" s="32" t="str">
        <x:v>N/A</x:v>
      </x:c>
      <x:c r="AF200" s="32" t="str">
        <x:v>N/A</x:v>
      </x:c>
      <x:c r="AG200" s="32" t="str">
        <x:v>N/A</x:v>
      </x:c>
      <x:c r="AH200" s="32" t="str">
        <x:v>N/A</x:v>
      </x:c>
      <x:c r="AI200" s="32" t="str">
        <x:v>N/A</x:v>
      </x:c>
      <x:c r="AJ200" s="32" t="str">
        <x:v>N/A</x:v>
      </x:c>
      <x:c r="AK200" s="32" t="str">
        <x:v>N/A</x:v>
      </x:c>
      <x:c r="AL200" s="32" t="str">
        <x:v>N/A</x:v>
      </x:c>
      <x:c r="AM200" s="32" t="str">
        <x:v>N/A</x:v>
      </x:c>
      <x:c r="AN200" s="32" t="str">
        <x:v>N/A</x:v>
      </x:c>
      <x:c r="AO200" s="32" t="str">
        <x:v>N/A</x:v>
      </x:c>
      <x:c r="AP200" s="32" t="str">
        <x:v>N/A</x:v>
      </x:c>
      <x:c r="AQ200" s="32" t="str">
        <x:v>판단불가</x:v>
      </x:c>
      <x:c r="AR200" s="32" t="str">
        <x:v>NOT_APPLICABLE</x:v>
      </x:c>
      <x:c r="AS200" s="32" t="str">
        <x:v>MEDIUM</x:v>
      </x:c>
      <x:c r="AT200" s="33" t="str">
        <x:v>기존 자동 범위 판정에서 KOSIS 직접 검증 대상이 아닌 것으로 분류됨.</x:v>
      </x:c>
      <x:c r="AU200" s="32" t="str">
        <x:v>N/A</x:v>
      </x:c>
      <x:c r="AV200" s="32" t="n">
        <x:v>46239.28157407408</x:v>
      </x:c>
      <x:c r="AW200" s="32" t="str">
        <x:v>KOSIS_MCP_AUTO_V3</x:v>
      </x:c>
      <x:c r="AX200" s="32" t="str">
        <x:v>N</x:v>
      </x:c>
    </x:row>
    <x:row r="201">
      <x:c r="A201" s="34" t="str">
        <x:v>A2696-C058</x:v>
      </x:c>
      <x:c r="B201" s="34" t="str">
        <x:v>A2696-C058-m1</x:v>
      </x:c>
      <x:c r="C201" s="34" t="str">
        <x:v>A2696</x:v>
      </x:c>
      <x:c r="D201" s="34" t="str">
        <x:v>5년마다 돌아오는 인구조사... 호구조사 같지만 정책에 쓰인다</x:v>
      </x:c>
      <x:c r="E201" s="34" t="str">
        <x:v>2025-11-08</x:v>
      </x:c>
      <x:c r="F201" s="34" t="str">
        <x:v>https://www.chosun.com/national/weekend/2025/11/08/ZXTXYIJJFJFLTIJZMLEW4IDNN4/</x:v>
      </x:c>
      <x:c r="G201" s="35" t="str">
        <x:v>2005년 조사에서 15세 이상 기혼 여성 중 93%가 ‘추가 자녀 계획이 없다’고 답했다.</x:v>
      </x:c>
      <x:c r="H201" s="34" t="str">
        <x:v>93%</x:v>
      </x:c>
      <x:c r="I201" s="34" t="str">
        <x:v>KOSIS_VALUE</x:v>
      </x:c>
      <x:c r="J201" s="34" t="str">
        <x:v>국내공식통계</x:v>
      </x:c>
      <x:c r="K201" s="34" t="str">
        <x:v>hcx</x:v>
      </x:c>
      <x:c r="L201" s="34" t="str">
        <x:v>현재값</x:v>
      </x:c>
      <x:c r="M201" s="34" t="str">
        <x:v>추가 자녀 계획 없음 비율</x:v>
      </x:c>
      <x:c r="N201" s="34" t="str">
        <x:v>-</x:v>
      </x:c>
      <x:c r="O201" s="34" t="str">
        <x:v>93</x:v>
      </x:c>
      <x:c r="P201" s="34" t="str">
        <x:v>%</x:v>
      </x:c>
      <x:c r="Q201" s="34" t="str">
        <x:v>2005</x:v>
      </x:c>
      <x:c r="R201" s="34" t="str">
        <x:v>Y</x:v>
      </x:c>
      <x:c r="S201" s="34" t="str">
        <x:v>N</x:v>
      </x:c>
      <x:c r="T201" s="34" t="str">
        <x:v>Y</x:v>
      </x:c>
      <x:c r="U201" s="34" t="str">
        <x:v>N</x:v>
      </x:c>
      <x:c r="V201" s="34" t="str">
        <x:v>MCP_NOT_VERIFIABLE</x:v>
      </x:c>
      <x:c r="W201" s="34" t="str">
        <x:v>N/A</x:v>
      </x:c>
      <x:c r="X201" s="34" t="str">
        <x:v>N/A</x:v>
      </x:c>
      <x:c r="Y201" s="34" t="str">
        <x:v>N/A</x:v>
      </x:c>
      <x:c r="Z201" s="34" t="str">
        <x:v>N/A</x:v>
      </x:c>
      <x:c r="AA201" s="34" t="str">
        <x:v>N/A</x:v>
      </x:c>
      <x:c r="AB201" s="34" t="str">
        <x:v>N/A</x:v>
      </x:c>
      <x:c r="AC201" s="34" t="str">
        <x:v>N/A</x:v>
      </x:c>
      <x:c r="AD201" s="34" t="str">
        <x:v>N/A</x:v>
      </x:c>
      <x:c r="AE201" s="34" t="str">
        <x:v>N/A</x:v>
      </x:c>
      <x:c r="AF201" s="34" t="str">
        <x:v>N/A</x:v>
      </x:c>
      <x:c r="AG201" s="34" t="str">
        <x:v>N/A</x:v>
      </x:c>
      <x:c r="AH201" s="34" t="str">
        <x:v>N/A</x:v>
      </x:c>
      <x:c r="AI201" s="34" t="str">
        <x:v>N/A</x:v>
      </x:c>
      <x:c r="AJ201" s="34" t="str">
        <x:v>N/A</x:v>
      </x:c>
      <x:c r="AK201" s="34" t="str">
        <x:v>N/A</x:v>
      </x:c>
      <x:c r="AL201" s="34" t="str">
        <x:v>N/A</x:v>
      </x:c>
      <x:c r="AM201" s="34" t="str">
        <x:v>N/A</x:v>
      </x:c>
      <x:c r="AN201" s="34" t="str">
        <x:v>N/A</x:v>
      </x:c>
      <x:c r="AO201" s="34" t="str">
        <x:v>N/A</x:v>
      </x:c>
      <x:c r="AP201" s="34" t="str">
        <x:v>N/A</x:v>
      </x:c>
      <x:c r="AQ201" s="34" t="str">
        <x:v>판단불가</x:v>
      </x:c>
      <x:c r="AR201" s="34" t="str">
        <x:v>NOT_APPLICABLE</x:v>
      </x:c>
      <x:c r="AS201" s="34" t="str">
        <x:v>HIGH</x:v>
      </x:c>
      <x:c r="AT201" s="35" t="str">
        <x:v>검색된 추가 자녀 계획 표에서 기사 기준연도 2005년 값이 조회되지 않음.</x:v>
      </x:c>
      <x:c r="AU201" s="34" t="str">
        <x:v>N/A</x:v>
      </x:c>
      <x:c r="AV201" s="34" t="n">
        <x:v>46239.28157407408</x:v>
      </x:c>
      <x:c r="AW201" s="34" t="str">
        <x:v>KOSIS_MCP_AUTO_V3</x:v>
      </x:c>
      <x:c r="AX201" s="34" t="str">
        <x:v>N</x:v>
      </x:c>
    </x:row>
  </x:sheetData>
  <x:conditionalFormatting sqref="V2:V201">
    <x:cfRule type="containsText" dxfId="0" priority="1" operator="containsText" text="FULL_KOSIS"/>
    <x:cfRule type="containsText" dxfId="1" priority="2" operator="containsText" text="CODEBOOK_KOSIS"/>
    <x:cfRule type="containsText" dxfId="2" priority="3" operator="containsText" text="MEASUREMENT_ERROR"/>
  </x:conditionalFormatting>
  <x:pageMargins left="0.7" right="0.7" top="0.75" bottom="0.75" header="0.3" footer="0.3"/>
  <x:tableParts count="1">
    <x:tablePart xmlns:r="http://schemas.openxmlformats.org/officeDocument/2006/relationships" r:id="R985e18d2956c41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</x:cols>
  <x:sheetData>
    <x:row r="1" ht="36" customHeight="1">
      <x:c r="A1" s="46" t="str">
        <x:v>KOSIS MCP 자동 골드셋 200</x:v>
      </x:c>
      <x:c r="B1" s="46"/>
      <x:c r="C1" s="46"/>
      <x:c r="D1" s="46"/>
      <x:c r="E1" s="46"/>
      <x:c r="F1" s="46"/>
    </x:row>
    <x:row r="3">
      <x:c r="A3" s="52" t="str">
        <x:v>항목</x:v>
      </x:c>
      <x:c r="B3" s="53" t="str">
        <x:v>값</x:v>
      </x:c>
    </x:row>
    <x:row r="4">
      <x:c r="A4" s="56" t="str">
        <x:v>전체 측정값</x:v>
      </x:c>
      <x:c r="B4" s="68" t="n">
        <x:f>COUNTA('mcp_auto_gold_200'!B2:B201)</x:f>
        <x:v>200</x:v>
      </x:c>
    </x:row>
    <x:row r="5">
      <x:c r="A5" s="57" t="str">
        <x:v>FULL_KOSIS</x:v>
      </x:c>
      <x:c r="B5" s="69" t="n">
        <x:f>COUNTIF('mcp_auto_gold_200'!V2:V201,"FULL_KOSIS")</x:f>
        <x:v>21</x:v>
      </x:c>
    </x:row>
    <x:row r="6">
      <x:c r="A6" s="57" t="str">
        <x:v>CODEBOOK_KOSIS</x:v>
      </x:c>
      <x:c r="B6" s="69" t="n">
        <x:f>COUNTIF('mcp_auto_gold_200'!V2:V201,"CODEBOOK_KOSIS")</x:f>
        <x:v>82</x:v>
      </x:c>
    </x:row>
    <x:row r="7">
      <x:c r="A7" s="57" t="str">
        <x:v>MCP_NOT_VERIFIABLE</x:v>
      </x:c>
      <x:c r="B7" s="69" t="n">
        <x:f>COUNTIF('mcp_auto_gold_200'!V2:V201,"MCP_NOT_VERIFIABLE")</x:f>
        <x:v>73</x:v>
      </x:c>
    </x:row>
    <x:row r="8">
      <x:c r="A8" s="57" t="str">
        <x:v>MEASUREMENT_ERROR</x:v>
      </x:c>
      <x:c r="B8" s="69" t="n">
        <x:f>COUNTIF('mcp_auto_gold_200'!V2:V201,"MEASUREMENT_ERROR")</x:f>
        <x:v>24</x:v>
      </x:c>
    </x:row>
    <x:row r="9">
      <x:c r="A9" s="57" t="str">
        <x:v>gold_verifiable=Y</x:v>
      </x:c>
      <x:c r="B9" s="69" t="n">
        <x:f>COUNTIF('mcp_auto_gold_200'!S2:S201,"Y")</x:f>
        <x:v>103</x:v>
      </x:c>
    </x:row>
    <x:row r="10">
      <x:c r="A10" s="58" t="str">
        <x:v>title/url 누락 행</x:v>
      </x:c>
      <x:c r="B10" s="70" t="n">
        <x:f>COUNTBLANK('mcp_auto_gold_200'!D2:D201)+COUNTBLANK('mcp_auto_gold_200'!F2:F201)</x:f>
        <x:v>0</x:v>
      </x:c>
    </x:row>
    <x:row r="12" ht="34" customHeight="1">
      <x:c r="A12" s="78" t="str">
        <x:v>FULL_KOSIS는 세부 좌표·실제값 확정, CODEBOOK_KOSIS는 KOSIS 통계표 확인·세부값 검증 대기입니다.</x:v>
      </x:c>
      <x:c r="B12" s="78"/>
      <x:c r="C12" s="78"/>
      <x:c r="D12" s="78"/>
      <x:c r="E12" s="78"/>
      <x:c r="F12" s="78"/>
    </x:row>
  </x:sheetData>
  <x:mergeCells>
    <x:mergeCell ref="A1:F1"/>
    <x:mergeCell ref="A12:F12"/>
  </x:mergeCells>
  <x:pageMargins left="0.7" right="0.7" top="0.75" bottom="0.75" header="0.3" footer="0.3"/>
</x:worksheet>
</file>